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zabeth\Documents\School\2024 Semester 1\Jude Ogden\Hydrangea_code\Excel Files\"/>
    </mc:Choice>
  </mc:AlternateContent>
  <xr:revisionPtr revIDLastSave="0" documentId="13_ncr:1_{E1957CFA-1589-4A46-88D3-76C54244B9B0}" xr6:coauthVersionLast="47" xr6:coauthVersionMax="47" xr10:uidLastSave="{00000000-0000-0000-0000-000000000000}"/>
  <bookViews>
    <workbookView xWindow="4320" yWindow="3240" windowWidth="13190" windowHeight="6710" xr2:uid="{6B4CF37A-6387-4CE5-801A-1DC4204E111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1" i="1" l="1"/>
  <c r="L71" i="1"/>
  <c r="L72" i="1"/>
  <c r="I71" i="1"/>
  <c r="I72" i="1"/>
  <c r="F63" i="1"/>
  <c r="F62" i="1"/>
  <c r="O62" i="1"/>
  <c r="I61" i="1"/>
  <c r="I62" i="1"/>
  <c r="L62" i="1"/>
  <c r="D62" i="1"/>
  <c r="L53" i="1"/>
  <c r="L54" i="1"/>
  <c r="L55" i="1"/>
  <c r="L56" i="1"/>
  <c r="I44" i="1"/>
  <c r="I43" i="1"/>
  <c r="O43" i="1"/>
  <c r="L43" i="1"/>
  <c r="D43" i="1"/>
  <c r="I37" i="1"/>
  <c r="I38" i="1"/>
  <c r="I39" i="1"/>
  <c r="I36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40" i="1"/>
  <c r="I41" i="1"/>
  <c r="I42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3" i="1"/>
  <c r="I64" i="1"/>
  <c r="I65" i="1"/>
  <c r="I66" i="1"/>
  <c r="I67" i="1"/>
  <c r="I68" i="1"/>
  <c r="I69" i="1"/>
  <c r="I70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2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3" i="1"/>
  <c r="D4" i="1"/>
  <c r="D5" i="1"/>
  <c r="D6" i="1"/>
  <c r="D2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16" i="1"/>
  <c r="O17" i="1"/>
  <c r="O18" i="1"/>
  <c r="O19" i="1"/>
  <c r="O13" i="1"/>
  <c r="L13" i="1"/>
  <c r="L16" i="1"/>
  <c r="L17" i="1"/>
  <c r="L18" i="1"/>
  <c r="L15" i="1"/>
  <c r="O8" i="1"/>
  <c r="L3" i="1"/>
  <c r="L4" i="1"/>
  <c r="L5" i="1"/>
  <c r="L6" i="1"/>
  <c r="L7" i="1"/>
  <c r="L8" i="1"/>
  <c r="L9" i="1"/>
  <c r="L10" i="1"/>
  <c r="L11" i="1"/>
  <c r="L12" i="1"/>
  <c r="L14" i="1"/>
  <c r="L19" i="1"/>
  <c r="L20" i="1"/>
  <c r="L21" i="1"/>
  <c r="L22" i="1"/>
  <c r="L23" i="1"/>
  <c r="L24" i="1"/>
  <c r="F24" i="1" s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4" i="1"/>
  <c r="L45" i="1"/>
  <c r="L46" i="1"/>
  <c r="L47" i="1"/>
  <c r="L48" i="1"/>
  <c r="L49" i="1"/>
  <c r="L50" i="1"/>
  <c r="L51" i="1"/>
  <c r="L52" i="1"/>
  <c r="L57" i="1"/>
  <c r="L58" i="1"/>
  <c r="F58" i="1" s="1"/>
  <c r="L59" i="1"/>
  <c r="L60" i="1"/>
  <c r="L61" i="1"/>
  <c r="F61" i="1" s="1"/>
  <c r="L63" i="1"/>
  <c r="L64" i="1"/>
  <c r="L65" i="1"/>
  <c r="L66" i="1"/>
  <c r="L67" i="1"/>
  <c r="F67" i="1" s="1"/>
  <c r="L68" i="1"/>
  <c r="L69" i="1"/>
  <c r="L70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F97" i="1" s="1"/>
  <c r="L2" i="1"/>
  <c r="O3" i="1"/>
  <c r="O4" i="1"/>
  <c r="O5" i="1"/>
  <c r="O6" i="1"/>
  <c r="O7" i="1"/>
  <c r="O9" i="1"/>
  <c r="O10" i="1"/>
  <c r="O11" i="1"/>
  <c r="O12" i="1"/>
  <c r="O14" i="1"/>
  <c r="O15" i="1"/>
  <c r="O2" i="1"/>
  <c r="F91" i="1" l="1"/>
  <c r="F89" i="1"/>
  <c r="F83" i="1"/>
  <c r="F73" i="1"/>
  <c r="F94" i="1"/>
  <c r="F90" i="1"/>
  <c r="F86" i="1"/>
  <c r="F78" i="1"/>
  <c r="F74" i="1"/>
  <c r="F92" i="1"/>
  <c r="F76" i="1"/>
  <c r="F95" i="1"/>
  <c r="F71" i="1"/>
  <c r="F66" i="1"/>
  <c r="F82" i="1"/>
  <c r="F87" i="1"/>
  <c r="F79" i="1"/>
  <c r="F70" i="1"/>
  <c r="F75" i="1"/>
  <c r="F84" i="1"/>
  <c r="F38" i="1"/>
  <c r="F57" i="1"/>
  <c r="F49" i="1"/>
  <c r="F54" i="1"/>
  <c r="F65" i="1"/>
  <c r="F60" i="1"/>
  <c r="F56" i="1"/>
  <c r="F43" i="1"/>
  <c r="F50" i="1"/>
  <c r="F36" i="1"/>
  <c r="F52" i="1"/>
  <c r="F53" i="1"/>
  <c r="F48" i="1"/>
  <c r="F45" i="1"/>
  <c r="F41" i="1"/>
  <c r="F88" i="1"/>
  <c r="F80" i="1"/>
  <c r="F72" i="1"/>
  <c r="F59" i="1"/>
  <c r="F55" i="1"/>
  <c r="F40" i="1"/>
  <c r="F96" i="1"/>
  <c r="F93" i="1"/>
  <c r="F85" i="1"/>
  <c r="F77" i="1"/>
  <c r="F69" i="1"/>
  <c r="F44" i="1"/>
  <c r="F37" i="1"/>
  <c r="F39" i="1"/>
  <c r="F35" i="1"/>
  <c r="F32" i="1"/>
  <c r="F33" i="1"/>
  <c r="F31" i="1"/>
  <c r="F28" i="1"/>
  <c r="F25" i="1"/>
  <c r="F17" i="1"/>
  <c r="F68" i="1"/>
  <c r="F64" i="1"/>
  <c r="F51" i="1"/>
  <c r="F47" i="1"/>
  <c r="F42" i="1"/>
  <c r="F34" i="1"/>
  <c r="F30" i="1"/>
  <c r="F27" i="1"/>
  <c r="F26" i="1"/>
  <c r="F23" i="1"/>
  <c r="F22" i="1"/>
  <c r="F46" i="1"/>
  <c r="F29" i="1"/>
  <c r="F21" i="1"/>
  <c r="F19" i="1"/>
  <c r="F20" i="1"/>
  <c r="F14" i="1"/>
  <c r="F13" i="1"/>
  <c r="F4" i="1"/>
  <c r="F18" i="1"/>
  <c r="F10" i="1"/>
  <c r="F9" i="1"/>
  <c r="F15" i="1"/>
  <c r="F16" i="1"/>
  <c r="F12" i="1"/>
  <c r="F11" i="1"/>
  <c r="F8" i="1"/>
  <c r="F7" i="1"/>
  <c r="F6" i="1"/>
  <c r="F5" i="1"/>
  <c r="F3" i="1"/>
  <c r="F2" i="1"/>
</calcChain>
</file>

<file path=xl/sharedStrings.xml><?xml version="1.0" encoding="utf-8"?>
<sst xmlns="http://schemas.openxmlformats.org/spreadsheetml/2006/main" count="408" uniqueCount="69">
  <si>
    <t>Trademark.Cultivar</t>
  </si>
  <si>
    <t>Month</t>
  </si>
  <si>
    <t>LastDay2019</t>
  </si>
  <si>
    <t>DaysPossible2019</t>
  </si>
  <si>
    <t>FirstDay2020</t>
  </si>
  <si>
    <t>LastDay2020</t>
  </si>
  <si>
    <t>DaysPossible2020</t>
  </si>
  <si>
    <t>FirstDay2021</t>
  </si>
  <si>
    <t>DaysPossible2021</t>
  </si>
  <si>
    <t>Color</t>
  </si>
  <si>
    <t>Flower type</t>
  </si>
  <si>
    <t>Baby Lace</t>
  </si>
  <si>
    <t>August</t>
  </si>
  <si>
    <t>White</t>
  </si>
  <si>
    <t>Lacy panicle</t>
  </si>
  <si>
    <t>September</t>
  </si>
  <si>
    <t>October</t>
  </si>
  <si>
    <t>Big Ben</t>
  </si>
  <si>
    <t>Brussels Lace</t>
  </si>
  <si>
    <t>Daimond Rogue</t>
  </si>
  <si>
    <t>July</t>
  </si>
  <si>
    <t>Pink-white</t>
  </si>
  <si>
    <t>Mop-like panicle</t>
  </si>
  <si>
    <t>Dharuma</t>
  </si>
  <si>
    <t>Dolly</t>
  </si>
  <si>
    <t>Fire &amp; Ice</t>
  </si>
  <si>
    <t>Fire Light</t>
  </si>
  <si>
    <t>Pink</t>
  </si>
  <si>
    <t>Floribunda</t>
  </si>
  <si>
    <t>Great Star</t>
  </si>
  <si>
    <t>Green Spire</t>
  </si>
  <si>
    <t>Green-white</t>
  </si>
  <si>
    <t>Honey Comb</t>
  </si>
  <si>
    <t>Kyushu</t>
  </si>
  <si>
    <t>Late</t>
  </si>
  <si>
    <t>Limelight</t>
  </si>
  <si>
    <t>Little Lamb</t>
  </si>
  <si>
    <t>Little Lime</t>
  </si>
  <si>
    <t>Little Quick Fire</t>
  </si>
  <si>
    <t>Mega Mindy</t>
  </si>
  <si>
    <t>Mega Pearl</t>
  </si>
  <si>
    <t>Phantom</t>
  </si>
  <si>
    <t>Pillow Talk</t>
  </si>
  <si>
    <t>Pink Diamond</t>
  </si>
  <si>
    <t>Pink Lady</t>
  </si>
  <si>
    <t>Pinky Winky</t>
  </si>
  <si>
    <t>Polar Ball</t>
  </si>
  <si>
    <t>Quick Fire</t>
  </si>
  <si>
    <t>Ruby</t>
  </si>
  <si>
    <t>Silver Dollar</t>
  </si>
  <si>
    <t>Strawberry Shake</t>
  </si>
  <si>
    <t>Strawberry Sundae</t>
  </si>
  <si>
    <t>Sweet Summer</t>
  </si>
  <si>
    <t>Tickled Pink</t>
  </si>
  <si>
    <t>Unique</t>
  </si>
  <si>
    <t>Vanilla Strawberry</t>
  </si>
  <si>
    <t>White Diamonds</t>
  </si>
  <si>
    <t>White Moth</t>
  </si>
  <si>
    <t>DaysRecordedBlooming</t>
  </si>
  <si>
    <t>DaysinMonth</t>
  </si>
  <si>
    <t>LastDay2021(only surveyed til8/19/2021)</t>
  </si>
  <si>
    <t>FirstDay20197.17.2019</t>
  </si>
  <si>
    <t>DaysInMonth</t>
  </si>
  <si>
    <t>Added by hand -- the aggregated table missed it because the tag number wasn't one of the normal ones</t>
  </si>
  <si>
    <t>Notes</t>
  </si>
  <si>
    <t>Had to calculate this by hand</t>
  </si>
  <si>
    <t>Did by hand</t>
  </si>
  <si>
    <t>DaysRecordedInsectsPresent</t>
  </si>
  <si>
    <t>calculated by 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</si>
</sst>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C369D-6F8A-44BA-B659-690838083677}">
  <dimension ref="A1:R97"/>
  <sheetViews>
    <sheetView tabSelected="1" workbookViewId="0">
      <pane xSplit="4" ySplit="1" topLeftCell="E93" activePane="bottomRight" state="frozen"/>
      <selection pane="topRight" activeCell="E1" sqref="E1"/>
      <selection pane="bottomLeft" activeCell="A2" sqref="A2"/>
      <selection pane="bottomRight" activeCell="H98" sqref="H98"/>
    </sheetView>
  </sheetViews>
  <sheetFormatPr defaultRowHeight="14.5" x14ac:dyDescent="0.35"/>
  <cols>
    <col min="2" max="2" width="17" bestFit="1" customWidth="1"/>
    <col min="6" max="6" width="15.36328125" customWidth="1"/>
    <col min="7" max="7" width="11.54296875" style="1" bestFit="1" customWidth="1"/>
    <col min="8" max="8" width="11.26953125" style="1" bestFit="1" customWidth="1"/>
    <col min="9" max="9" width="15.6328125" bestFit="1" customWidth="1"/>
    <col min="10" max="10" width="11.54296875" bestFit="1" customWidth="1"/>
    <col min="11" max="11" width="10.453125" bestFit="1" customWidth="1"/>
    <col min="13" max="13" width="11.54296875" bestFit="1" customWidth="1"/>
    <col min="14" max="14" width="11.26953125" bestFit="1" customWidth="1"/>
    <col min="15" max="15" width="15.6328125" bestFit="1" customWidth="1"/>
  </cols>
  <sheetData>
    <row r="1" spans="1:18" x14ac:dyDescent="0.35">
      <c r="B1" t="s">
        <v>0</v>
      </c>
      <c r="C1" t="s">
        <v>1</v>
      </c>
      <c r="D1" t="s">
        <v>59</v>
      </c>
      <c r="E1" t="s">
        <v>67</v>
      </c>
      <c r="F1" t="s">
        <v>58</v>
      </c>
      <c r="G1" s="1" t="s">
        <v>61</v>
      </c>
      <c r="H1" s="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60</v>
      </c>
      <c r="O1" t="s">
        <v>8</v>
      </c>
      <c r="P1" t="s">
        <v>9</v>
      </c>
      <c r="Q1" t="s">
        <v>10</v>
      </c>
      <c r="R1" t="s">
        <v>64</v>
      </c>
    </row>
    <row r="2" spans="1:18" x14ac:dyDescent="0.35">
      <c r="A2">
        <v>1</v>
      </c>
      <c r="B2" t="s">
        <v>11</v>
      </c>
      <c r="C2" t="s">
        <v>12</v>
      </c>
      <c r="D2">
        <f>VLOOKUP($C2,Sheet2!$A$2:$B$5,2,0)</f>
        <v>31</v>
      </c>
      <c r="E2">
        <v>4</v>
      </c>
      <c r="F2">
        <f>I2+L2+O2</f>
        <v>14</v>
      </c>
      <c r="I2" s="2">
        <f>_xlfn.DAYS(H2,G2)</f>
        <v>0</v>
      </c>
      <c r="J2" s="1">
        <v>44069</v>
      </c>
      <c r="K2" s="1">
        <v>44074</v>
      </c>
      <c r="L2">
        <f>_xlfn.DAYS(K2,J2)</f>
        <v>5</v>
      </c>
      <c r="M2" s="1">
        <v>44418</v>
      </c>
      <c r="N2" s="1">
        <v>44427</v>
      </c>
      <c r="O2">
        <f>_xlfn.DAYS(N2,M2)</f>
        <v>9</v>
      </c>
      <c r="P2" t="s">
        <v>13</v>
      </c>
      <c r="Q2" t="s">
        <v>14</v>
      </c>
    </row>
    <row r="3" spans="1:18" x14ac:dyDescent="0.35">
      <c r="A3">
        <v>2</v>
      </c>
      <c r="B3" t="s">
        <v>11</v>
      </c>
      <c r="C3" t="s">
        <v>15</v>
      </c>
      <c r="D3">
        <f>VLOOKUP($C3,Sheet2!$A$2:$B$5,2,0)</f>
        <v>30</v>
      </c>
      <c r="E3">
        <v>8</v>
      </c>
      <c r="F3">
        <f>I3+L3+O3</f>
        <v>35</v>
      </c>
      <c r="G3" s="1">
        <v>43727</v>
      </c>
      <c r="H3" s="1">
        <v>43738</v>
      </c>
      <c r="I3" s="2">
        <f t="shared" ref="I3:I68" si="0">_xlfn.DAYS(H3,G3)</f>
        <v>11</v>
      </c>
      <c r="J3" s="1">
        <v>44075</v>
      </c>
      <c r="K3" s="1">
        <v>44099</v>
      </c>
      <c r="L3">
        <f t="shared" ref="L3:L69" si="1">_xlfn.DAYS(K3,J3)</f>
        <v>24</v>
      </c>
      <c r="O3">
        <f t="shared" ref="O3:O69" si="2">_xlfn.DAYS(N3,M3)</f>
        <v>0</v>
      </c>
      <c r="P3" t="s">
        <v>13</v>
      </c>
      <c r="Q3" t="s">
        <v>14</v>
      </c>
    </row>
    <row r="4" spans="1:18" x14ac:dyDescent="0.35">
      <c r="A4">
        <v>3</v>
      </c>
      <c r="B4" t="s">
        <v>11</v>
      </c>
      <c r="C4" t="s">
        <v>16</v>
      </c>
      <c r="D4">
        <f>VLOOKUP($C4,Sheet2!$A$2:$B$5,2,0)</f>
        <v>30</v>
      </c>
      <c r="E4">
        <v>1</v>
      </c>
      <c r="F4">
        <f>I4+L4+O4</f>
        <v>18</v>
      </c>
      <c r="G4" s="1">
        <v>43739</v>
      </c>
      <c r="H4" s="1">
        <v>43757</v>
      </c>
      <c r="I4" s="2">
        <f t="shared" si="0"/>
        <v>18</v>
      </c>
      <c r="J4" s="2"/>
      <c r="K4" s="2"/>
      <c r="L4">
        <f t="shared" si="1"/>
        <v>0</v>
      </c>
      <c r="O4">
        <f t="shared" si="2"/>
        <v>0</v>
      </c>
      <c r="P4" t="s">
        <v>13</v>
      </c>
      <c r="Q4" t="s">
        <v>14</v>
      </c>
    </row>
    <row r="5" spans="1:18" x14ac:dyDescent="0.35">
      <c r="A5">
        <v>4</v>
      </c>
      <c r="B5" t="s">
        <v>17</v>
      </c>
      <c r="C5" t="s">
        <v>12</v>
      </c>
      <c r="D5">
        <f>VLOOKUP($C5,Sheet2!$A$2:$B$5,2,0)</f>
        <v>31</v>
      </c>
      <c r="E5">
        <v>1</v>
      </c>
      <c r="F5">
        <f t="shared" ref="F5:F71" si="3">I5+L5+O5</f>
        <v>3</v>
      </c>
      <c r="I5" s="2">
        <f t="shared" si="0"/>
        <v>0</v>
      </c>
      <c r="J5" s="1">
        <v>44071</v>
      </c>
      <c r="K5" s="1">
        <v>44074</v>
      </c>
      <c r="L5">
        <f t="shared" si="1"/>
        <v>3</v>
      </c>
      <c r="O5">
        <f t="shared" si="2"/>
        <v>0</v>
      </c>
      <c r="P5" t="s">
        <v>13</v>
      </c>
      <c r="Q5" t="s">
        <v>14</v>
      </c>
    </row>
    <row r="6" spans="1:18" x14ac:dyDescent="0.35">
      <c r="A6">
        <v>5</v>
      </c>
      <c r="B6" t="s">
        <v>17</v>
      </c>
      <c r="C6" t="s">
        <v>15</v>
      </c>
      <c r="D6">
        <f>VLOOKUP($C6,Sheet2!$A$2:$B$5,2,0)</f>
        <v>30</v>
      </c>
      <c r="E6">
        <v>12</v>
      </c>
      <c r="F6">
        <f t="shared" si="3"/>
        <v>54</v>
      </c>
      <c r="G6" s="1">
        <v>43713</v>
      </c>
      <c r="H6" s="1">
        <v>43738</v>
      </c>
      <c r="I6" s="2">
        <f t="shared" si="0"/>
        <v>25</v>
      </c>
      <c r="J6" s="1">
        <v>44075</v>
      </c>
      <c r="K6" s="1">
        <v>44104</v>
      </c>
      <c r="L6">
        <f t="shared" si="1"/>
        <v>29</v>
      </c>
      <c r="O6">
        <f t="shared" si="2"/>
        <v>0</v>
      </c>
      <c r="P6" t="s">
        <v>13</v>
      </c>
      <c r="Q6" t="s">
        <v>14</v>
      </c>
    </row>
    <row r="7" spans="1:18" x14ac:dyDescent="0.35">
      <c r="A7">
        <v>6</v>
      </c>
      <c r="B7" t="s">
        <v>17</v>
      </c>
      <c r="C7" t="s">
        <v>16</v>
      </c>
      <c r="D7">
        <f>VLOOKUP($C7,Sheet2!$A$2:$B$5,2,0)</f>
        <v>30</v>
      </c>
      <c r="E7">
        <v>7</v>
      </c>
      <c r="F7">
        <f t="shared" si="3"/>
        <v>33</v>
      </c>
      <c r="G7" s="1">
        <v>43739</v>
      </c>
      <c r="H7" s="1">
        <v>43757</v>
      </c>
      <c r="I7" s="2">
        <f t="shared" si="0"/>
        <v>18</v>
      </c>
      <c r="J7" s="1">
        <v>44105</v>
      </c>
      <c r="K7" s="1">
        <v>44120</v>
      </c>
      <c r="L7">
        <f t="shared" si="1"/>
        <v>15</v>
      </c>
      <c r="O7">
        <f t="shared" si="2"/>
        <v>0</v>
      </c>
      <c r="P7" t="s">
        <v>13</v>
      </c>
      <c r="Q7" t="s">
        <v>14</v>
      </c>
    </row>
    <row r="8" spans="1:18" x14ac:dyDescent="0.35">
      <c r="A8">
        <v>7</v>
      </c>
      <c r="B8" t="s">
        <v>18</v>
      </c>
      <c r="C8" t="s">
        <v>12</v>
      </c>
      <c r="D8">
        <f>VLOOKUP($C8,Sheet2!$A$2:$B$5,2,0)</f>
        <v>31</v>
      </c>
      <c r="E8">
        <v>11</v>
      </c>
      <c r="F8">
        <f t="shared" si="3"/>
        <v>34</v>
      </c>
      <c r="G8" s="1">
        <v>43700</v>
      </c>
      <c r="H8" s="1">
        <v>43708</v>
      </c>
      <c r="I8" s="2">
        <f t="shared" si="0"/>
        <v>8</v>
      </c>
      <c r="J8" s="1">
        <v>44062</v>
      </c>
      <c r="K8" s="1">
        <v>44074</v>
      </c>
      <c r="L8">
        <f t="shared" si="1"/>
        <v>12</v>
      </c>
      <c r="M8" s="1">
        <v>44413</v>
      </c>
      <c r="N8" s="1">
        <v>44427</v>
      </c>
      <c r="O8">
        <f>_xlfn.DAYS(N8,M8)</f>
        <v>14</v>
      </c>
      <c r="P8" t="s">
        <v>13</v>
      </c>
      <c r="Q8" t="s">
        <v>14</v>
      </c>
    </row>
    <row r="9" spans="1:18" x14ac:dyDescent="0.35">
      <c r="A9">
        <v>8</v>
      </c>
      <c r="B9" t="s">
        <v>18</v>
      </c>
      <c r="C9" t="s">
        <v>15</v>
      </c>
      <c r="D9">
        <f>VLOOKUP($C9,Sheet2!$A$2:$B$5,2,0)</f>
        <v>30</v>
      </c>
      <c r="E9">
        <v>6</v>
      </c>
      <c r="F9">
        <f t="shared" si="3"/>
        <v>58</v>
      </c>
      <c r="G9" s="1">
        <v>43709</v>
      </c>
      <c r="H9" s="1">
        <v>43738</v>
      </c>
      <c r="I9" s="2">
        <f t="shared" si="0"/>
        <v>29</v>
      </c>
      <c r="J9" s="1">
        <v>44075</v>
      </c>
      <c r="K9" s="1">
        <v>44104</v>
      </c>
      <c r="L9">
        <f t="shared" si="1"/>
        <v>29</v>
      </c>
      <c r="O9">
        <f t="shared" si="2"/>
        <v>0</v>
      </c>
      <c r="P9" t="s">
        <v>13</v>
      </c>
      <c r="Q9" t="s">
        <v>14</v>
      </c>
    </row>
    <row r="10" spans="1:18" x14ac:dyDescent="0.35">
      <c r="A10">
        <v>9</v>
      </c>
      <c r="B10" t="s">
        <v>18</v>
      </c>
      <c r="C10" t="s">
        <v>16</v>
      </c>
      <c r="D10">
        <f>VLOOKUP($C10,Sheet2!$A$2:$B$5,2,0)</f>
        <v>30</v>
      </c>
      <c r="E10">
        <v>2</v>
      </c>
      <c r="F10">
        <f t="shared" si="3"/>
        <v>18</v>
      </c>
      <c r="G10" s="1">
        <v>43739</v>
      </c>
      <c r="H10" s="1">
        <v>43757</v>
      </c>
      <c r="I10" s="2">
        <f t="shared" si="0"/>
        <v>18</v>
      </c>
      <c r="J10" s="1"/>
      <c r="K10" s="1"/>
      <c r="L10">
        <f t="shared" si="1"/>
        <v>0</v>
      </c>
      <c r="O10">
        <f t="shared" si="2"/>
        <v>0</v>
      </c>
      <c r="P10" t="s">
        <v>13</v>
      </c>
      <c r="Q10" t="s">
        <v>14</v>
      </c>
    </row>
    <row r="11" spans="1:18" x14ac:dyDescent="0.35">
      <c r="A11">
        <v>10</v>
      </c>
      <c r="B11" t="s">
        <v>19</v>
      </c>
      <c r="C11" t="s">
        <v>20</v>
      </c>
      <c r="D11">
        <f>VLOOKUP($C11,Sheet2!$A$2:$B$5,2,0)</f>
        <v>31</v>
      </c>
      <c r="E11">
        <v>4</v>
      </c>
      <c r="F11">
        <f t="shared" si="3"/>
        <v>35</v>
      </c>
      <c r="G11" s="1">
        <v>43663</v>
      </c>
      <c r="H11" s="1">
        <v>43677</v>
      </c>
      <c r="I11" s="2">
        <f t="shared" si="0"/>
        <v>14</v>
      </c>
      <c r="J11" s="1">
        <v>44022</v>
      </c>
      <c r="K11" s="1">
        <v>44043</v>
      </c>
      <c r="L11">
        <f t="shared" si="1"/>
        <v>21</v>
      </c>
      <c r="O11">
        <f t="shared" si="2"/>
        <v>0</v>
      </c>
      <c r="P11" t="s">
        <v>21</v>
      </c>
      <c r="Q11" t="s">
        <v>22</v>
      </c>
    </row>
    <row r="12" spans="1:18" x14ac:dyDescent="0.35">
      <c r="A12">
        <v>11</v>
      </c>
      <c r="B12" t="s">
        <v>19</v>
      </c>
      <c r="C12" t="s">
        <v>12</v>
      </c>
      <c r="D12">
        <f>VLOOKUP($C12,Sheet2!$A$2:$B$5,2,0)</f>
        <v>31</v>
      </c>
      <c r="E12">
        <v>2</v>
      </c>
      <c r="F12">
        <f t="shared" si="3"/>
        <v>50</v>
      </c>
      <c r="G12" s="1">
        <v>43678</v>
      </c>
      <c r="H12" s="1">
        <v>43708</v>
      </c>
      <c r="I12" s="2">
        <f t="shared" si="0"/>
        <v>30</v>
      </c>
      <c r="J12" s="1">
        <v>44044</v>
      </c>
      <c r="K12" s="1">
        <v>44064</v>
      </c>
      <c r="L12">
        <f t="shared" si="1"/>
        <v>20</v>
      </c>
      <c r="O12">
        <f t="shared" si="2"/>
        <v>0</v>
      </c>
      <c r="P12" t="s">
        <v>21</v>
      </c>
      <c r="Q12" t="s">
        <v>22</v>
      </c>
    </row>
    <row r="13" spans="1:18" x14ac:dyDescent="0.35">
      <c r="B13" t="s">
        <v>19</v>
      </c>
      <c r="C13" t="s">
        <v>15</v>
      </c>
      <c r="D13">
        <f>VLOOKUP($C13,Sheet2!$A$2:$B$5,2,0)</f>
        <v>30</v>
      </c>
      <c r="E13">
        <v>0</v>
      </c>
      <c r="F13">
        <f t="shared" si="3"/>
        <v>87</v>
      </c>
      <c r="G13" s="1">
        <v>43709</v>
      </c>
      <c r="H13" s="1">
        <v>43738</v>
      </c>
      <c r="I13" s="2">
        <f t="shared" si="0"/>
        <v>29</v>
      </c>
      <c r="J13" s="1">
        <v>44075</v>
      </c>
      <c r="K13" s="1">
        <v>44104</v>
      </c>
      <c r="L13">
        <f>_xlfn.DAYS(K13,J13)</f>
        <v>29</v>
      </c>
      <c r="M13" s="1">
        <v>44440</v>
      </c>
      <c r="N13" s="1">
        <v>44469</v>
      </c>
      <c r="O13">
        <f t="shared" si="2"/>
        <v>29</v>
      </c>
    </row>
    <row r="14" spans="1:18" x14ac:dyDescent="0.35">
      <c r="A14">
        <v>12</v>
      </c>
      <c r="B14" t="s">
        <v>19</v>
      </c>
      <c r="C14" t="s">
        <v>16</v>
      </c>
      <c r="D14">
        <f>VLOOKUP($C14,Sheet2!$A$2:$B$5,2,0)</f>
        <v>30</v>
      </c>
      <c r="E14">
        <v>1</v>
      </c>
      <c r="F14">
        <f t="shared" si="3"/>
        <v>14</v>
      </c>
      <c r="G14" s="1">
        <v>43739</v>
      </c>
      <c r="H14" s="1">
        <v>43753</v>
      </c>
      <c r="I14" s="2">
        <f t="shared" si="0"/>
        <v>14</v>
      </c>
      <c r="L14">
        <f t="shared" si="1"/>
        <v>0</v>
      </c>
      <c r="O14">
        <f t="shared" si="2"/>
        <v>0</v>
      </c>
      <c r="P14" t="s">
        <v>21</v>
      </c>
      <c r="Q14" t="s">
        <v>22</v>
      </c>
    </row>
    <row r="15" spans="1:18" x14ac:dyDescent="0.35">
      <c r="A15">
        <v>13</v>
      </c>
      <c r="B15" t="s">
        <v>23</v>
      </c>
      <c r="C15" t="s">
        <v>20</v>
      </c>
      <c r="D15">
        <f>VLOOKUP($C15,Sheet2!$A$2:$B$5,2,0)</f>
        <v>31</v>
      </c>
      <c r="E15">
        <v>11</v>
      </c>
      <c r="F15">
        <f>I15+L15+O15</f>
        <v>44</v>
      </c>
      <c r="G15" s="1">
        <v>43657</v>
      </c>
      <c r="H15" s="1">
        <v>43677</v>
      </c>
      <c r="I15" s="2">
        <f t="shared" si="0"/>
        <v>20</v>
      </c>
      <c r="J15" s="1">
        <v>44022</v>
      </c>
      <c r="K15" s="1">
        <v>44039</v>
      </c>
      <c r="L15">
        <f>_xlfn.DAYS(K15,J15)</f>
        <v>17</v>
      </c>
      <c r="M15" s="1">
        <v>44386</v>
      </c>
      <c r="N15" s="1">
        <v>44393</v>
      </c>
      <c r="O15">
        <f t="shared" si="2"/>
        <v>7</v>
      </c>
      <c r="P15" t="s">
        <v>13</v>
      </c>
      <c r="Q15" t="s">
        <v>14</v>
      </c>
    </row>
    <row r="16" spans="1:18" x14ac:dyDescent="0.35">
      <c r="A16">
        <v>14</v>
      </c>
      <c r="B16" t="s">
        <v>23</v>
      </c>
      <c r="C16" t="s">
        <v>12</v>
      </c>
      <c r="D16">
        <f>VLOOKUP($C16,Sheet2!$A$2:$B$5,2,0)</f>
        <v>31</v>
      </c>
      <c r="E16">
        <v>1</v>
      </c>
      <c r="F16">
        <f t="shared" si="3"/>
        <v>19</v>
      </c>
      <c r="G16" s="1">
        <v>43678</v>
      </c>
      <c r="H16" s="1">
        <v>43697</v>
      </c>
      <c r="I16" s="2">
        <f t="shared" si="0"/>
        <v>19</v>
      </c>
      <c r="L16">
        <f t="shared" ref="L16:L18" si="4">_xlfn.DAYS(K16,J16)</f>
        <v>0</v>
      </c>
      <c r="O16">
        <f t="shared" si="2"/>
        <v>0</v>
      </c>
      <c r="P16" t="s">
        <v>13</v>
      </c>
      <c r="Q16" t="s">
        <v>14</v>
      </c>
    </row>
    <row r="17" spans="1:17" x14ac:dyDescent="0.35">
      <c r="A17">
        <v>15</v>
      </c>
      <c r="B17" t="s">
        <v>24</v>
      </c>
      <c r="C17" t="s">
        <v>20</v>
      </c>
      <c r="D17">
        <f>VLOOKUP($C17,Sheet2!$A$2:$B$5,2,0)</f>
        <v>31</v>
      </c>
      <c r="E17">
        <v>1</v>
      </c>
      <c r="F17">
        <f>I17+L17+O17</f>
        <v>15</v>
      </c>
      <c r="I17" s="2">
        <f t="shared" si="0"/>
        <v>0</v>
      </c>
      <c r="L17">
        <f t="shared" si="4"/>
        <v>0</v>
      </c>
      <c r="M17" s="1">
        <v>44393</v>
      </c>
      <c r="N17" s="1">
        <v>44408</v>
      </c>
      <c r="O17">
        <f t="shared" si="2"/>
        <v>15</v>
      </c>
      <c r="P17" t="s">
        <v>13</v>
      </c>
      <c r="Q17" t="s">
        <v>14</v>
      </c>
    </row>
    <row r="18" spans="1:17" x14ac:dyDescent="0.35">
      <c r="A18">
        <v>16</v>
      </c>
      <c r="B18" t="s">
        <v>24</v>
      </c>
      <c r="C18" t="s">
        <v>12</v>
      </c>
      <c r="D18">
        <f>VLOOKUP($C18,Sheet2!$A$2:$B$5,2,0)</f>
        <v>31</v>
      </c>
      <c r="E18">
        <v>3</v>
      </c>
      <c r="F18">
        <f t="shared" si="3"/>
        <v>13</v>
      </c>
      <c r="G18" s="1">
        <v>43679</v>
      </c>
      <c r="H18" s="1">
        <v>43680</v>
      </c>
      <c r="I18" s="2">
        <f t="shared" si="0"/>
        <v>1</v>
      </c>
      <c r="J18" s="1">
        <v>44071</v>
      </c>
      <c r="K18" s="1">
        <v>44074</v>
      </c>
      <c r="L18">
        <f t="shared" si="4"/>
        <v>3</v>
      </c>
      <c r="M18" s="1">
        <v>44409</v>
      </c>
      <c r="N18" s="1">
        <v>44418</v>
      </c>
      <c r="O18">
        <f t="shared" si="2"/>
        <v>9</v>
      </c>
      <c r="P18" t="s">
        <v>13</v>
      </c>
      <c r="Q18" t="s">
        <v>14</v>
      </c>
    </row>
    <row r="19" spans="1:17" x14ac:dyDescent="0.35">
      <c r="A19">
        <v>17</v>
      </c>
      <c r="B19" t="s">
        <v>24</v>
      </c>
      <c r="C19" t="s">
        <v>15</v>
      </c>
      <c r="D19">
        <f>VLOOKUP($C19,Sheet2!$A$2:$B$5,2,0)</f>
        <v>30</v>
      </c>
      <c r="E19">
        <v>2</v>
      </c>
      <c r="F19">
        <f t="shared" si="3"/>
        <v>28</v>
      </c>
      <c r="I19" s="2">
        <f t="shared" si="0"/>
        <v>0</v>
      </c>
      <c r="J19" s="1">
        <v>44075</v>
      </c>
      <c r="K19" s="1">
        <v>44097</v>
      </c>
      <c r="L19">
        <f t="shared" si="1"/>
        <v>22</v>
      </c>
      <c r="M19" s="1">
        <v>44386</v>
      </c>
      <c r="N19" s="1">
        <v>44392</v>
      </c>
      <c r="O19">
        <f t="shared" si="2"/>
        <v>6</v>
      </c>
      <c r="P19" t="s">
        <v>13</v>
      </c>
      <c r="Q19" t="s">
        <v>14</v>
      </c>
    </row>
    <row r="20" spans="1:17" x14ac:dyDescent="0.35">
      <c r="A20">
        <v>18</v>
      </c>
      <c r="B20" t="s">
        <v>25</v>
      </c>
      <c r="C20" t="s">
        <v>20</v>
      </c>
      <c r="D20">
        <f>VLOOKUP($C20,Sheet2!$A$2:$B$5,2,0)</f>
        <v>31</v>
      </c>
      <c r="E20">
        <v>6</v>
      </c>
      <c r="F20">
        <f t="shared" si="3"/>
        <v>19</v>
      </c>
      <c r="G20" s="1">
        <v>43665</v>
      </c>
      <c r="H20" s="1">
        <v>43677</v>
      </c>
      <c r="I20" s="2">
        <f t="shared" si="0"/>
        <v>12</v>
      </c>
      <c r="J20" s="1">
        <v>44032</v>
      </c>
      <c r="K20" s="1">
        <v>44039</v>
      </c>
      <c r="L20">
        <f t="shared" si="1"/>
        <v>7</v>
      </c>
      <c r="O20">
        <f t="shared" si="2"/>
        <v>0</v>
      </c>
      <c r="P20" t="s">
        <v>21</v>
      </c>
      <c r="Q20" t="s">
        <v>14</v>
      </c>
    </row>
    <row r="21" spans="1:17" x14ac:dyDescent="0.35">
      <c r="A21">
        <v>19</v>
      </c>
      <c r="B21" t="s">
        <v>25</v>
      </c>
      <c r="C21" t="s">
        <v>12</v>
      </c>
      <c r="D21">
        <f>VLOOKUP($C21,Sheet2!$A$2:$B$5,2,0)</f>
        <v>31</v>
      </c>
      <c r="E21">
        <v>2</v>
      </c>
      <c r="F21">
        <f t="shared" si="3"/>
        <v>6</v>
      </c>
      <c r="G21" s="1">
        <v>43678</v>
      </c>
      <c r="H21" s="1">
        <v>43684</v>
      </c>
      <c r="I21" s="2">
        <f t="shared" si="0"/>
        <v>6</v>
      </c>
      <c r="L21">
        <f t="shared" si="1"/>
        <v>0</v>
      </c>
      <c r="O21">
        <f t="shared" si="2"/>
        <v>0</v>
      </c>
      <c r="P21" t="s">
        <v>21</v>
      </c>
      <c r="Q21" t="s">
        <v>14</v>
      </c>
    </row>
    <row r="22" spans="1:17" x14ac:dyDescent="0.35">
      <c r="A22">
        <v>20</v>
      </c>
      <c r="B22" t="s">
        <v>26</v>
      </c>
      <c r="C22" t="s">
        <v>12</v>
      </c>
      <c r="D22">
        <f>VLOOKUP($C22,Sheet2!$A$2:$B$5,2,0)</f>
        <v>31</v>
      </c>
      <c r="E22">
        <v>1</v>
      </c>
      <c r="F22">
        <f t="shared" si="3"/>
        <v>8</v>
      </c>
      <c r="G22" s="1">
        <v>43700</v>
      </c>
      <c r="H22" s="1">
        <v>43708</v>
      </c>
      <c r="I22" s="2">
        <f t="shared" si="0"/>
        <v>8</v>
      </c>
      <c r="L22">
        <f t="shared" si="1"/>
        <v>0</v>
      </c>
      <c r="O22">
        <f t="shared" si="2"/>
        <v>0</v>
      </c>
      <c r="P22" t="s">
        <v>27</v>
      </c>
      <c r="Q22" t="s">
        <v>22</v>
      </c>
    </row>
    <row r="23" spans="1:17" x14ac:dyDescent="0.35">
      <c r="A23">
        <v>21</v>
      </c>
      <c r="B23" t="s">
        <v>26</v>
      </c>
      <c r="C23" t="s">
        <v>15</v>
      </c>
      <c r="D23">
        <f>VLOOKUP($C23,Sheet2!$A$2:$B$5,2,0)</f>
        <v>30</v>
      </c>
      <c r="E23">
        <v>2</v>
      </c>
      <c r="F23">
        <f t="shared" si="3"/>
        <v>32</v>
      </c>
      <c r="G23" s="1">
        <v>43709</v>
      </c>
      <c r="H23" s="1">
        <v>43738</v>
      </c>
      <c r="I23" s="2">
        <f t="shared" si="0"/>
        <v>29</v>
      </c>
      <c r="J23" s="1">
        <v>44095</v>
      </c>
      <c r="K23" s="1">
        <v>44097</v>
      </c>
      <c r="L23">
        <f t="shared" si="1"/>
        <v>2</v>
      </c>
      <c r="M23" s="1">
        <v>44413</v>
      </c>
      <c r="N23" s="1">
        <v>44414</v>
      </c>
      <c r="O23">
        <f t="shared" si="2"/>
        <v>1</v>
      </c>
      <c r="P23" t="s">
        <v>27</v>
      </c>
      <c r="Q23" t="s">
        <v>22</v>
      </c>
    </row>
    <row r="24" spans="1:17" x14ac:dyDescent="0.35">
      <c r="A24">
        <v>22</v>
      </c>
      <c r="B24" t="s">
        <v>26</v>
      </c>
      <c r="C24" t="s">
        <v>16</v>
      </c>
      <c r="D24">
        <f>VLOOKUP($C24,Sheet2!$A$2:$B$5,2,0)</f>
        <v>30</v>
      </c>
      <c r="E24">
        <v>1</v>
      </c>
      <c r="F24">
        <f t="shared" si="3"/>
        <v>9</v>
      </c>
      <c r="G24" s="1">
        <v>43739</v>
      </c>
      <c r="H24" s="1">
        <v>43748</v>
      </c>
      <c r="I24" s="2">
        <f t="shared" si="0"/>
        <v>9</v>
      </c>
      <c r="L24">
        <f t="shared" si="1"/>
        <v>0</v>
      </c>
      <c r="O24">
        <f t="shared" si="2"/>
        <v>0</v>
      </c>
      <c r="P24" t="s">
        <v>27</v>
      </c>
      <c r="Q24" t="s">
        <v>22</v>
      </c>
    </row>
    <row r="25" spans="1:17" x14ac:dyDescent="0.35">
      <c r="A25">
        <v>23</v>
      </c>
      <c r="B25" t="s">
        <v>28</v>
      </c>
      <c r="C25" t="s">
        <v>12</v>
      </c>
      <c r="D25">
        <f>VLOOKUP($C25,Sheet2!$A$2:$B$5,2,0)</f>
        <v>31</v>
      </c>
      <c r="E25">
        <v>8</v>
      </c>
      <c r="F25">
        <f t="shared" si="3"/>
        <v>27</v>
      </c>
      <c r="G25" s="1">
        <v>43700</v>
      </c>
      <c r="H25" s="1">
        <v>43708</v>
      </c>
      <c r="I25" s="2">
        <f t="shared" si="0"/>
        <v>8</v>
      </c>
      <c r="J25" s="1">
        <v>44064</v>
      </c>
      <c r="K25" s="1">
        <v>44074</v>
      </c>
      <c r="L25">
        <f t="shared" si="1"/>
        <v>10</v>
      </c>
      <c r="M25" s="1">
        <v>44418</v>
      </c>
      <c r="N25" s="1">
        <v>44427</v>
      </c>
      <c r="O25">
        <f t="shared" si="2"/>
        <v>9</v>
      </c>
      <c r="P25" t="s">
        <v>13</v>
      </c>
      <c r="Q25" t="s">
        <v>14</v>
      </c>
    </row>
    <row r="26" spans="1:17" x14ac:dyDescent="0.35">
      <c r="A26">
        <v>24</v>
      </c>
      <c r="B26" t="s">
        <v>28</v>
      </c>
      <c r="C26" t="s">
        <v>15</v>
      </c>
      <c r="D26">
        <f>VLOOKUP($C26,Sheet2!$A$2:$B$5,2,0)</f>
        <v>30</v>
      </c>
      <c r="E26">
        <v>8</v>
      </c>
      <c r="F26">
        <f t="shared" si="3"/>
        <v>58</v>
      </c>
      <c r="G26" s="1">
        <v>43709</v>
      </c>
      <c r="H26" s="1">
        <v>43738</v>
      </c>
      <c r="I26" s="2">
        <f t="shared" si="0"/>
        <v>29</v>
      </c>
      <c r="J26" s="1">
        <v>44075</v>
      </c>
      <c r="K26" s="1">
        <v>44104</v>
      </c>
      <c r="L26">
        <f t="shared" si="1"/>
        <v>29</v>
      </c>
      <c r="O26">
        <f t="shared" si="2"/>
        <v>0</v>
      </c>
      <c r="P26" t="s">
        <v>13</v>
      </c>
      <c r="Q26" t="s">
        <v>14</v>
      </c>
    </row>
    <row r="27" spans="1:17" x14ac:dyDescent="0.35">
      <c r="A27">
        <v>25</v>
      </c>
      <c r="B27" t="s">
        <v>28</v>
      </c>
      <c r="C27" t="s">
        <v>16</v>
      </c>
      <c r="D27">
        <f>VLOOKUP($C27,Sheet2!$A$2:$B$5,2,0)</f>
        <v>30</v>
      </c>
      <c r="E27">
        <v>3</v>
      </c>
      <c r="F27">
        <f t="shared" si="3"/>
        <v>35</v>
      </c>
      <c r="G27" s="1">
        <v>43739</v>
      </c>
      <c r="H27" s="1">
        <v>43761</v>
      </c>
      <c r="I27" s="2">
        <f t="shared" si="0"/>
        <v>22</v>
      </c>
      <c r="J27" s="1">
        <v>44105</v>
      </c>
      <c r="K27" s="1">
        <v>44118</v>
      </c>
      <c r="L27">
        <f t="shared" si="1"/>
        <v>13</v>
      </c>
      <c r="O27">
        <f t="shared" si="2"/>
        <v>0</v>
      </c>
      <c r="P27" t="s">
        <v>13</v>
      </c>
      <c r="Q27" t="s">
        <v>14</v>
      </c>
    </row>
    <row r="28" spans="1:17" x14ac:dyDescent="0.35">
      <c r="A28">
        <v>26</v>
      </c>
      <c r="B28" t="s">
        <v>29</v>
      </c>
      <c r="C28" t="s">
        <v>12</v>
      </c>
      <c r="D28">
        <f>VLOOKUP($C28,Sheet2!$A$2:$B$5,2,0)</f>
        <v>31</v>
      </c>
      <c r="E28">
        <v>3</v>
      </c>
      <c r="F28">
        <f t="shared" si="3"/>
        <v>23</v>
      </c>
      <c r="G28" s="1">
        <v>43705</v>
      </c>
      <c r="H28" s="1">
        <v>43708</v>
      </c>
      <c r="I28" s="2">
        <f t="shared" si="0"/>
        <v>3</v>
      </c>
      <c r="J28" s="1">
        <v>44071</v>
      </c>
      <c r="K28" s="1">
        <v>44074</v>
      </c>
      <c r="L28">
        <f t="shared" si="1"/>
        <v>3</v>
      </c>
      <c r="M28" s="1">
        <v>44410</v>
      </c>
      <c r="N28" s="1">
        <v>44427</v>
      </c>
      <c r="O28">
        <f t="shared" si="2"/>
        <v>17</v>
      </c>
      <c r="P28" t="s">
        <v>13</v>
      </c>
      <c r="Q28" t="s">
        <v>14</v>
      </c>
    </row>
    <row r="29" spans="1:17" x14ac:dyDescent="0.35">
      <c r="A29">
        <v>27</v>
      </c>
      <c r="B29" t="s">
        <v>29</v>
      </c>
      <c r="C29" t="s">
        <v>15</v>
      </c>
      <c r="D29">
        <f>VLOOKUP($C29,Sheet2!$A$2:$B$5,2,0)</f>
        <v>30</v>
      </c>
      <c r="E29">
        <v>9</v>
      </c>
      <c r="F29">
        <f t="shared" si="3"/>
        <v>58</v>
      </c>
      <c r="G29" s="1">
        <v>43709</v>
      </c>
      <c r="H29" s="1">
        <v>43738</v>
      </c>
      <c r="I29" s="2">
        <f t="shared" si="0"/>
        <v>29</v>
      </c>
      <c r="J29" s="1">
        <v>44075</v>
      </c>
      <c r="K29" s="1">
        <v>44104</v>
      </c>
      <c r="L29">
        <f t="shared" si="1"/>
        <v>29</v>
      </c>
      <c r="O29">
        <f t="shared" si="2"/>
        <v>0</v>
      </c>
      <c r="P29" t="s">
        <v>13</v>
      </c>
      <c r="Q29" t="s">
        <v>14</v>
      </c>
    </row>
    <row r="30" spans="1:17" x14ac:dyDescent="0.35">
      <c r="A30">
        <v>28</v>
      </c>
      <c r="B30" t="s">
        <v>29</v>
      </c>
      <c r="C30" t="s">
        <v>16</v>
      </c>
      <c r="D30">
        <f>VLOOKUP($C30,Sheet2!$A$2:$B$5,2,0)</f>
        <v>30</v>
      </c>
      <c r="E30">
        <v>5</v>
      </c>
      <c r="F30">
        <f t="shared" si="3"/>
        <v>34</v>
      </c>
      <c r="G30" s="1">
        <v>43739</v>
      </c>
      <c r="H30" s="1">
        <v>43753</v>
      </c>
      <c r="I30" s="2">
        <f t="shared" si="0"/>
        <v>14</v>
      </c>
      <c r="J30" s="1">
        <v>44105</v>
      </c>
      <c r="K30" s="1">
        <v>44125</v>
      </c>
      <c r="L30">
        <f t="shared" si="1"/>
        <v>20</v>
      </c>
      <c r="O30">
        <f t="shared" si="2"/>
        <v>0</v>
      </c>
      <c r="P30" t="s">
        <v>13</v>
      </c>
      <c r="Q30" t="s">
        <v>14</v>
      </c>
    </row>
    <row r="31" spans="1:17" x14ac:dyDescent="0.35">
      <c r="A31">
        <v>29</v>
      </c>
      <c r="B31" t="s">
        <v>30</v>
      </c>
      <c r="C31" t="s">
        <v>12</v>
      </c>
      <c r="D31">
        <f>VLOOKUP($C31,Sheet2!$A$2:$B$5,2,0)</f>
        <v>31</v>
      </c>
      <c r="E31">
        <v>10</v>
      </c>
      <c r="F31">
        <f t="shared" si="3"/>
        <v>24</v>
      </c>
      <c r="I31" s="2">
        <f t="shared" si="0"/>
        <v>0</v>
      </c>
      <c r="J31" s="1">
        <v>44064</v>
      </c>
      <c r="K31" s="1">
        <v>44074</v>
      </c>
      <c r="L31">
        <f t="shared" si="1"/>
        <v>10</v>
      </c>
      <c r="M31" s="1">
        <v>44413</v>
      </c>
      <c r="N31" s="1">
        <v>44427</v>
      </c>
      <c r="O31">
        <f t="shared" si="2"/>
        <v>14</v>
      </c>
      <c r="P31" t="s">
        <v>31</v>
      </c>
      <c r="Q31" t="s">
        <v>14</v>
      </c>
    </row>
    <row r="32" spans="1:17" x14ac:dyDescent="0.35">
      <c r="A32">
        <v>30</v>
      </c>
      <c r="B32" t="s">
        <v>30</v>
      </c>
      <c r="C32" t="s">
        <v>15</v>
      </c>
      <c r="D32">
        <f>VLOOKUP($C32,Sheet2!$A$2:$B$5,2,0)</f>
        <v>30</v>
      </c>
      <c r="E32">
        <v>10</v>
      </c>
      <c r="F32">
        <f t="shared" si="3"/>
        <v>40</v>
      </c>
      <c r="G32" s="1">
        <v>43727</v>
      </c>
      <c r="H32" s="1">
        <v>43738</v>
      </c>
      <c r="I32" s="2">
        <f t="shared" si="0"/>
        <v>11</v>
      </c>
      <c r="J32" s="1">
        <v>44075</v>
      </c>
      <c r="K32" s="1">
        <v>44104</v>
      </c>
      <c r="L32">
        <f t="shared" si="1"/>
        <v>29</v>
      </c>
      <c r="O32">
        <f t="shared" si="2"/>
        <v>0</v>
      </c>
      <c r="P32" t="s">
        <v>31</v>
      </c>
      <c r="Q32" t="s">
        <v>14</v>
      </c>
    </row>
    <row r="33" spans="1:18" x14ac:dyDescent="0.35">
      <c r="A33">
        <v>31</v>
      </c>
      <c r="B33" t="s">
        <v>30</v>
      </c>
      <c r="C33" t="s">
        <v>16</v>
      </c>
      <c r="D33">
        <f>VLOOKUP($C33,Sheet2!$A$2:$B$5,2,0)</f>
        <v>30</v>
      </c>
      <c r="E33">
        <v>3</v>
      </c>
      <c r="F33">
        <f t="shared" si="3"/>
        <v>36</v>
      </c>
      <c r="G33" s="1">
        <v>43739</v>
      </c>
      <c r="H33" s="1">
        <v>43757</v>
      </c>
      <c r="I33" s="2">
        <f t="shared" si="0"/>
        <v>18</v>
      </c>
      <c r="J33" s="1">
        <v>44105</v>
      </c>
      <c r="K33" s="1">
        <v>44123</v>
      </c>
      <c r="L33">
        <f t="shared" si="1"/>
        <v>18</v>
      </c>
      <c r="O33">
        <f t="shared" si="2"/>
        <v>0</v>
      </c>
      <c r="P33" t="s">
        <v>31</v>
      </c>
      <c r="Q33" t="s">
        <v>14</v>
      </c>
    </row>
    <row r="34" spans="1:18" x14ac:dyDescent="0.35">
      <c r="A34">
        <v>32</v>
      </c>
      <c r="B34" t="s">
        <v>32</v>
      </c>
      <c r="C34" t="s">
        <v>12</v>
      </c>
      <c r="D34">
        <f>VLOOKUP($C34,Sheet2!$A$2:$B$5,2,0)</f>
        <v>31</v>
      </c>
      <c r="E34">
        <v>12</v>
      </c>
      <c r="F34">
        <f t="shared" si="3"/>
        <v>32</v>
      </c>
      <c r="G34" s="1">
        <v>43696</v>
      </c>
      <c r="H34" s="1">
        <v>43707</v>
      </c>
      <c r="I34" s="2">
        <f t="shared" si="0"/>
        <v>11</v>
      </c>
      <c r="J34" s="1">
        <v>44062</v>
      </c>
      <c r="K34" s="1">
        <v>44074</v>
      </c>
      <c r="L34">
        <f t="shared" si="1"/>
        <v>12</v>
      </c>
      <c r="M34" s="1">
        <v>44418</v>
      </c>
      <c r="N34" s="1">
        <v>44427</v>
      </c>
      <c r="O34">
        <f t="shared" si="2"/>
        <v>9</v>
      </c>
      <c r="P34" t="s">
        <v>13</v>
      </c>
      <c r="Q34" t="s">
        <v>14</v>
      </c>
    </row>
    <row r="35" spans="1:18" x14ac:dyDescent="0.35">
      <c r="A35">
        <v>33</v>
      </c>
      <c r="B35" t="s">
        <v>32</v>
      </c>
      <c r="C35" t="s">
        <v>15</v>
      </c>
      <c r="D35">
        <f>VLOOKUP($C35,Sheet2!$A$2:$B$5,2,0)</f>
        <v>30</v>
      </c>
      <c r="E35">
        <v>3</v>
      </c>
      <c r="F35">
        <f t="shared" si="3"/>
        <v>30</v>
      </c>
      <c r="G35" s="1">
        <v>43709</v>
      </c>
      <c r="H35" s="1">
        <v>43738</v>
      </c>
      <c r="I35" s="2">
        <f t="shared" si="0"/>
        <v>29</v>
      </c>
      <c r="J35" s="1">
        <v>44075</v>
      </c>
      <c r="K35" s="1">
        <v>44076</v>
      </c>
      <c r="L35">
        <f t="shared" si="1"/>
        <v>1</v>
      </c>
      <c r="O35">
        <f t="shared" si="2"/>
        <v>0</v>
      </c>
      <c r="P35" t="s">
        <v>13</v>
      </c>
      <c r="Q35" t="s">
        <v>14</v>
      </c>
    </row>
    <row r="36" spans="1:18" x14ac:dyDescent="0.35">
      <c r="A36">
        <v>34</v>
      </c>
      <c r="B36" t="s">
        <v>32</v>
      </c>
      <c r="C36" t="s">
        <v>16</v>
      </c>
      <c r="D36">
        <f>VLOOKUP($C36,Sheet2!$A$2:$B$5,2,0)</f>
        <v>30</v>
      </c>
      <c r="E36">
        <v>1</v>
      </c>
      <c r="F36">
        <f t="shared" si="3"/>
        <v>18</v>
      </c>
      <c r="G36" s="1">
        <v>43739</v>
      </c>
      <c r="H36" s="1">
        <v>43757</v>
      </c>
      <c r="I36" s="2">
        <f>_xlfn.DAYS(H36,G36)</f>
        <v>18</v>
      </c>
      <c r="L36">
        <f t="shared" si="1"/>
        <v>0</v>
      </c>
      <c r="O36">
        <f t="shared" si="2"/>
        <v>0</v>
      </c>
      <c r="P36" t="s">
        <v>13</v>
      </c>
      <c r="Q36" t="s">
        <v>14</v>
      </c>
    </row>
    <row r="37" spans="1:18" x14ac:dyDescent="0.35">
      <c r="A37">
        <v>35</v>
      </c>
      <c r="B37" t="s">
        <v>33</v>
      </c>
      <c r="C37" t="s">
        <v>12</v>
      </c>
      <c r="D37">
        <f>VLOOKUP($C37,Sheet2!$A$2:$B$5,2,0)</f>
        <v>31</v>
      </c>
      <c r="E37">
        <v>5</v>
      </c>
      <c r="F37">
        <f t="shared" si="3"/>
        <v>13</v>
      </c>
      <c r="I37" s="2">
        <f t="shared" ref="I37:I39" si="5">_xlfn.DAYS(H37,G37)</f>
        <v>0</v>
      </c>
      <c r="J37" s="1">
        <v>44062</v>
      </c>
      <c r="K37" s="1">
        <v>44074</v>
      </c>
      <c r="L37">
        <f t="shared" si="1"/>
        <v>12</v>
      </c>
      <c r="M37" s="1">
        <v>44413</v>
      </c>
      <c r="N37" s="1">
        <v>44414</v>
      </c>
      <c r="O37">
        <f t="shared" si="2"/>
        <v>1</v>
      </c>
      <c r="P37" t="s">
        <v>13</v>
      </c>
      <c r="Q37" t="s">
        <v>14</v>
      </c>
    </row>
    <row r="38" spans="1:18" x14ac:dyDescent="0.35">
      <c r="A38">
        <v>36</v>
      </c>
      <c r="B38" t="s">
        <v>33</v>
      </c>
      <c r="C38" t="s">
        <v>15</v>
      </c>
      <c r="D38">
        <f>VLOOKUP($C38,Sheet2!$A$2:$B$5,2,0)</f>
        <v>30</v>
      </c>
      <c r="E38">
        <v>9</v>
      </c>
      <c r="F38">
        <f t="shared" si="3"/>
        <v>40</v>
      </c>
      <c r="G38" s="1">
        <v>43727</v>
      </c>
      <c r="H38" s="1">
        <v>43738</v>
      </c>
      <c r="I38" s="2">
        <f t="shared" si="5"/>
        <v>11</v>
      </c>
      <c r="J38" s="1">
        <v>44075</v>
      </c>
      <c r="K38" s="1">
        <v>44104</v>
      </c>
      <c r="L38">
        <f t="shared" si="1"/>
        <v>29</v>
      </c>
      <c r="O38">
        <f t="shared" si="2"/>
        <v>0</v>
      </c>
      <c r="P38" t="s">
        <v>13</v>
      </c>
      <c r="Q38" t="s">
        <v>14</v>
      </c>
    </row>
    <row r="39" spans="1:18" x14ac:dyDescent="0.35">
      <c r="A39">
        <v>37</v>
      </c>
      <c r="B39" t="s">
        <v>33</v>
      </c>
      <c r="C39" t="s">
        <v>16</v>
      </c>
      <c r="D39">
        <f>VLOOKUP($C39,Sheet2!$A$2:$B$5,2,0)</f>
        <v>30</v>
      </c>
      <c r="E39">
        <v>5</v>
      </c>
      <c r="F39">
        <f t="shared" si="3"/>
        <v>38</v>
      </c>
      <c r="G39" s="1">
        <v>43739</v>
      </c>
      <c r="H39" s="1">
        <v>43757</v>
      </c>
      <c r="I39" s="2">
        <f t="shared" si="5"/>
        <v>18</v>
      </c>
      <c r="J39" s="1">
        <v>44105</v>
      </c>
      <c r="K39" s="1">
        <v>44125</v>
      </c>
      <c r="L39">
        <f t="shared" si="1"/>
        <v>20</v>
      </c>
      <c r="O39">
        <f t="shared" si="2"/>
        <v>0</v>
      </c>
      <c r="P39" t="s">
        <v>13</v>
      </c>
      <c r="Q39" t="s">
        <v>14</v>
      </c>
    </row>
    <row r="40" spans="1:18" x14ac:dyDescent="0.35">
      <c r="A40">
        <v>39</v>
      </c>
      <c r="B40" t="s">
        <v>34</v>
      </c>
      <c r="C40" t="s">
        <v>20</v>
      </c>
      <c r="D40">
        <f>VLOOKUP($C40,Sheet2!$A$2:$B$5,2,0)</f>
        <v>31</v>
      </c>
      <c r="E40">
        <v>3</v>
      </c>
      <c r="F40">
        <f t="shared" si="3"/>
        <v>21</v>
      </c>
      <c r="I40" s="2">
        <f t="shared" si="0"/>
        <v>0</v>
      </c>
      <c r="J40" s="1">
        <v>44022</v>
      </c>
      <c r="K40" s="1">
        <v>44043</v>
      </c>
      <c r="L40">
        <f t="shared" si="1"/>
        <v>21</v>
      </c>
      <c r="O40">
        <f t="shared" si="2"/>
        <v>0</v>
      </c>
      <c r="P40" t="s">
        <v>13</v>
      </c>
      <c r="Q40" t="s">
        <v>14</v>
      </c>
    </row>
    <row r="41" spans="1:18" x14ac:dyDescent="0.35">
      <c r="A41">
        <v>40</v>
      </c>
      <c r="B41" t="s">
        <v>34</v>
      </c>
      <c r="C41" t="s">
        <v>12</v>
      </c>
      <c r="D41">
        <f>VLOOKUP($C41,Sheet2!$A$2:$B$5,2,0)</f>
        <v>31</v>
      </c>
      <c r="E41">
        <v>8</v>
      </c>
      <c r="F41">
        <f t="shared" si="3"/>
        <v>32</v>
      </c>
      <c r="I41" s="2">
        <f t="shared" si="0"/>
        <v>0</v>
      </c>
      <c r="J41" s="1">
        <v>44044</v>
      </c>
      <c r="K41" s="1">
        <v>44074</v>
      </c>
      <c r="L41">
        <f t="shared" si="1"/>
        <v>30</v>
      </c>
      <c r="M41" s="1">
        <v>44425</v>
      </c>
      <c r="N41" s="1">
        <v>44427</v>
      </c>
      <c r="O41">
        <f t="shared" si="2"/>
        <v>2</v>
      </c>
      <c r="P41" t="s">
        <v>13</v>
      </c>
      <c r="Q41" t="s">
        <v>14</v>
      </c>
    </row>
    <row r="42" spans="1:18" x14ac:dyDescent="0.35">
      <c r="A42">
        <v>41</v>
      </c>
      <c r="B42" t="s">
        <v>34</v>
      </c>
      <c r="C42" t="s">
        <v>15</v>
      </c>
      <c r="D42">
        <f>VLOOKUP($C42,Sheet2!$A$2:$B$5,2,0)</f>
        <v>30</v>
      </c>
      <c r="E42">
        <v>7</v>
      </c>
      <c r="F42">
        <f t="shared" si="3"/>
        <v>36</v>
      </c>
      <c r="G42" s="1">
        <v>43731</v>
      </c>
      <c r="H42" s="1">
        <v>43738</v>
      </c>
      <c r="I42" s="2">
        <f t="shared" si="0"/>
        <v>7</v>
      </c>
      <c r="J42" s="1">
        <v>44075</v>
      </c>
      <c r="K42" s="1">
        <v>44104</v>
      </c>
      <c r="L42">
        <f t="shared" si="1"/>
        <v>29</v>
      </c>
      <c r="O42">
        <f t="shared" si="2"/>
        <v>0</v>
      </c>
      <c r="P42" t="s">
        <v>13</v>
      </c>
      <c r="Q42" t="s">
        <v>14</v>
      </c>
    </row>
    <row r="43" spans="1:18" x14ac:dyDescent="0.35">
      <c r="B43" t="s">
        <v>34</v>
      </c>
      <c r="C43" t="s">
        <v>16</v>
      </c>
      <c r="D43">
        <f>VLOOKUP($C43,Sheet2!$A$2:$B$5,2,0)</f>
        <v>30</v>
      </c>
      <c r="E43">
        <v>10</v>
      </c>
      <c r="F43">
        <f t="shared" si="3"/>
        <v>38</v>
      </c>
      <c r="G43" s="1">
        <v>43739</v>
      </c>
      <c r="H43" s="1">
        <v>43757</v>
      </c>
      <c r="I43" s="2">
        <f>_xlfn.DAYS(H43,G43)</f>
        <v>18</v>
      </c>
      <c r="J43" s="1">
        <v>44105</v>
      </c>
      <c r="K43" s="1">
        <v>44125</v>
      </c>
      <c r="L43">
        <f t="shared" si="1"/>
        <v>20</v>
      </c>
      <c r="O43">
        <f t="shared" si="2"/>
        <v>0</v>
      </c>
      <c r="R43" t="s">
        <v>63</v>
      </c>
    </row>
    <row r="44" spans="1:18" x14ac:dyDescent="0.35">
      <c r="A44">
        <v>42</v>
      </c>
      <c r="B44" t="s">
        <v>35</v>
      </c>
      <c r="C44" t="s">
        <v>12</v>
      </c>
      <c r="D44">
        <f>VLOOKUP($C44,Sheet2!$A$2:$B$5,2,0)</f>
        <v>31</v>
      </c>
      <c r="E44">
        <v>4</v>
      </c>
      <c r="F44">
        <f t="shared" si="3"/>
        <v>14</v>
      </c>
      <c r="G44" s="1">
        <v>43706</v>
      </c>
      <c r="H44" s="1">
        <v>43708</v>
      </c>
      <c r="I44" s="2">
        <f>_xlfn.DAYS(H44,G44)</f>
        <v>2</v>
      </c>
      <c r="J44" s="1">
        <v>44069</v>
      </c>
      <c r="K44" s="1">
        <v>44074</v>
      </c>
      <c r="L44">
        <f t="shared" si="1"/>
        <v>5</v>
      </c>
      <c r="M44" s="1">
        <v>44420</v>
      </c>
      <c r="N44" s="1">
        <v>44427</v>
      </c>
      <c r="O44">
        <f t="shared" si="2"/>
        <v>7</v>
      </c>
      <c r="P44" t="s">
        <v>31</v>
      </c>
      <c r="Q44" t="s">
        <v>22</v>
      </c>
    </row>
    <row r="45" spans="1:18" x14ac:dyDescent="0.35">
      <c r="A45">
        <v>43</v>
      </c>
      <c r="B45" t="s">
        <v>35</v>
      </c>
      <c r="C45" t="s">
        <v>15</v>
      </c>
      <c r="D45">
        <f>VLOOKUP($C45,Sheet2!$A$2:$B$5,2,0)</f>
        <v>30</v>
      </c>
      <c r="E45">
        <v>1</v>
      </c>
      <c r="F45">
        <f t="shared" si="3"/>
        <v>46</v>
      </c>
      <c r="G45" s="1">
        <v>43709</v>
      </c>
      <c r="H45" s="1">
        <v>43727</v>
      </c>
      <c r="I45" s="2">
        <f t="shared" si="0"/>
        <v>18</v>
      </c>
      <c r="J45" s="1">
        <v>44076</v>
      </c>
      <c r="K45" s="1">
        <v>44104</v>
      </c>
      <c r="L45">
        <f t="shared" si="1"/>
        <v>28</v>
      </c>
      <c r="O45">
        <f t="shared" si="2"/>
        <v>0</v>
      </c>
      <c r="P45" t="s">
        <v>31</v>
      </c>
      <c r="Q45" t="s">
        <v>22</v>
      </c>
    </row>
    <row r="46" spans="1:18" x14ac:dyDescent="0.35">
      <c r="A46">
        <v>44</v>
      </c>
      <c r="B46" t="s">
        <v>36</v>
      </c>
      <c r="C46" t="s">
        <v>12</v>
      </c>
      <c r="D46">
        <f>VLOOKUP($C46,Sheet2!$A$2:$B$5,2,0)</f>
        <v>31</v>
      </c>
      <c r="E46">
        <v>4</v>
      </c>
      <c r="F46">
        <f t="shared" si="3"/>
        <v>21</v>
      </c>
      <c r="G46" s="1">
        <v>43700</v>
      </c>
      <c r="H46" s="1">
        <v>43708</v>
      </c>
      <c r="I46" s="2">
        <f t="shared" si="0"/>
        <v>8</v>
      </c>
      <c r="J46" s="1">
        <v>44062</v>
      </c>
      <c r="K46" s="1">
        <v>44074</v>
      </c>
      <c r="L46">
        <f t="shared" si="1"/>
        <v>12</v>
      </c>
      <c r="M46" s="1">
        <v>44413</v>
      </c>
      <c r="N46" s="1">
        <v>44414</v>
      </c>
      <c r="O46">
        <f t="shared" si="2"/>
        <v>1</v>
      </c>
      <c r="P46" t="s">
        <v>13</v>
      </c>
      <c r="Q46" t="s">
        <v>22</v>
      </c>
    </row>
    <row r="47" spans="1:18" x14ac:dyDescent="0.35">
      <c r="A47">
        <v>45</v>
      </c>
      <c r="B47" t="s">
        <v>36</v>
      </c>
      <c r="C47" t="s">
        <v>15</v>
      </c>
      <c r="D47">
        <f>VLOOKUP($C47,Sheet2!$A$2:$B$5,2,0)</f>
        <v>30</v>
      </c>
      <c r="E47">
        <v>1</v>
      </c>
      <c r="F47">
        <f t="shared" si="3"/>
        <v>46</v>
      </c>
      <c r="G47" s="1">
        <v>43709</v>
      </c>
      <c r="H47" s="1">
        <v>43738</v>
      </c>
      <c r="I47" s="2">
        <f t="shared" si="0"/>
        <v>29</v>
      </c>
      <c r="J47" s="1">
        <v>44075</v>
      </c>
      <c r="K47" s="1">
        <v>44092</v>
      </c>
      <c r="L47">
        <f t="shared" si="1"/>
        <v>17</v>
      </c>
      <c r="O47">
        <f t="shared" si="2"/>
        <v>0</v>
      </c>
      <c r="P47" t="s">
        <v>13</v>
      </c>
      <c r="Q47" t="s">
        <v>22</v>
      </c>
    </row>
    <row r="48" spans="1:18" x14ac:dyDescent="0.35">
      <c r="A48">
        <v>46</v>
      </c>
      <c r="B48" t="s">
        <v>36</v>
      </c>
      <c r="C48" t="s">
        <v>16</v>
      </c>
      <c r="D48">
        <f>VLOOKUP($C48,Sheet2!$A$2:$B$5,2,0)</f>
        <v>30</v>
      </c>
      <c r="E48">
        <v>1</v>
      </c>
      <c r="F48">
        <f t="shared" si="3"/>
        <v>18</v>
      </c>
      <c r="G48" s="1">
        <v>43739</v>
      </c>
      <c r="H48" s="1">
        <v>43757</v>
      </c>
      <c r="I48" s="2">
        <f t="shared" si="0"/>
        <v>18</v>
      </c>
      <c r="L48">
        <f t="shared" si="1"/>
        <v>0</v>
      </c>
      <c r="O48">
        <f t="shared" si="2"/>
        <v>0</v>
      </c>
      <c r="P48" t="s">
        <v>13</v>
      </c>
      <c r="Q48" t="s">
        <v>22</v>
      </c>
    </row>
    <row r="49" spans="1:18" x14ac:dyDescent="0.35">
      <c r="A49">
        <v>47</v>
      </c>
      <c r="B49" t="s">
        <v>37</v>
      </c>
      <c r="C49" t="s">
        <v>12</v>
      </c>
      <c r="D49">
        <f>VLOOKUP($C49,Sheet2!$A$2:$B$5,2,0)</f>
        <v>31</v>
      </c>
      <c r="E49">
        <v>1</v>
      </c>
      <c r="F49">
        <f t="shared" si="3"/>
        <v>1</v>
      </c>
      <c r="I49" s="2">
        <f t="shared" si="0"/>
        <v>0</v>
      </c>
      <c r="L49">
        <f t="shared" si="1"/>
        <v>0</v>
      </c>
      <c r="M49" s="1">
        <v>44413</v>
      </c>
      <c r="N49" s="1">
        <v>44414</v>
      </c>
      <c r="O49">
        <f t="shared" si="2"/>
        <v>1</v>
      </c>
      <c r="P49" t="s">
        <v>31</v>
      </c>
      <c r="Q49" t="s">
        <v>22</v>
      </c>
    </row>
    <row r="50" spans="1:18" x14ac:dyDescent="0.35">
      <c r="A50">
        <v>48</v>
      </c>
      <c r="B50" t="s">
        <v>38</v>
      </c>
      <c r="C50" t="s">
        <v>20</v>
      </c>
      <c r="D50">
        <f>VLOOKUP($C50,Sheet2!$A$2:$B$5,2,0)</f>
        <v>31</v>
      </c>
      <c r="E50">
        <v>2</v>
      </c>
      <c r="F50">
        <f t="shared" si="3"/>
        <v>21</v>
      </c>
      <c r="G50" s="1">
        <v>43668</v>
      </c>
      <c r="H50" s="1">
        <v>43677</v>
      </c>
      <c r="I50" s="2">
        <f t="shared" si="0"/>
        <v>9</v>
      </c>
      <c r="L50">
        <f t="shared" si="1"/>
        <v>0</v>
      </c>
      <c r="M50" s="1">
        <v>44396</v>
      </c>
      <c r="N50" s="1">
        <v>44408</v>
      </c>
      <c r="O50">
        <f t="shared" si="2"/>
        <v>12</v>
      </c>
      <c r="P50" t="s">
        <v>27</v>
      </c>
      <c r="Q50" t="s">
        <v>14</v>
      </c>
    </row>
    <row r="51" spans="1:18" x14ac:dyDescent="0.35">
      <c r="A51">
        <v>49</v>
      </c>
      <c r="B51" t="s">
        <v>38</v>
      </c>
      <c r="C51" t="s">
        <v>12</v>
      </c>
      <c r="D51">
        <f>VLOOKUP($C51,Sheet2!$A$2:$B$5,2,0)</f>
        <v>31</v>
      </c>
      <c r="E51">
        <v>5</v>
      </c>
      <c r="F51">
        <f t="shared" si="3"/>
        <v>46</v>
      </c>
      <c r="G51" s="1">
        <v>43678</v>
      </c>
      <c r="H51" s="1">
        <v>43708</v>
      </c>
      <c r="I51" s="2">
        <f t="shared" si="0"/>
        <v>30</v>
      </c>
      <c r="J51" s="1">
        <v>44062</v>
      </c>
      <c r="K51" s="1">
        <v>44074</v>
      </c>
      <c r="L51">
        <f t="shared" si="1"/>
        <v>12</v>
      </c>
      <c r="M51" s="1">
        <v>44409</v>
      </c>
      <c r="N51" s="1">
        <v>44413</v>
      </c>
      <c r="O51">
        <f t="shared" si="2"/>
        <v>4</v>
      </c>
      <c r="P51" t="s">
        <v>27</v>
      </c>
      <c r="Q51" t="s">
        <v>14</v>
      </c>
    </row>
    <row r="52" spans="1:18" x14ac:dyDescent="0.35">
      <c r="A52">
        <v>50</v>
      </c>
      <c r="B52" t="s">
        <v>38</v>
      </c>
      <c r="C52" t="s">
        <v>15</v>
      </c>
      <c r="D52">
        <f>VLOOKUP($C52,Sheet2!$A$2:$B$5,2,0)</f>
        <v>30</v>
      </c>
      <c r="E52">
        <v>3</v>
      </c>
      <c r="F52">
        <f t="shared" si="3"/>
        <v>49</v>
      </c>
      <c r="G52" s="1">
        <v>43709</v>
      </c>
      <c r="H52" s="1">
        <v>43738</v>
      </c>
      <c r="I52" s="2">
        <f t="shared" si="0"/>
        <v>29</v>
      </c>
      <c r="J52" s="1">
        <v>44075</v>
      </c>
      <c r="K52" s="1">
        <v>44095</v>
      </c>
      <c r="L52">
        <f t="shared" si="1"/>
        <v>20</v>
      </c>
      <c r="O52">
        <f t="shared" si="2"/>
        <v>0</v>
      </c>
      <c r="P52" t="s">
        <v>27</v>
      </c>
      <c r="Q52" t="s">
        <v>14</v>
      </c>
    </row>
    <row r="53" spans="1:18" x14ac:dyDescent="0.35">
      <c r="A53">
        <v>51</v>
      </c>
      <c r="B53" t="s">
        <v>38</v>
      </c>
      <c r="C53" t="s">
        <v>16</v>
      </c>
      <c r="D53">
        <f>VLOOKUP($C53,Sheet2!$A$2:$B$5,2,0)</f>
        <v>30</v>
      </c>
      <c r="E53">
        <v>2</v>
      </c>
      <c r="F53">
        <f t="shared" si="3"/>
        <v>18</v>
      </c>
      <c r="G53" s="1">
        <v>43739</v>
      </c>
      <c r="H53" s="1">
        <v>43757</v>
      </c>
      <c r="I53" s="2">
        <f t="shared" si="0"/>
        <v>18</v>
      </c>
      <c r="L53">
        <f t="shared" si="1"/>
        <v>0</v>
      </c>
      <c r="O53">
        <f t="shared" si="2"/>
        <v>0</v>
      </c>
      <c r="P53" t="s">
        <v>27</v>
      </c>
      <c r="Q53" t="s">
        <v>14</v>
      </c>
    </row>
    <row r="54" spans="1:18" x14ac:dyDescent="0.35">
      <c r="A54">
        <v>52</v>
      </c>
      <c r="B54" t="s">
        <v>39</v>
      </c>
      <c r="C54" t="s">
        <v>12</v>
      </c>
      <c r="D54">
        <f>VLOOKUP($C54,Sheet2!$A$2:$B$5,2,0)</f>
        <v>31</v>
      </c>
      <c r="E54">
        <v>5</v>
      </c>
      <c r="F54">
        <f t="shared" si="3"/>
        <v>20</v>
      </c>
      <c r="G54" s="1">
        <v>43700</v>
      </c>
      <c r="H54" s="1">
        <v>43708</v>
      </c>
      <c r="I54" s="2">
        <f t="shared" si="0"/>
        <v>8</v>
      </c>
      <c r="J54" s="1">
        <v>44062</v>
      </c>
      <c r="K54" s="1">
        <v>44074</v>
      </c>
      <c r="L54">
        <f t="shared" si="1"/>
        <v>12</v>
      </c>
      <c r="O54">
        <f t="shared" si="2"/>
        <v>0</v>
      </c>
      <c r="P54" t="s">
        <v>27</v>
      </c>
      <c r="Q54" t="s">
        <v>14</v>
      </c>
    </row>
    <row r="55" spans="1:18" x14ac:dyDescent="0.35">
      <c r="A55">
        <v>53</v>
      </c>
      <c r="B55" t="s">
        <v>39</v>
      </c>
      <c r="C55" t="s">
        <v>15</v>
      </c>
      <c r="D55">
        <f>VLOOKUP($C55,Sheet2!$A$2:$B$5,2,0)</f>
        <v>30</v>
      </c>
      <c r="E55">
        <v>1</v>
      </c>
      <c r="F55">
        <f t="shared" si="3"/>
        <v>5</v>
      </c>
      <c r="G55" s="1">
        <v>43709</v>
      </c>
      <c r="H55" s="1">
        <v>43713</v>
      </c>
      <c r="I55" s="2">
        <f t="shared" si="0"/>
        <v>4</v>
      </c>
      <c r="J55" s="1">
        <v>44075</v>
      </c>
      <c r="K55" s="1">
        <v>44076</v>
      </c>
      <c r="L55">
        <f t="shared" si="1"/>
        <v>1</v>
      </c>
      <c r="O55">
        <f t="shared" si="2"/>
        <v>0</v>
      </c>
      <c r="P55" t="s">
        <v>27</v>
      </c>
      <c r="Q55" t="s">
        <v>14</v>
      </c>
    </row>
    <row r="56" spans="1:18" x14ac:dyDescent="0.35">
      <c r="A56">
        <v>54</v>
      </c>
      <c r="B56" t="s">
        <v>40</v>
      </c>
      <c r="C56" t="s">
        <v>12</v>
      </c>
      <c r="D56">
        <f>VLOOKUP($C56,Sheet2!$A$2:$B$5,2,0)</f>
        <v>31</v>
      </c>
      <c r="E56">
        <v>10</v>
      </c>
      <c r="F56">
        <f t="shared" si="3"/>
        <v>29</v>
      </c>
      <c r="G56" s="1">
        <v>43700</v>
      </c>
      <c r="H56" s="1">
        <v>43708</v>
      </c>
      <c r="I56" s="2">
        <f t="shared" si="0"/>
        <v>8</v>
      </c>
      <c r="J56" s="1">
        <v>44062</v>
      </c>
      <c r="K56" s="1">
        <v>44074</v>
      </c>
      <c r="L56">
        <f t="shared" si="1"/>
        <v>12</v>
      </c>
      <c r="M56" s="1">
        <v>44418</v>
      </c>
      <c r="N56" s="1">
        <v>44427</v>
      </c>
      <c r="O56">
        <f t="shared" si="2"/>
        <v>9</v>
      </c>
      <c r="P56" t="s">
        <v>21</v>
      </c>
      <c r="Q56" t="s">
        <v>22</v>
      </c>
    </row>
    <row r="57" spans="1:18" x14ac:dyDescent="0.35">
      <c r="A57">
        <v>55</v>
      </c>
      <c r="B57" t="s">
        <v>40</v>
      </c>
      <c r="C57" t="s">
        <v>15</v>
      </c>
      <c r="D57">
        <f>VLOOKUP($C57,Sheet2!$A$2:$B$5,2,0)</f>
        <v>30</v>
      </c>
      <c r="E57">
        <v>3</v>
      </c>
      <c r="F57">
        <f t="shared" si="3"/>
        <v>58</v>
      </c>
      <c r="G57" s="1">
        <v>43709</v>
      </c>
      <c r="H57" s="1">
        <v>43738</v>
      </c>
      <c r="I57" s="2">
        <f t="shared" si="0"/>
        <v>29</v>
      </c>
      <c r="J57" s="1">
        <v>44075</v>
      </c>
      <c r="K57" s="1">
        <v>44104</v>
      </c>
      <c r="L57">
        <f t="shared" si="1"/>
        <v>29</v>
      </c>
      <c r="O57">
        <f t="shared" si="2"/>
        <v>0</v>
      </c>
      <c r="P57" t="s">
        <v>21</v>
      </c>
      <c r="Q57" t="s">
        <v>22</v>
      </c>
    </row>
    <row r="58" spans="1:18" x14ac:dyDescent="0.35">
      <c r="A58">
        <v>56</v>
      </c>
      <c r="B58" t="s">
        <v>40</v>
      </c>
      <c r="C58" t="s">
        <v>16</v>
      </c>
      <c r="D58">
        <f>VLOOKUP($C58,Sheet2!$A$2:$B$5,2,0)</f>
        <v>30</v>
      </c>
      <c r="E58">
        <v>1</v>
      </c>
      <c r="F58">
        <f t="shared" si="3"/>
        <v>42</v>
      </c>
      <c r="G58" s="1">
        <v>43739</v>
      </c>
      <c r="H58" s="1">
        <v>43757</v>
      </c>
      <c r="I58" s="2">
        <f t="shared" si="0"/>
        <v>18</v>
      </c>
      <c r="J58" s="1">
        <v>44105</v>
      </c>
      <c r="K58" s="1">
        <v>44129</v>
      </c>
      <c r="L58">
        <f t="shared" si="1"/>
        <v>24</v>
      </c>
      <c r="O58">
        <f t="shared" si="2"/>
        <v>0</v>
      </c>
      <c r="P58" t="s">
        <v>21</v>
      </c>
      <c r="Q58" t="s">
        <v>22</v>
      </c>
    </row>
    <row r="59" spans="1:18" x14ac:dyDescent="0.35">
      <c r="A59">
        <v>57</v>
      </c>
      <c r="B59" t="s">
        <v>41</v>
      </c>
      <c r="C59" t="s">
        <v>12</v>
      </c>
      <c r="D59">
        <f>VLOOKUP($C59,Sheet2!$A$2:$B$5,2,0)</f>
        <v>31</v>
      </c>
      <c r="E59">
        <v>6</v>
      </c>
      <c r="F59">
        <f t="shared" si="3"/>
        <v>19</v>
      </c>
      <c r="I59" s="2">
        <f t="shared" si="0"/>
        <v>0</v>
      </c>
      <c r="J59" s="1">
        <v>44062</v>
      </c>
      <c r="K59" s="1">
        <v>44074</v>
      </c>
      <c r="L59">
        <f t="shared" si="1"/>
        <v>12</v>
      </c>
      <c r="M59" s="1">
        <v>44420</v>
      </c>
      <c r="N59" s="1">
        <v>44427</v>
      </c>
      <c r="O59">
        <f t="shared" si="2"/>
        <v>7</v>
      </c>
      <c r="P59" t="s">
        <v>13</v>
      </c>
      <c r="Q59" t="s">
        <v>22</v>
      </c>
    </row>
    <row r="60" spans="1:18" x14ac:dyDescent="0.35">
      <c r="A60">
        <v>58</v>
      </c>
      <c r="B60" t="s">
        <v>41</v>
      </c>
      <c r="C60" t="s">
        <v>15</v>
      </c>
      <c r="D60">
        <f>VLOOKUP($C60,Sheet2!$A$2:$B$5,2,0)</f>
        <v>30</v>
      </c>
      <c r="E60">
        <v>2</v>
      </c>
      <c r="F60">
        <f t="shared" si="3"/>
        <v>15</v>
      </c>
      <c r="G60" s="1">
        <v>43713</v>
      </c>
      <c r="H60" s="1">
        <v>43727</v>
      </c>
      <c r="I60" s="2">
        <f t="shared" si="0"/>
        <v>14</v>
      </c>
      <c r="J60" s="1">
        <v>44075</v>
      </c>
      <c r="K60" s="1">
        <v>44076</v>
      </c>
      <c r="L60">
        <f t="shared" si="1"/>
        <v>1</v>
      </c>
      <c r="O60">
        <f t="shared" si="2"/>
        <v>0</v>
      </c>
      <c r="P60" t="s">
        <v>13</v>
      </c>
      <c r="Q60" t="s">
        <v>22</v>
      </c>
    </row>
    <row r="61" spans="1:18" x14ac:dyDescent="0.35">
      <c r="A61">
        <v>59</v>
      </c>
      <c r="B61" t="s">
        <v>42</v>
      </c>
      <c r="C61" t="s">
        <v>12</v>
      </c>
      <c r="D61">
        <f>VLOOKUP($C61,Sheet2!$A$2:$B$5,2,0)</f>
        <v>31</v>
      </c>
      <c r="E61">
        <v>1</v>
      </c>
      <c r="F61">
        <f t="shared" si="3"/>
        <v>3</v>
      </c>
      <c r="I61" s="2">
        <f>_xlfn.DAYS(H61,G61)</f>
        <v>0</v>
      </c>
      <c r="J61" s="1">
        <v>44071</v>
      </c>
      <c r="K61" s="1">
        <v>44074</v>
      </c>
      <c r="L61">
        <f t="shared" si="1"/>
        <v>3</v>
      </c>
      <c r="O61">
        <f t="shared" si="2"/>
        <v>0</v>
      </c>
      <c r="P61" t="s">
        <v>21</v>
      </c>
      <c r="Q61" t="s">
        <v>22</v>
      </c>
      <c r="R61" t="s">
        <v>65</v>
      </c>
    </row>
    <row r="62" spans="1:18" x14ac:dyDescent="0.35">
      <c r="B62" t="s">
        <v>42</v>
      </c>
      <c r="C62" t="s">
        <v>15</v>
      </c>
      <c r="D62">
        <f>VLOOKUP($C62,Sheet2!$A$2:$B$5,2,0)</f>
        <v>30</v>
      </c>
      <c r="E62">
        <v>0</v>
      </c>
      <c r="F62">
        <f t="shared" si="3"/>
        <v>29</v>
      </c>
      <c r="I62" s="2">
        <f t="shared" si="0"/>
        <v>0</v>
      </c>
      <c r="J62" s="1">
        <v>44075</v>
      </c>
      <c r="K62" s="1">
        <v>44104</v>
      </c>
      <c r="L62">
        <f t="shared" si="1"/>
        <v>29</v>
      </c>
      <c r="O62">
        <f t="shared" si="2"/>
        <v>0</v>
      </c>
    </row>
    <row r="63" spans="1:18" x14ac:dyDescent="0.35">
      <c r="A63">
        <v>60</v>
      </c>
      <c r="B63" t="s">
        <v>42</v>
      </c>
      <c r="C63" t="s">
        <v>16</v>
      </c>
      <c r="D63">
        <f>VLOOKUP($C63,Sheet2!$A$2:$B$5,2,0)</f>
        <v>30</v>
      </c>
      <c r="E63">
        <v>1</v>
      </c>
      <c r="F63">
        <f>I63+L63+O63</f>
        <v>13</v>
      </c>
      <c r="I63" s="2">
        <f t="shared" si="0"/>
        <v>0</v>
      </c>
      <c r="J63" s="1">
        <v>44105</v>
      </c>
      <c r="K63" s="1">
        <v>44118</v>
      </c>
      <c r="L63">
        <f t="shared" si="1"/>
        <v>13</v>
      </c>
      <c r="O63">
        <f t="shared" si="2"/>
        <v>0</v>
      </c>
      <c r="P63" t="s">
        <v>21</v>
      </c>
      <c r="Q63" t="s">
        <v>22</v>
      </c>
    </row>
    <row r="64" spans="1:18" x14ac:dyDescent="0.35">
      <c r="A64">
        <v>61</v>
      </c>
      <c r="B64" t="s">
        <v>43</v>
      </c>
      <c r="C64" t="s">
        <v>12</v>
      </c>
      <c r="D64">
        <f>VLOOKUP($C64,Sheet2!$A$2:$B$5,2,0)</f>
        <v>31</v>
      </c>
      <c r="E64">
        <v>12</v>
      </c>
      <c r="F64">
        <f t="shared" si="3"/>
        <v>37</v>
      </c>
      <c r="G64" s="1">
        <v>43700</v>
      </c>
      <c r="H64" s="1">
        <v>43708</v>
      </c>
      <c r="I64" s="2">
        <f t="shared" si="0"/>
        <v>8</v>
      </c>
      <c r="J64" s="1">
        <v>44062</v>
      </c>
      <c r="K64" s="1">
        <v>44074</v>
      </c>
      <c r="L64">
        <f t="shared" si="1"/>
        <v>12</v>
      </c>
      <c r="M64" s="1">
        <v>44410</v>
      </c>
      <c r="N64" s="1">
        <v>44427</v>
      </c>
      <c r="O64">
        <f t="shared" si="2"/>
        <v>17</v>
      </c>
      <c r="P64" t="s">
        <v>27</v>
      </c>
      <c r="Q64" t="s">
        <v>14</v>
      </c>
    </row>
    <row r="65" spans="1:18" x14ac:dyDescent="0.35">
      <c r="A65">
        <v>62</v>
      </c>
      <c r="B65" t="s">
        <v>43</v>
      </c>
      <c r="C65" t="s">
        <v>15</v>
      </c>
      <c r="D65">
        <f>VLOOKUP($C65,Sheet2!$A$2:$B$5,2,0)</f>
        <v>30</v>
      </c>
      <c r="E65">
        <v>4</v>
      </c>
      <c r="F65">
        <f t="shared" si="3"/>
        <v>53</v>
      </c>
      <c r="G65" s="1">
        <v>43709</v>
      </c>
      <c r="H65" s="1">
        <v>43738</v>
      </c>
      <c r="I65" s="2">
        <f t="shared" si="0"/>
        <v>29</v>
      </c>
      <c r="J65" s="1">
        <v>44075</v>
      </c>
      <c r="K65" s="1">
        <v>44099</v>
      </c>
      <c r="L65">
        <f t="shared" si="1"/>
        <v>24</v>
      </c>
      <c r="O65">
        <f t="shared" si="2"/>
        <v>0</v>
      </c>
      <c r="P65" t="s">
        <v>27</v>
      </c>
      <c r="Q65" t="s">
        <v>14</v>
      </c>
    </row>
    <row r="66" spans="1:18" x14ac:dyDescent="0.35">
      <c r="A66">
        <v>63</v>
      </c>
      <c r="B66" t="s">
        <v>43</v>
      </c>
      <c r="C66" t="s">
        <v>16</v>
      </c>
      <c r="D66">
        <f>VLOOKUP($C66,Sheet2!$A$2:$B$5,2,0)</f>
        <v>30</v>
      </c>
      <c r="E66">
        <v>1</v>
      </c>
      <c r="F66">
        <f t="shared" si="3"/>
        <v>18</v>
      </c>
      <c r="G66" s="1">
        <v>43739</v>
      </c>
      <c r="H66" s="1">
        <v>43757</v>
      </c>
      <c r="I66" s="2">
        <f t="shared" si="0"/>
        <v>18</v>
      </c>
      <c r="L66">
        <f t="shared" si="1"/>
        <v>0</v>
      </c>
      <c r="O66">
        <f t="shared" si="2"/>
        <v>0</v>
      </c>
      <c r="P66" t="s">
        <v>27</v>
      </c>
      <c r="Q66" t="s">
        <v>14</v>
      </c>
    </row>
    <row r="67" spans="1:18" x14ac:dyDescent="0.35">
      <c r="A67">
        <v>64</v>
      </c>
      <c r="B67" t="s">
        <v>44</v>
      </c>
      <c r="C67" t="s">
        <v>12</v>
      </c>
      <c r="D67">
        <f>VLOOKUP($C67,Sheet2!$A$2:$B$5,2,0)</f>
        <v>31</v>
      </c>
      <c r="E67">
        <v>1</v>
      </c>
      <c r="F67">
        <f t="shared" si="3"/>
        <v>1</v>
      </c>
      <c r="I67" s="2">
        <f t="shared" si="0"/>
        <v>0</v>
      </c>
      <c r="J67" s="1">
        <v>44073</v>
      </c>
      <c r="K67" s="1">
        <v>44074</v>
      </c>
      <c r="L67">
        <f t="shared" si="1"/>
        <v>1</v>
      </c>
      <c r="O67">
        <f t="shared" si="2"/>
        <v>0</v>
      </c>
      <c r="P67" t="s">
        <v>21</v>
      </c>
      <c r="Q67" t="s">
        <v>22</v>
      </c>
      <c r="R67" t="s">
        <v>66</v>
      </c>
    </row>
    <row r="68" spans="1:18" x14ac:dyDescent="0.35">
      <c r="A68">
        <v>65</v>
      </c>
      <c r="B68" t="s">
        <v>45</v>
      </c>
      <c r="C68" t="s">
        <v>12</v>
      </c>
      <c r="D68">
        <f>VLOOKUP($C68,Sheet2!$A$2:$B$5,2,0)</f>
        <v>31</v>
      </c>
      <c r="E68">
        <v>11</v>
      </c>
      <c r="F68">
        <f t="shared" si="3"/>
        <v>37</v>
      </c>
      <c r="G68" s="1">
        <v>43700</v>
      </c>
      <c r="H68" s="1">
        <v>43708</v>
      </c>
      <c r="I68" s="2">
        <f t="shared" si="0"/>
        <v>8</v>
      </c>
      <c r="J68" s="1">
        <v>44062</v>
      </c>
      <c r="K68" s="1">
        <v>44074</v>
      </c>
      <c r="L68">
        <f t="shared" si="1"/>
        <v>12</v>
      </c>
      <c r="M68" s="1">
        <v>44410</v>
      </c>
      <c r="N68" s="1">
        <v>44427</v>
      </c>
      <c r="O68">
        <f t="shared" si="2"/>
        <v>17</v>
      </c>
      <c r="P68" t="s">
        <v>21</v>
      </c>
      <c r="Q68" t="s">
        <v>14</v>
      </c>
    </row>
    <row r="69" spans="1:18" x14ac:dyDescent="0.35">
      <c r="A69">
        <v>66</v>
      </c>
      <c r="B69" t="s">
        <v>45</v>
      </c>
      <c r="C69" t="s">
        <v>15</v>
      </c>
      <c r="D69">
        <f>VLOOKUP($C69,Sheet2!$A$2:$B$5,2,0)</f>
        <v>30</v>
      </c>
      <c r="E69">
        <v>11</v>
      </c>
      <c r="F69">
        <f t="shared" si="3"/>
        <v>53</v>
      </c>
      <c r="G69" s="1">
        <v>43709</v>
      </c>
      <c r="H69" s="1">
        <v>43738</v>
      </c>
      <c r="I69" s="2">
        <f t="shared" ref="I69:I97" si="6">_xlfn.DAYS(H69,G69)</f>
        <v>29</v>
      </c>
      <c r="J69" s="1">
        <v>44075</v>
      </c>
      <c r="K69" s="1">
        <v>44099</v>
      </c>
      <c r="L69">
        <f t="shared" si="1"/>
        <v>24</v>
      </c>
      <c r="O69">
        <f t="shared" si="2"/>
        <v>0</v>
      </c>
      <c r="P69" t="s">
        <v>21</v>
      </c>
      <c r="Q69" t="s">
        <v>14</v>
      </c>
    </row>
    <row r="70" spans="1:18" x14ac:dyDescent="0.35">
      <c r="A70">
        <v>67</v>
      </c>
      <c r="B70" t="s">
        <v>45</v>
      </c>
      <c r="C70" t="s">
        <v>16</v>
      </c>
      <c r="D70">
        <f>VLOOKUP($C70,Sheet2!$A$2:$B$5,2,0)</f>
        <v>30</v>
      </c>
      <c r="E70">
        <v>3</v>
      </c>
      <c r="F70">
        <f t="shared" si="3"/>
        <v>18</v>
      </c>
      <c r="G70" s="1">
        <v>43739</v>
      </c>
      <c r="H70" s="1">
        <v>43757</v>
      </c>
      <c r="I70" s="2">
        <f t="shared" si="6"/>
        <v>18</v>
      </c>
      <c r="L70">
        <f t="shared" ref="L70:L97" si="7">_xlfn.DAYS(K70,J70)</f>
        <v>0</v>
      </c>
      <c r="O70">
        <f t="shared" ref="O70:O97" si="8">_xlfn.DAYS(N70,M70)</f>
        <v>0</v>
      </c>
      <c r="P70" t="s">
        <v>21</v>
      </c>
      <c r="Q70" t="s">
        <v>14</v>
      </c>
    </row>
    <row r="71" spans="1:18" x14ac:dyDescent="0.35">
      <c r="A71">
        <v>68</v>
      </c>
      <c r="B71" t="s">
        <v>46</v>
      </c>
      <c r="C71" t="s">
        <v>12</v>
      </c>
      <c r="D71">
        <f>VLOOKUP($C71,Sheet2!$A$2:$B$5,2,0)</f>
        <v>31</v>
      </c>
      <c r="E71">
        <v>4</v>
      </c>
      <c r="F71">
        <f t="shared" si="3"/>
        <v>13</v>
      </c>
      <c r="I71" s="2">
        <f t="shared" si="6"/>
        <v>0</v>
      </c>
      <c r="J71" s="1">
        <v>44062</v>
      </c>
      <c r="K71" s="1">
        <v>44074</v>
      </c>
      <c r="L71">
        <f t="shared" si="7"/>
        <v>12</v>
      </c>
      <c r="M71" s="1">
        <v>44420</v>
      </c>
      <c r="N71" s="1">
        <v>44421</v>
      </c>
      <c r="O71">
        <f t="shared" si="8"/>
        <v>1</v>
      </c>
      <c r="P71" t="s">
        <v>13</v>
      </c>
      <c r="Q71" t="s">
        <v>22</v>
      </c>
    </row>
    <row r="72" spans="1:18" x14ac:dyDescent="0.35">
      <c r="A72">
        <v>69</v>
      </c>
      <c r="B72" t="s">
        <v>46</v>
      </c>
      <c r="C72" t="s">
        <v>15</v>
      </c>
      <c r="D72">
        <f>VLOOKUP($C72,Sheet2!$A$2:$B$5,2,0)</f>
        <v>30</v>
      </c>
      <c r="E72">
        <v>3</v>
      </c>
      <c r="F72">
        <f t="shared" ref="F72:F97" si="9">I72+L72+O72</f>
        <v>22</v>
      </c>
      <c r="I72" s="2">
        <f t="shared" si="6"/>
        <v>0</v>
      </c>
      <c r="J72" s="1">
        <v>44075</v>
      </c>
      <c r="K72" s="1">
        <v>44097</v>
      </c>
      <c r="L72">
        <f t="shared" si="7"/>
        <v>22</v>
      </c>
      <c r="O72">
        <f t="shared" si="8"/>
        <v>0</v>
      </c>
      <c r="P72" t="s">
        <v>13</v>
      </c>
      <c r="Q72" t="s">
        <v>22</v>
      </c>
    </row>
    <row r="73" spans="1:18" x14ac:dyDescent="0.35">
      <c r="A73">
        <v>70</v>
      </c>
      <c r="B73" t="s">
        <v>47</v>
      </c>
      <c r="C73" t="s">
        <v>20</v>
      </c>
      <c r="D73">
        <f>VLOOKUP($C73,Sheet2!$A$2:$B$5,2,0)</f>
        <v>31</v>
      </c>
      <c r="E73">
        <v>11</v>
      </c>
      <c r="F73">
        <f t="shared" si="9"/>
        <v>62</v>
      </c>
      <c r="G73" s="1">
        <v>43658</v>
      </c>
      <c r="H73" s="1">
        <v>43677</v>
      </c>
      <c r="I73" s="2">
        <f t="shared" si="6"/>
        <v>19</v>
      </c>
      <c r="J73" s="1">
        <v>44022</v>
      </c>
      <c r="K73" s="1">
        <v>44043</v>
      </c>
      <c r="L73">
        <f t="shared" si="7"/>
        <v>21</v>
      </c>
      <c r="M73" s="1">
        <v>44386</v>
      </c>
      <c r="N73" s="1">
        <v>44408</v>
      </c>
      <c r="O73">
        <f t="shared" si="8"/>
        <v>22</v>
      </c>
      <c r="P73" t="s">
        <v>27</v>
      </c>
      <c r="Q73" t="s">
        <v>14</v>
      </c>
    </row>
    <row r="74" spans="1:18" x14ac:dyDescent="0.35">
      <c r="A74">
        <v>71</v>
      </c>
      <c r="B74" t="s">
        <v>47</v>
      </c>
      <c r="C74" t="s">
        <v>12</v>
      </c>
      <c r="D74">
        <f>VLOOKUP($C74,Sheet2!$A$2:$B$5,2,0)</f>
        <v>31</v>
      </c>
      <c r="E74">
        <v>11</v>
      </c>
      <c r="F74">
        <f t="shared" si="9"/>
        <v>69</v>
      </c>
      <c r="G74" s="1">
        <v>43678</v>
      </c>
      <c r="H74" s="1">
        <v>43708</v>
      </c>
      <c r="I74" s="2">
        <f t="shared" si="6"/>
        <v>30</v>
      </c>
      <c r="J74" s="1">
        <v>44044</v>
      </c>
      <c r="K74" s="1">
        <v>44074</v>
      </c>
      <c r="L74">
        <f t="shared" si="7"/>
        <v>30</v>
      </c>
      <c r="M74" s="1">
        <v>44409</v>
      </c>
      <c r="N74" s="1">
        <v>44418</v>
      </c>
      <c r="O74">
        <f t="shared" si="8"/>
        <v>9</v>
      </c>
      <c r="P74" t="s">
        <v>27</v>
      </c>
      <c r="Q74" t="s">
        <v>14</v>
      </c>
    </row>
    <row r="75" spans="1:18" x14ac:dyDescent="0.35">
      <c r="A75">
        <v>72</v>
      </c>
      <c r="B75" t="s">
        <v>47</v>
      </c>
      <c r="C75" t="s">
        <v>15</v>
      </c>
      <c r="D75">
        <f>VLOOKUP($C75,Sheet2!$A$2:$B$5,2,0)</f>
        <v>30</v>
      </c>
      <c r="E75">
        <v>7</v>
      </c>
      <c r="F75">
        <f t="shared" si="9"/>
        <v>58</v>
      </c>
      <c r="G75" s="1">
        <v>43709</v>
      </c>
      <c r="H75" s="1">
        <v>43738</v>
      </c>
      <c r="I75" s="2">
        <f t="shared" si="6"/>
        <v>29</v>
      </c>
      <c r="J75" s="1">
        <v>44075</v>
      </c>
      <c r="K75" s="1">
        <v>44104</v>
      </c>
      <c r="L75">
        <f t="shared" si="7"/>
        <v>29</v>
      </c>
      <c r="O75">
        <f t="shared" si="8"/>
        <v>0</v>
      </c>
      <c r="P75" t="s">
        <v>27</v>
      </c>
      <c r="Q75" t="s">
        <v>14</v>
      </c>
    </row>
    <row r="76" spans="1:18" x14ac:dyDescent="0.35">
      <c r="A76">
        <v>73</v>
      </c>
      <c r="B76" t="s">
        <v>47</v>
      </c>
      <c r="C76" t="s">
        <v>16</v>
      </c>
      <c r="D76">
        <f>VLOOKUP($C76,Sheet2!$A$2:$B$5,2,0)</f>
        <v>30</v>
      </c>
      <c r="E76">
        <v>4</v>
      </c>
      <c r="F76">
        <f t="shared" si="9"/>
        <v>36</v>
      </c>
      <c r="G76" s="1">
        <v>43739</v>
      </c>
      <c r="H76" s="1">
        <v>43757</v>
      </c>
      <c r="I76" s="2">
        <f t="shared" si="6"/>
        <v>18</v>
      </c>
      <c r="J76" s="1">
        <v>44105</v>
      </c>
      <c r="K76" s="1">
        <v>44123</v>
      </c>
      <c r="L76">
        <f t="shared" si="7"/>
        <v>18</v>
      </c>
      <c r="O76">
        <f t="shared" si="8"/>
        <v>0</v>
      </c>
      <c r="P76" t="s">
        <v>27</v>
      </c>
      <c r="Q76" t="s">
        <v>14</v>
      </c>
    </row>
    <row r="77" spans="1:18" x14ac:dyDescent="0.35">
      <c r="A77">
        <v>74</v>
      </c>
      <c r="B77" t="s">
        <v>48</v>
      </c>
      <c r="C77" t="s">
        <v>12</v>
      </c>
      <c r="D77">
        <f>VLOOKUP($C77,Sheet2!$A$2:$B$5,2,0)</f>
        <v>31</v>
      </c>
      <c r="E77">
        <v>4</v>
      </c>
      <c r="F77">
        <f t="shared" si="9"/>
        <v>22</v>
      </c>
      <c r="G77" s="1">
        <v>43700</v>
      </c>
      <c r="H77" s="1">
        <v>43708</v>
      </c>
      <c r="I77" s="2">
        <f t="shared" si="6"/>
        <v>8</v>
      </c>
      <c r="J77" s="1">
        <v>44069</v>
      </c>
      <c r="K77" s="1">
        <v>44074</v>
      </c>
      <c r="L77">
        <f t="shared" si="7"/>
        <v>5</v>
      </c>
      <c r="M77" s="1">
        <v>44418</v>
      </c>
      <c r="N77" s="1">
        <v>44427</v>
      </c>
      <c r="O77">
        <f t="shared" si="8"/>
        <v>9</v>
      </c>
      <c r="P77" t="s">
        <v>27</v>
      </c>
      <c r="Q77" t="s">
        <v>22</v>
      </c>
    </row>
    <row r="78" spans="1:18" x14ac:dyDescent="0.35">
      <c r="A78">
        <v>75</v>
      </c>
      <c r="B78" t="s">
        <v>48</v>
      </c>
      <c r="C78" t="s">
        <v>15</v>
      </c>
      <c r="D78">
        <f>VLOOKUP($C78,Sheet2!$A$2:$B$5,2,0)</f>
        <v>30</v>
      </c>
      <c r="E78">
        <v>5</v>
      </c>
      <c r="F78">
        <f t="shared" si="9"/>
        <v>30</v>
      </c>
      <c r="G78" s="1">
        <v>43709</v>
      </c>
      <c r="H78" s="1">
        <v>43738</v>
      </c>
      <c r="I78" s="2">
        <f t="shared" si="6"/>
        <v>29</v>
      </c>
      <c r="J78" s="1">
        <v>44075</v>
      </c>
      <c r="K78" s="1">
        <v>44076</v>
      </c>
      <c r="L78">
        <f t="shared" si="7"/>
        <v>1</v>
      </c>
      <c r="O78">
        <f t="shared" si="8"/>
        <v>0</v>
      </c>
      <c r="P78" t="s">
        <v>27</v>
      </c>
      <c r="Q78" t="s">
        <v>22</v>
      </c>
    </row>
    <row r="79" spans="1:18" x14ac:dyDescent="0.35">
      <c r="A79">
        <v>76</v>
      </c>
      <c r="B79" t="s">
        <v>48</v>
      </c>
      <c r="C79" t="s">
        <v>16</v>
      </c>
      <c r="D79">
        <f>VLOOKUP($C79,Sheet2!$A$2:$B$5,2,0)</f>
        <v>30</v>
      </c>
      <c r="E79">
        <v>2</v>
      </c>
      <c r="F79">
        <f t="shared" si="9"/>
        <v>13</v>
      </c>
      <c r="G79" s="1">
        <v>43739</v>
      </c>
      <c r="H79" s="1">
        <v>43752</v>
      </c>
      <c r="I79" s="2">
        <f t="shared" si="6"/>
        <v>13</v>
      </c>
      <c r="L79">
        <f t="shared" si="7"/>
        <v>0</v>
      </c>
      <c r="O79">
        <f t="shared" si="8"/>
        <v>0</v>
      </c>
      <c r="P79" t="s">
        <v>27</v>
      </c>
      <c r="Q79" t="s">
        <v>22</v>
      </c>
    </row>
    <row r="80" spans="1:18" x14ac:dyDescent="0.35">
      <c r="A80">
        <v>77</v>
      </c>
      <c r="B80" t="s">
        <v>49</v>
      </c>
      <c r="C80" t="s">
        <v>12</v>
      </c>
      <c r="D80">
        <f>VLOOKUP($C80,Sheet2!$A$2:$B$5,2,0)</f>
        <v>31</v>
      </c>
      <c r="E80">
        <v>2</v>
      </c>
      <c r="F80">
        <f t="shared" si="9"/>
        <v>2</v>
      </c>
      <c r="G80" s="1">
        <v>43706</v>
      </c>
      <c r="H80" s="1">
        <v>43707</v>
      </c>
      <c r="I80" s="2">
        <f t="shared" si="6"/>
        <v>1</v>
      </c>
      <c r="J80" s="1">
        <v>44071</v>
      </c>
      <c r="K80" s="1">
        <v>44072</v>
      </c>
      <c r="L80">
        <f t="shared" si="7"/>
        <v>1</v>
      </c>
      <c r="O80">
        <f t="shared" si="8"/>
        <v>0</v>
      </c>
      <c r="P80" t="s">
        <v>13</v>
      </c>
      <c r="Q80" t="s">
        <v>22</v>
      </c>
      <c r="R80" t="s">
        <v>66</v>
      </c>
    </row>
    <row r="81" spans="1:18" x14ac:dyDescent="0.35">
      <c r="A81">
        <v>78</v>
      </c>
      <c r="B81" t="s">
        <v>50</v>
      </c>
      <c r="C81" t="s">
        <v>20</v>
      </c>
      <c r="D81">
        <f>VLOOKUP($C81,Sheet2!$A$2:$B$5,2,0)</f>
        <v>31</v>
      </c>
      <c r="E81">
        <v>1</v>
      </c>
      <c r="F81">
        <f>I81+L81+O81</f>
        <v>12</v>
      </c>
      <c r="I81" s="2">
        <f t="shared" si="6"/>
        <v>0</v>
      </c>
      <c r="J81" s="1">
        <v>44022</v>
      </c>
      <c r="K81" s="1">
        <v>44033</v>
      </c>
      <c r="L81">
        <f t="shared" si="7"/>
        <v>11</v>
      </c>
      <c r="M81" s="1">
        <v>44392</v>
      </c>
      <c r="N81" s="1">
        <v>44393</v>
      </c>
      <c r="O81">
        <f t="shared" si="8"/>
        <v>1</v>
      </c>
      <c r="P81" t="s">
        <v>21</v>
      </c>
      <c r="Q81" t="s">
        <v>22</v>
      </c>
    </row>
    <row r="82" spans="1:18" x14ac:dyDescent="0.35">
      <c r="A82">
        <v>79</v>
      </c>
      <c r="B82" t="s">
        <v>51</v>
      </c>
      <c r="C82" t="s">
        <v>20</v>
      </c>
      <c r="D82">
        <f>VLOOKUP($C82,Sheet2!$A$2:$B$5,2,0)</f>
        <v>31</v>
      </c>
      <c r="E82">
        <v>1</v>
      </c>
      <c r="F82">
        <f t="shared" si="9"/>
        <v>1</v>
      </c>
      <c r="G82" s="1">
        <v>43675</v>
      </c>
      <c r="H82" s="1">
        <v>43676</v>
      </c>
      <c r="I82" s="2">
        <f t="shared" si="6"/>
        <v>1</v>
      </c>
      <c r="L82">
        <f t="shared" si="7"/>
        <v>0</v>
      </c>
      <c r="O82">
        <f t="shared" si="8"/>
        <v>0</v>
      </c>
      <c r="P82" t="s">
        <v>21</v>
      </c>
      <c r="Q82" t="s">
        <v>22</v>
      </c>
      <c r="R82" t="s">
        <v>66</v>
      </c>
    </row>
    <row r="83" spans="1:18" x14ac:dyDescent="0.35">
      <c r="A83">
        <v>80</v>
      </c>
      <c r="B83" t="s">
        <v>51</v>
      </c>
      <c r="C83" t="s">
        <v>12</v>
      </c>
      <c r="D83">
        <f>VLOOKUP($C83,Sheet2!$A$2:$B$5,2,0)</f>
        <v>31</v>
      </c>
      <c r="E83">
        <v>1</v>
      </c>
      <c r="F83">
        <f t="shared" si="9"/>
        <v>6</v>
      </c>
      <c r="G83" s="1">
        <v>43678</v>
      </c>
      <c r="H83" s="1">
        <v>43684</v>
      </c>
      <c r="I83" s="2">
        <f t="shared" si="6"/>
        <v>6</v>
      </c>
      <c r="L83">
        <f t="shared" si="7"/>
        <v>0</v>
      </c>
      <c r="O83">
        <f t="shared" si="8"/>
        <v>0</v>
      </c>
      <c r="P83" t="s">
        <v>21</v>
      </c>
      <c r="Q83" t="s">
        <v>22</v>
      </c>
    </row>
    <row r="84" spans="1:18" x14ac:dyDescent="0.35">
      <c r="A84">
        <v>81</v>
      </c>
      <c r="B84" t="s">
        <v>52</v>
      </c>
      <c r="C84" t="s">
        <v>12</v>
      </c>
      <c r="D84">
        <f>VLOOKUP($C84,Sheet2!$A$2:$B$5,2,0)</f>
        <v>31</v>
      </c>
      <c r="E84">
        <v>5</v>
      </c>
      <c r="F84">
        <f t="shared" si="9"/>
        <v>29</v>
      </c>
      <c r="G84" s="1">
        <v>43700</v>
      </c>
      <c r="H84" s="1">
        <v>43708</v>
      </c>
      <c r="I84" s="2">
        <f t="shared" si="6"/>
        <v>8</v>
      </c>
      <c r="J84" s="1">
        <v>44062</v>
      </c>
      <c r="K84" s="1">
        <v>44074</v>
      </c>
      <c r="L84">
        <f t="shared" si="7"/>
        <v>12</v>
      </c>
      <c r="M84" s="1">
        <v>44418</v>
      </c>
      <c r="N84" s="1">
        <v>44427</v>
      </c>
      <c r="O84">
        <f t="shared" si="8"/>
        <v>9</v>
      </c>
      <c r="P84" t="s">
        <v>13</v>
      </c>
      <c r="Q84" t="s">
        <v>22</v>
      </c>
    </row>
    <row r="85" spans="1:18" x14ac:dyDescent="0.35">
      <c r="A85">
        <v>82</v>
      </c>
      <c r="B85" t="s">
        <v>52</v>
      </c>
      <c r="C85" t="s">
        <v>15</v>
      </c>
      <c r="D85">
        <f>VLOOKUP($C85,Sheet2!$A$2:$B$5,2,0)</f>
        <v>30</v>
      </c>
      <c r="E85">
        <v>2</v>
      </c>
      <c r="F85">
        <f t="shared" si="9"/>
        <v>44</v>
      </c>
      <c r="G85" s="1">
        <v>43709</v>
      </c>
      <c r="H85" s="1">
        <v>43738</v>
      </c>
      <c r="I85" s="2">
        <f t="shared" si="6"/>
        <v>29</v>
      </c>
      <c r="J85" s="1">
        <v>44075</v>
      </c>
      <c r="K85" s="1">
        <v>44090</v>
      </c>
      <c r="L85">
        <f t="shared" si="7"/>
        <v>15</v>
      </c>
      <c r="O85">
        <f t="shared" si="8"/>
        <v>0</v>
      </c>
      <c r="P85" t="s">
        <v>13</v>
      </c>
      <c r="Q85" t="s">
        <v>22</v>
      </c>
    </row>
    <row r="86" spans="1:18" x14ac:dyDescent="0.35">
      <c r="A86">
        <v>83</v>
      </c>
      <c r="B86" t="s">
        <v>52</v>
      </c>
      <c r="C86" t="s">
        <v>16</v>
      </c>
      <c r="D86">
        <f>VLOOKUP($C86,Sheet2!$A$2:$B$5,2,0)</f>
        <v>30</v>
      </c>
      <c r="E86">
        <v>1</v>
      </c>
      <c r="F86">
        <f t="shared" si="9"/>
        <v>18</v>
      </c>
      <c r="G86" s="1">
        <v>43739</v>
      </c>
      <c r="H86" s="1">
        <v>43757</v>
      </c>
      <c r="I86" s="2">
        <f t="shared" si="6"/>
        <v>18</v>
      </c>
      <c r="L86">
        <f t="shared" si="7"/>
        <v>0</v>
      </c>
      <c r="O86">
        <f t="shared" si="8"/>
        <v>0</v>
      </c>
      <c r="P86" t="s">
        <v>13</v>
      </c>
      <c r="Q86" t="s">
        <v>22</v>
      </c>
    </row>
    <row r="87" spans="1:18" x14ac:dyDescent="0.35">
      <c r="A87">
        <v>84</v>
      </c>
      <c r="B87" t="s">
        <v>53</v>
      </c>
      <c r="C87" t="s">
        <v>12</v>
      </c>
      <c r="D87">
        <f>VLOOKUP($C87,Sheet2!$A$2:$B$5,2,0)</f>
        <v>31</v>
      </c>
      <c r="E87">
        <v>3</v>
      </c>
      <c r="F87">
        <f t="shared" si="9"/>
        <v>22</v>
      </c>
      <c r="G87" s="1">
        <v>43700</v>
      </c>
      <c r="H87" s="1">
        <v>43705</v>
      </c>
      <c r="I87" s="2">
        <f t="shared" si="6"/>
        <v>5</v>
      </c>
      <c r="J87" s="1">
        <v>44062</v>
      </c>
      <c r="K87" s="1">
        <v>44074</v>
      </c>
      <c r="L87">
        <f t="shared" si="7"/>
        <v>12</v>
      </c>
      <c r="M87" s="1">
        <v>44413</v>
      </c>
      <c r="N87" s="1">
        <v>44418</v>
      </c>
      <c r="O87">
        <f t="shared" si="8"/>
        <v>5</v>
      </c>
      <c r="P87" t="s">
        <v>21</v>
      </c>
      <c r="Q87" t="s">
        <v>14</v>
      </c>
    </row>
    <row r="88" spans="1:18" x14ac:dyDescent="0.35">
      <c r="A88">
        <v>85</v>
      </c>
      <c r="B88" t="s">
        <v>53</v>
      </c>
      <c r="C88" t="s">
        <v>15</v>
      </c>
      <c r="D88">
        <f>VLOOKUP($C88,Sheet2!$A$2:$B$5,2,0)</f>
        <v>30</v>
      </c>
      <c r="E88">
        <v>1</v>
      </c>
      <c r="F88">
        <f t="shared" si="9"/>
        <v>1</v>
      </c>
      <c r="I88" s="2">
        <f t="shared" si="6"/>
        <v>0</v>
      </c>
      <c r="J88" s="1">
        <v>44075</v>
      </c>
      <c r="K88" s="1">
        <v>44076</v>
      </c>
      <c r="L88">
        <f t="shared" si="7"/>
        <v>1</v>
      </c>
      <c r="O88">
        <f t="shared" si="8"/>
        <v>0</v>
      </c>
      <c r="P88" t="s">
        <v>21</v>
      </c>
      <c r="Q88" t="s">
        <v>14</v>
      </c>
    </row>
    <row r="89" spans="1:18" x14ac:dyDescent="0.35">
      <c r="A89">
        <v>86</v>
      </c>
      <c r="B89" t="s">
        <v>54</v>
      </c>
      <c r="C89" t="s">
        <v>12</v>
      </c>
      <c r="D89">
        <f>VLOOKUP($C89,Sheet2!$A$2:$B$5,2,0)</f>
        <v>31</v>
      </c>
      <c r="E89">
        <v>1</v>
      </c>
      <c r="F89">
        <f t="shared" si="9"/>
        <v>2</v>
      </c>
      <c r="G89" s="1">
        <v>43706</v>
      </c>
      <c r="H89" s="1">
        <v>43708</v>
      </c>
      <c r="I89" s="2">
        <f t="shared" si="6"/>
        <v>2</v>
      </c>
      <c r="L89">
        <f t="shared" si="7"/>
        <v>0</v>
      </c>
      <c r="O89">
        <f t="shared" si="8"/>
        <v>0</v>
      </c>
      <c r="P89" t="s">
        <v>13</v>
      </c>
      <c r="Q89" t="s">
        <v>14</v>
      </c>
      <c r="R89" t="s">
        <v>68</v>
      </c>
    </row>
    <row r="90" spans="1:18" x14ac:dyDescent="0.35">
      <c r="A90">
        <v>87</v>
      </c>
      <c r="B90" t="s">
        <v>54</v>
      </c>
      <c r="C90" t="s">
        <v>16</v>
      </c>
      <c r="D90">
        <f>VLOOKUP($C90,Sheet2!$A$2:$B$5,2,0)</f>
        <v>30</v>
      </c>
      <c r="E90">
        <v>1</v>
      </c>
      <c r="F90">
        <f t="shared" si="9"/>
        <v>1</v>
      </c>
      <c r="I90" s="2">
        <f t="shared" si="6"/>
        <v>0</v>
      </c>
      <c r="J90" s="1">
        <v>44118</v>
      </c>
      <c r="K90" s="1">
        <v>44119</v>
      </c>
      <c r="L90">
        <f t="shared" si="7"/>
        <v>1</v>
      </c>
      <c r="O90">
        <f t="shared" si="8"/>
        <v>0</v>
      </c>
      <c r="P90" t="s">
        <v>13</v>
      </c>
      <c r="Q90" t="s">
        <v>14</v>
      </c>
    </row>
    <row r="91" spans="1:18" x14ac:dyDescent="0.35">
      <c r="A91">
        <v>88</v>
      </c>
      <c r="B91" t="s">
        <v>55</v>
      </c>
      <c r="C91" t="s">
        <v>12</v>
      </c>
      <c r="D91">
        <f>VLOOKUP($C91,Sheet2!$A$2:$B$5,2,0)</f>
        <v>31</v>
      </c>
      <c r="E91">
        <v>4</v>
      </c>
      <c r="F91">
        <f t="shared" si="9"/>
        <v>17</v>
      </c>
      <c r="I91" s="2">
        <f t="shared" si="6"/>
        <v>0</v>
      </c>
      <c r="J91" s="1">
        <v>44064</v>
      </c>
      <c r="K91" s="1">
        <v>44074</v>
      </c>
      <c r="L91">
        <f t="shared" si="7"/>
        <v>10</v>
      </c>
      <c r="M91" s="1">
        <v>44413</v>
      </c>
      <c r="N91" s="1">
        <v>44420</v>
      </c>
      <c r="O91">
        <f t="shared" si="8"/>
        <v>7</v>
      </c>
      <c r="P91" t="s">
        <v>21</v>
      </c>
      <c r="Q91" t="s">
        <v>22</v>
      </c>
    </row>
    <row r="92" spans="1:18" x14ac:dyDescent="0.35">
      <c r="A92">
        <v>89</v>
      </c>
      <c r="B92" t="s">
        <v>55</v>
      </c>
      <c r="C92" t="s">
        <v>15</v>
      </c>
      <c r="D92">
        <f>VLOOKUP($C92,Sheet2!$A$2:$B$5,2,0)</f>
        <v>30</v>
      </c>
      <c r="E92">
        <v>1</v>
      </c>
      <c r="F92">
        <f t="shared" si="9"/>
        <v>20</v>
      </c>
      <c r="I92" s="2">
        <f t="shared" si="6"/>
        <v>0</v>
      </c>
      <c r="J92" s="1">
        <v>44075</v>
      </c>
      <c r="K92" s="1">
        <v>44095</v>
      </c>
      <c r="L92">
        <f t="shared" si="7"/>
        <v>20</v>
      </c>
      <c r="O92">
        <f t="shared" si="8"/>
        <v>0</v>
      </c>
      <c r="P92" t="s">
        <v>21</v>
      </c>
      <c r="Q92" t="s">
        <v>22</v>
      </c>
    </row>
    <row r="93" spans="1:18" x14ac:dyDescent="0.35">
      <c r="A93">
        <v>90</v>
      </c>
      <c r="B93" t="s">
        <v>56</v>
      </c>
      <c r="C93" t="s">
        <v>20</v>
      </c>
      <c r="D93">
        <f>VLOOKUP($C93,Sheet2!$A$2:$B$5,2,0)</f>
        <v>31</v>
      </c>
      <c r="E93">
        <v>2</v>
      </c>
      <c r="F93">
        <f t="shared" si="9"/>
        <v>6</v>
      </c>
      <c r="G93" s="1">
        <v>43672</v>
      </c>
      <c r="H93" s="1">
        <v>43677</v>
      </c>
      <c r="I93" s="2">
        <f t="shared" si="6"/>
        <v>5</v>
      </c>
      <c r="J93" s="1">
        <v>44039</v>
      </c>
      <c r="K93" s="1">
        <v>44040</v>
      </c>
      <c r="L93">
        <f t="shared" si="7"/>
        <v>1</v>
      </c>
      <c r="O93">
        <f t="shared" si="8"/>
        <v>0</v>
      </c>
      <c r="P93" t="s">
        <v>13</v>
      </c>
      <c r="Q93" t="s">
        <v>22</v>
      </c>
      <c r="R93" t="s">
        <v>68</v>
      </c>
    </row>
    <row r="94" spans="1:18" x14ac:dyDescent="0.35">
      <c r="A94">
        <v>91</v>
      </c>
      <c r="B94" t="s">
        <v>56</v>
      </c>
      <c r="C94" t="s">
        <v>12</v>
      </c>
      <c r="D94">
        <f>VLOOKUP($C94,Sheet2!$A$2:$B$5,2,0)</f>
        <v>31</v>
      </c>
      <c r="E94">
        <v>2</v>
      </c>
      <c r="F94">
        <f t="shared" si="9"/>
        <v>30</v>
      </c>
      <c r="G94" s="1">
        <v>43678</v>
      </c>
      <c r="H94" s="1">
        <v>43708</v>
      </c>
      <c r="I94" s="2">
        <f t="shared" si="6"/>
        <v>30</v>
      </c>
      <c r="L94">
        <f t="shared" si="7"/>
        <v>0</v>
      </c>
      <c r="O94">
        <f t="shared" si="8"/>
        <v>0</v>
      </c>
      <c r="P94" t="s">
        <v>13</v>
      </c>
      <c r="Q94" t="s">
        <v>22</v>
      </c>
    </row>
    <row r="95" spans="1:18" x14ac:dyDescent="0.35">
      <c r="A95">
        <v>92</v>
      </c>
      <c r="B95" t="s">
        <v>56</v>
      </c>
      <c r="C95" t="s">
        <v>15</v>
      </c>
      <c r="D95">
        <f>VLOOKUP($C95,Sheet2!$A$2:$B$5,2,0)</f>
        <v>30</v>
      </c>
      <c r="E95">
        <v>1</v>
      </c>
      <c r="F95">
        <f t="shared" si="9"/>
        <v>29</v>
      </c>
      <c r="G95" s="1">
        <v>43709</v>
      </c>
      <c r="H95" s="1">
        <v>43738</v>
      </c>
      <c r="I95" s="2">
        <f t="shared" si="6"/>
        <v>29</v>
      </c>
      <c r="L95">
        <f t="shared" si="7"/>
        <v>0</v>
      </c>
      <c r="O95">
        <f t="shared" si="8"/>
        <v>0</v>
      </c>
      <c r="P95" t="s">
        <v>13</v>
      </c>
      <c r="Q95" t="s">
        <v>22</v>
      </c>
    </row>
    <row r="96" spans="1:18" x14ac:dyDescent="0.35">
      <c r="A96">
        <v>93</v>
      </c>
      <c r="B96" t="s">
        <v>57</v>
      </c>
      <c r="C96" t="s">
        <v>20</v>
      </c>
      <c r="D96">
        <f>VLOOKUP($C96,Sheet2!$A$2:$B$5,2,0)</f>
        <v>31</v>
      </c>
      <c r="E96">
        <v>1</v>
      </c>
      <c r="F96">
        <f t="shared" si="9"/>
        <v>2</v>
      </c>
      <c r="G96" s="1">
        <v>43676</v>
      </c>
      <c r="H96" s="1">
        <v>43677</v>
      </c>
      <c r="I96" s="2">
        <f t="shared" si="6"/>
        <v>1</v>
      </c>
      <c r="L96">
        <f t="shared" si="7"/>
        <v>0</v>
      </c>
      <c r="M96" s="1">
        <v>44413</v>
      </c>
      <c r="N96" s="1">
        <v>44414</v>
      </c>
      <c r="O96">
        <f t="shared" si="8"/>
        <v>1</v>
      </c>
      <c r="P96" t="s">
        <v>13</v>
      </c>
      <c r="Q96" t="s">
        <v>14</v>
      </c>
    </row>
    <row r="97" spans="1:17" x14ac:dyDescent="0.35">
      <c r="A97">
        <v>94</v>
      </c>
      <c r="B97" t="s">
        <v>57</v>
      </c>
      <c r="C97" t="s">
        <v>12</v>
      </c>
      <c r="D97">
        <f>VLOOKUP($C97,Sheet2!$A$2:$B$5,2,0)</f>
        <v>31</v>
      </c>
      <c r="E97">
        <v>1</v>
      </c>
      <c r="F97">
        <f t="shared" si="9"/>
        <v>0</v>
      </c>
      <c r="I97" s="2">
        <f t="shared" si="6"/>
        <v>0</v>
      </c>
      <c r="L97">
        <f t="shared" si="7"/>
        <v>0</v>
      </c>
      <c r="O97">
        <f t="shared" si="8"/>
        <v>0</v>
      </c>
      <c r="P97" t="s">
        <v>13</v>
      </c>
      <c r="Q97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A60E4-D2C8-4B3A-838B-3EFBCB9D28D5}">
  <dimension ref="A1:B5"/>
  <sheetViews>
    <sheetView workbookViewId="0">
      <selection activeCell="B2" sqref="B2"/>
    </sheetView>
  </sheetViews>
  <sheetFormatPr defaultRowHeight="14.5" x14ac:dyDescent="0.35"/>
  <sheetData>
    <row r="1" spans="1:2" x14ac:dyDescent="0.35">
      <c r="A1" t="s">
        <v>1</v>
      </c>
      <c r="B1" t="s">
        <v>62</v>
      </c>
    </row>
    <row r="2" spans="1:2" x14ac:dyDescent="0.35">
      <c r="A2" t="s">
        <v>20</v>
      </c>
      <c r="B2">
        <v>31</v>
      </c>
    </row>
    <row r="3" spans="1:2" x14ac:dyDescent="0.35">
      <c r="A3" t="s">
        <v>12</v>
      </c>
      <c r="B3">
        <v>31</v>
      </c>
    </row>
    <row r="4" spans="1:2" x14ac:dyDescent="0.35">
      <c r="A4" t="s">
        <v>15</v>
      </c>
      <c r="B4">
        <v>30</v>
      </c>
    </row>
    <row r="5" spans="1:2" x14ac:dyDescent="0.35">
      <c r="A5" t="s">
        <v>16</v>
      </c>
      <c r="B5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Braatz</dc:creator>
  <cp:lastModifiedBy>Elizabeth Braatz</cp:lastModifiedBy>
  <dcterms:created xsi:type="dcterms:W3CDTF">2025-01-13T21:31:04Z</dcterms:created>
  <dcterms:modified xsi:type="dcterms:W3CDTF">2025-01-14T02:28:21Z</dcterms:modified>
</cp:coreProperties>
</file>