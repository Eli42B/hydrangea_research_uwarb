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Elizabeth\Documents\School\2024 Semester 1\Jude Ogden\Hydrangea_code\Excel Files\"/>
    </mc:Choice>
  </mc:AlternateContent>
  <xr:revisionPtr revIDLastSave="0" documentId="13_ncr:1_{052CEAC9-4AF3-4E05-874B-27CB2FB178E5}" xr6:coauthVersionLast="47" xr6:coauthVersionMax="47" xr10:uidLastSave="{00000000-0000-0000-0000-000000000000}"/>
  <bookViews>
    <workbookView xWindow="-110" yWindow="-110" windowWidth="19420" windowHeight="10420" firstSheet="1" activeTab="1" xr2:uid="{E14928DD-4055-44AF-9C91-B5B226C6B96E}"/>
  </bookViews>
  <sheets>
    <sheet name="README" sheetId="12" r:id="rId1"/>
    <sheet name="MockData" sheetId="8" r:id="rId2"/>
    <sheet name="VLOOKUP_spp" sheetId="9" r:id="rId3"/>
    <sheet name="d_barchart_pics" sheetId="10" r:id="rId4"/>
    <sheet name="Order_table" sheetId="14" r:id="rId5"/>
    <sheet name="Taxa_table" sheetId="18" r:id="rId6"/>
    <sheet name="Filtered" sheetId="16" r:id="rId7"/>
    <sheet name="Temp" sheetId="17" r:id="rId8"/>
  </sheets>
  <definedNames>
    <definedName name="_xlnm._FilterDatabase" localSheetId="6" hidden="1">Filtered!$A$1:$D$1525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4" l="1"/>
  <c r="E4" i="14"/>
  <c r="E5" i="14"/>
  <c r="E6" i="14"/>
  <c r="E7" i="14"/>
  <c r="E8" i="14"/>
  <c r="E9" i="14"/>
  <c r="E10" i="14"/>
  <c r="E11" i="14"/>
  <c r="E12" i="14"/>
  <c r="E13" i="14"/>
  <c r="E14" i="14"/>
  <c r="E15" i="14"/>
  <c r="E16" i="14"/>
  <c r="E17" i="14"/>
  <c r="E2" i="14"/>
  <c r="G9"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3" i="10"/>
  <c r="H4" i="10"/>
  <c r="H5" i="10"/>
  <c r="H6" i="10"/>
  <c r="H7" i="10"/>
  <c r="H8" i="10"/>
  <c r="H9" i="10"/>
  <c r="H10" i="10"/>
  <c r="H11" i="10"/>
  <c r="H12" i="10"/>
  <c r="H13" i="10"/>
  <c r="H2" i="10"/>
  <c r="G3" i="10"/>
  <c r="G4" i="10"/>
  <c r="G5" i="10"/>
  <c r="G6" i="10"/>
  <c r="G7" i="10"/>
  <c r="G8"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2" i="10"/>
  <c r="F2"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3" i="10"/>
  <c r="F4" i="10"/>
  <c r="F5" i="10"/>
  <c r="F6" i="10"/>
  <c r="F7" i="10"/>
  <c r="F8" i="10"/>
  <c r="F9" i="10"/>
  <c r="F10" i="10"/>
  <c r="F11" i="10"/>
  <c r="F12" i="10"/>
  <c r="F13" i="10"/>
  <c r="F14" i="10"/>
  <c r="F15" i="10"/>
  <c r="F16" i="10"/>
</calcChain>
</file>

<file path=xl/sharedStrings.xml><?xml version="1.0" encoding="utf-8"?>
<sst xmlns="http://schemas.openxmlformats.org/spreadsheetml/2006/main" count="8170" uniqueCount="214">
  <si>
    <t>Month</t>
  </si>
  <si>
    <t>July</t>
  </si>
  <si>
    <t>August</t>
  </si>
  <si>
    <t>September</t>
  </si>
  <si>
    <t>October</t>
  </si>
  <si>
    <t>Hymenoptera</t>
  </si>
  <si>
    <t>Diptera</t>
  </si>
  <si>
    <t>Coleoptera</t>
  </si>
  <si>
    <t>Lepidoptera</t>
  </si>
  <si>
    <t xml:space="preserve">     TaxaGroup Month Percent</t>
  </si>
  <si>
    <t>1  Hymenoptera  July       1</t>
  </si>
  <si>
    <t>2  Hymenoptera   Aug       2</t>
  </si>
  <si>
    <t>3  Hymenoptera  Sept       3</t>
  </si>
  <si>
    <t>4  Hymenoptera   Oct       4</t>
  </si>
  <si>
    <t>5      Diptera  July       5</t>
  </si>
  <si>
    <t>6      Diptera   Aug       6</t>
  </si>
  <si>
    <t>7      Diptera  Sept       7</t>
  </si>
  <si>
    <t>8      Diptera   Oct       8</t>
  </si>
  <si>
    <t>9  Lepidoptera  July       9</t>
  </si>
  <si>
    <t>10 Lepidoptera   Aug      10</t>
  </si>
  <si>
    <t>11 Lepidoptera  Sept      11</t>
  </si>
  <si>
    <t>12 Lepidoptera   Oct      12</t>
  </si>
  <si>
    <t>species1</t>
  </si>
  <si>
    <t>days</t>
  </si>
  <si>
    <t xml:space="preserve">Feasible in WI? </t>
  </si>
  <si>
    <t>Notes</t>
  </si>
  <si>
    <t>No</t>
  </si>
  <si>
    <t>Agapostemon</t>
  </si>
  <si>
    <t>Yes</t>
  </si>
  <si>
    <t>Agapostemon_splendens</t>
  </si>
  <si>
    <t>Andrena</t>
  </si>
  <si>
    <t>Andrena_cineraria</t>
  </si>
  <si>
    <t xml:space="preserve">Not native to USA </t>
  </si>
  <si>
    <t>Andrena_fulva</t>
  </si>
  <si>
    <t>Andrena_milwaukeensis</t>
  </si>
  <si>
    <t>Andrena_prunorum</t>
  </si>
  <si>
    <t>Andrena_ventralis</t>
  </si>
  <si>
    <t>Anthidium</t>
  </si>
  <si>
    <t>Not native to USA but has expanded to around the world</t>
  </si>
  <si>
    <t>Anthidium_florentinum</t>
  </si>
  <si>
    <t xml:space="preserve">Not native to USA, introduced but found so far in Canadian area </t>
  </si>
  <si>
    <t>Anthidium_oblongatum</t>
  </si>
  <si>
    <t>Not native to USA but expanded to N. America</t>
  </si>
  <si>
    <t>Anthophora_abrupta</t>
  </si>
  <si>
    <t>Not native to USA but introduced to N. America</t>
  </si>
  <si>
    <t>Anthophora_furcata</t>
  </si>
  <si>
    <t>Not native to USA and not known to be here</t>
  </si>
  <si>
    <t>Anthophora_plumipes</t>
  </si>
  <si>
    <t>Apis_dorsata</t>
  </si>
  <si>
    <t>Apis_florea</t>
  </si>
  <si>
    <t>Apis_mellifera</t>
  </si>
  <si>
    <t>Augochlora</t>
  </si>
  <si>
    <t>Augochlorella</t>
  </si>
  <si>
    <t>Augochloropsis</t>
  </si>
  <si>
    <t>Bombus_affinis</t>
  </si>
  <si>
    <t>Bombus_ardens</t>
  </si>
  <si>
    <t xml:space="preserve">Not WI spp </t>
  </si>
  <si>
    <t>Bombus_bimaculatus</t>
  </si>
  <si>
    <t>Bombus_citrinus</t>
  </si>
  <si>
    <t>Bombus_consobrinus</t>
  </si>
  <si>
    <t>Bombus_crotchii</t>
  </si>
  <si>
    <t>Bombus_diversus</t>
  </si>
  <si>
    <t>Bombus_ephippiatus</t>
  </si>
  <si>
    <t>Bombus_flavidus</t>
  </si>
  <si>
    <t>Bombus_funebris</t>
  </si>
  <si>
    <t>Bombus_griseocollis</t>
  </si>
  <si>
    <t>Bombus_hypocrita</t>
  </si>
  <si>
    <t>Bombus_impatiens</t>
  </si>
  <si>
    <t>Bombus_melanopygus</t>
  </si>
  <si>
    <t>Not a WI spp</t>
  </si>
  <si>
    <t>Bombus_mixtus</t>
  </si>
  <si>
    <t>Bombus_occidentalis</t>
  </si>
  <si>
    <t>Bombus_pauloensis</t>
  </si>
  <si>
    <t>Bombus_pensylvanicus</t>
  </si>
  <si>
    <t>Bombus_perplexus</t>
  </si>
  <si>
    <t>Bombus_robustus</t>
  </si>
  <si>
    <t>Bombus_rufocinctus</t>
  </si>
  <si>
    <t>Bombus_vagans_sandersoni</t>
  </si>
  <si>
    <t>Bombus_vosnesenskii</t>
  </si>
  <si>
    <t>Brachymelecta</t>
  </si>
  <si>
    <t>Braunsapis</t>
  </si>
  <si>
    <t>Not in N. America</t>
  </si>
  <si>
    <t>Calliopsis</t>
  </si>
  <si>
    <t>Centris</t>
  </si>
  <si>
    <t xml:space="preserve">Not found this far north </t>
  </si>
  <si>
    <t>Ceratina</t>
  </si>
  <si>
    <t>Ceylalictus</t>
  </si>
  <si>
    <t>Chelostoma</t>
  </si>
  <si>
    <t>Colletes_hederae</t>
  </si>
  <si>
    <t>Colletes_inaequalis</t>
  </si>
  <si>
    <t>Corynura</t>
  </si>
  <si>
    <t>Diadasia</t>
  </si>
  <si>
    <t>Not native but feasible</t>
  </si>
  <si>
    <t>Epeolus</t>
  </si>
  <si>
    <t>Exoneuridia</t>
  </si>
  <si>
    <t>Florilegus</t>
  </si>
  <si>
    <t>Habropoda</t>
  </si>
  <si>
    <t>Halictus</t>
  </si>
  <si>
    <t>Halictus_ligatus</t>
  </si>
  <si>
    <t>Halictus_rubicundus</t>
  </si>
  <si>
    <t>Halictus_scabiosae</t>
  </si>
  <si>
    <t>Halictus_tripartitus</t>
  </si>
  <si>
    <t>Heriades</t>
  </si>
  <si>
    <t>Hylaeus</t>
  </si>
  <si>
    <t>Hylaeus_leptocephalus</t>
  </si>
  <si>
    <t>Hylaeus_modestus</t>
  </si>
  <si>
    <t>Lasioglossum</t>
  </si>
  <si>
    <t>Leioproctus</t>
  </si>
  <si>
    <t>Macropis</t>
  </si>
  <si>
    <t>Megachile</t>
  </si>
  <si>
    <t>Megachile_sculpturalis</t>
  </si>
  <si>
    <t>Meliponini</t>
  </si>
  <si>
    <t xml:space="preserve">Stingless bees; not in Midwest </t>
  </si>
  <si>
    <t>Melissodes_bimaculatus</t>
  </si>
  <si>
    <t>Melitturga</t>
  </si>
  <si>
    <t>Nomada</t>
  </si>
  <si>
    <t>Osmia</t>
  </si>
  <si>
    <t>Osmia_bicornis</t>
  </si>
  <si>
    <t>Panurginus</t>
  </si>
  <si>
    <t>Perdita</t>
  </si>
  <si>
    <t>Pseudaugochlora</t>
  </si>
  <si>
    <t>Pseudopanurgus</t>
  </si>
  <si>
    <t>Ptilothrix</t>
  </si>
  <si>
    <t>Ruizantheda</t>
  </si>
  <si>
    <t>Sphecodes</t>
  </si>
  <si>
    <t>Stelis</t>
  </si>
  <si>
    <t>Syrphidae</t>
  </si>
  <si>
    <t>Thygater</t>
  </si>
  <si>
    <t>Wasp</t>
  </si>
  <si>
    <t>Xylocopa</t>
  </si>
  <si>
    <t>Xylocopa_californica</t>
  </si>
  <si>
    <t xml:space="preserve">Not in WI </t>
  </si>
  <si>
    <t>Xylocopa_latipes</t>
  </si>
  <si>
    <t>Xylocopa_micans</t>
  </si>
  <si>
    <t>Xylocopa_sonorina</t>
  </si>
  <si>
    <t>Xylocopa_tabaniformis</t>
  </si>
  <si>
    <t>Xylocopa_tenuiscapa</t>
  </si>
  <si>
    <t xml:space="preserve">No </t>
  </si>
  <si>
    <t>Xylocopa_virginica</t>
  </si>
  <si>
    <t>TaxaName</t>
  </si>
  <si>
    <t>NewTaxaName</t>
  </si>
  <si>
    <t>Anthophora</t>
  </si>
  <si>
    <t>Bombus</t>
  </si>
  <si>
    <t>Date</t>
  </si>
  <si>
    <t>Trademark.Cultivar</t>
  </si>
  <si>
    <t>det_num</t>
  </si>
  <si>
    <t>Dharuma</t>
  </si>
  <si>
    <t>Quick Fire</t>
  </si>
  <si>
    <t>Daimond Rogue</t>
  </si>
  <si>
    <t>Fire &amp; Ice</t>
  </si>
  <si>
    <t>Little Quick Fire</t>
  </si>
  <si>
    <t>White Diamonds</t>
  </si>
  <si>
    <t>Strawberry Sundae</t>
  </si>
  <si>
    <t>Dolly</t>
  </si>
  <si>
    <t>Honey Comb</t>
  </si>
  <si>
    <t>Tickled Pink</t>
  </si>
  <si>
    <t>Ruby</t>
  </si>
  <si>
    <t>Brussels Lace</t>
  </si>
  <si>
    <t>Floribunda</t>
  </si>
  <si>
    <t>Mega Mindy</t>
  </si>
  <si>
    <t>Mega Pearl</t>
  </si>
  <si>
    <t>Pink Diamond</t>
  </si>
  <si>
    <t>Pinky Winky</t>
  </si>
  <si>
    <t>Little Lamb</t>
  </si>
  <si>
    <t>Sweet Summer</t>
  </si>
  <si>
    <t>Fire Light</t>
  </si>
  <si>
    <t>Great Star</t>
  </si>
  <si>
    <t>Limelight</t>
  </si>
  <si>
    <t>Silver Dollar</t>
  </si>
  <si>
    <t>Big Ben</t>
  </si>
  <si>
    <t>Phantom</t>
  </si>
  <si>
    <t>Baby Lace</t>
  </si>
  <si>
    <t>Kyushu</t>
  </si>
  <si>
    <t>Green Spire</t>
  </si>
  <si>
    <t>Strawberry Shake</t>
  </si>
  <si>
    <t>Polar Ball</t>
  </si>
  <si>
    <t>Vanilla Strawberry</t>
  </si>
  <si>
    <t>Pillow Talk</t>
  </si>
  <si>
    <t>Pink Lady</t>
  </si>
  <si>
    <t>Little Lime</t>
  </si>
  <si>
    <t>Order</t>
  </si>
  <si>
    <t xml:space="preserve">Order </t>
  </si>
  <si>
    <t>Richness</t>
  </si>
  <si>
    <t>Jul</t>
  </si>
  <si>
    <t>Aug</t>
  </si>
  <si>
    <t>Sep</t>
  </si>
  <si>
    <t>Oct</t>
  </si>
  <si>
    <t>Sheet</t>
  </si>
  <si>
    <t>Description</t>
  </si>
  <si>
    <t>MockData</t>
  </si>
  <si>
    <t>What we need our data to eventually look like</t>
  </si>
  <si>
    <t>VLOOKUP_SPP</t>
  </si>
  <si>
    <t xml:space="preserve">the Vlookup Table. Lists all possible species from the picture data, what is actually feasible, and what taxa to change them into. If the taxa is likely impossible for this state, but there was a taxa of the same next level up of taxonomy, it was renamed to a higher level (example: Bombus vosenisski is not in Wisconsin but many Bombus genera were found, so it would be renamed to Bombus). If taxa is likely impossible for this state, and there were no related taxa found, it was left blank (example: Unicornus unicornus, not possible in WI and a similar species not found, left blank) </t>
  </si>
  <si>
    <t>d_barchart_pics</t>
  </si>
  <si>
    <t>Copied from the aggregated dataframe d_barchart_pics generated in JO_EB_picdata.R</t>
  </si>
  <si>
    <t>Taxa group</t>
  </si>
  <si>
    <t>Total Richness</t>
  </si>
  <si>
    <t>Percent</t>
  </si>
  <si>
    <t>Sept</t>
  </si>
  <si>
    <t>Order_table</t>
  </si>
  <si>
    <t>Final table of spp richness and percentage by order. Created this by taking the columns from d_barchart_pics, filtering them by month, and then removing duplicates to count the unique number of taxa in each month and order</t>
  </si>
  <si>
    <t>Other Apidae</t>
  </si>
  <si>
    <t>Apis (family: Apidae)</t>
  </si>
  <si>
    <t>Bombus (family: Apidae)</t>
  </si>
  <si>
    <t>Megachilidae</t>
  </si>
  <si>
    <t>Halictidae</t>
  </si>
  <si>
    <t>Andrenidae</t>
  </si>
  <si>
    <t>Colletidae</t>
  </si>
  <si>
    <t>Melittidae</t>
  </si>
  <si>
    <t>Stenotritidae</t>
  </si>
  <si>
    <t xml:space="preserve">Hmm, no same problem with richness, taxa table doesn't work </t>
  </si>
  <si>
    <t>Hymenoptera Taxa Richness by Month</t>
  </si>
  <si>
    <t xml:space="preserve">July </t>
  </si>
  <si>
    <t xml:space="preserve">Problem: We have very similar percentages for each month, so I don't know if we're really learning much, and since the other ordres were only collected by order level their richness looks artificially low. Let's try this again by taxa.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</si>
</sst>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0" fontId="0" fillId="2"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0C310-A5F1-4B33-B759-1FAB3DA1BD08}">
  <dimension ref="A1:B5"/>
  <sheetViews>
    <sheetView workbookViewId="0">
      <selection activeCell="B6" sqref="B6"/>
    </sheetView>
  </sheetViews>
  <sheetFormatPr defaultRowHeight="14.5" x14ac:dyDescent="0.35"/>
  <cols>
    <col min="1" max="1" width="14.26953125" bestFit="1" customWidth="1"/>
  </cols>
  <sheetData>
    <row r="1" spans="1:2" x14ac:dyDescent="0.35">
      <c r="A1" t="s">
        <v>187</v>
      </c>
      <c r="B1" t="s">
        <v>188</v>
      </c>
    </row>
    <row r="2" spans="1:2" x14ac:dyDescent="0.35">
      <c r="A2" t="s">
        <v>189</v>
      </c>
      <c r="B2" t="s">
        <v>190</v>
      </c>
    </row>
    <row r="3" spans="1:2" x14ac:dyDescent="0.35">
      <c r="A3" t="s">
        <v>191</v>
      </c>
      <c r="B3" t="s">
        <v>192</v>
      </c>
    </row>
    <row r="4" spans="1:2" x14ac:dyDescent="0.35">
      <c r="A4" t="s">
        <v>193</v>
      </c>
      <c r="B4" t="s">
        <v>194</v>
      </c>
    </row>
    <row r="5" spans="1:2" x14ac:dyDescent="0.35">
      <c r="A5" t="s">
        <v>199</v>
      </c>
      <c r="B5"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402FC-178F-4F3E-8F0A-9661D86C9ECD}">
  <dimension ref="A1:A13"/>
  <sheetViews>
    <sheetView tabSelected="1" workbookViewId="0">
      <selection activeCell="G5" sqref="G5"/>
    </sheetView>
  </sheetViews>
  <sheetFormatPr defaultRowHeight="14.5" x14ac:dyDescent="0.35"/>
  <cols>
    <col min="1" max="1" width="25.453125" bestFit="1" customWidth="1"/>
  </cols>
  <sheetData>
    <row r="1" spans="1:1" x14ac:dyDescent="0.35">
      <c r="A1" t="s">
        <v>9</v>
      </c>
    </row>
    <row r="2" spans="1:1" x14ac:dyDescent="0.35">
      <c r="A2" t="s">
        <v>10</v>
      </c>
    </row>
    <row r="3" spans="1:1" x14ac:dyDescent="0.35">
      <c r="A3" t="s">
        <v>11</v>
      </c>
    </row>
    <row r="4" spans="1:1" x14ac:dyDescent="0.35">
      <c r="A4" t="s">
        <v>12</v>
      </c>
    </row>
    <row r="5" spans="1:1" x14ac:dyDescent="0.35">
      <c r="A5" t="s">
        <v>13</v>
      </c>
    </row>
    <row r="6" spans="1:1" x14ac:dyDescent="0.35">
      <c r="A6" t="s">
        <v>14</v>
      </c>
    </row>
    <row r="7" spans="1:1" x14ac:dyDescent="0.35">
      <c r="A7" t="s">
        <v>15</v>
      </c>
    </row>
    <row r="8" spans="1:1" x14ac:dyDescent="0.35">
      <c r="A8" t="s">
        <v>16</v>
      </c>
    </row>
    <row r="9" spans="1:1" x14ac:dyDescent="0.35">
      <c r="A9" t="s">
        <v>17</v>
      </c>
    </row>
    <row r="10" spans="1:1" x14ac:dyDescent="0.35">
      <c r="A10" t="s">
        <v>18</v>
      </c>
    </row>
    <row r="11" spans="1:1" x14ac:dyDescent="0.35">
      <c r="A11" t="s">
        <v>19</v>
      </c>
    </row>
    <row r="12" spans="1:1" x14ac:dyDescent="0.35">
      <c r="A12" t="s">
        <v>20</v>
      </c>
    </row>
    <row r="13" spans="1:1" x14ac:dyDescent="0.35">
      <c r="A13"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6BE3D-C1E2-4261-A5E8-D91EF0694D96}">
  <dimension ref="A1:F102"/>
  <sheetViews>
    <sheetView workbookViewId="0">
      <selection activeCell="F1" sqref="F1"/>
    </sheetView>
  </sheetViews>
  <sheetFormatPr defaultRowHeight="14.5" x14ac:dyDescent="0.35"/>
  <cols>
    <col min="1" max="1" width="24.81640625" bestFit="1" customWidth="1"/>
    <col min="3" max="3" width="13.81640625" bestFit="1" customWidth="1"/>
    <col min="4" max="5" width="13.81640625" customWidth="1"/>
  </cols>
  <sheetData>
    <row r="1" spans="1:6" x14ac:dyDescent="0.35">
      <c r="A1" t="s">
        <v>139</v>
      </c>
      <c r="B1" t="s">
        <v>23</v>
      </c>
      <c r="C1" t="s">
        <v>24</v>
      </c>
      <c r="D1" t="s">
        <v>140</v>
      </c>
      <c r="E1" t="s">
        <v>180</v>
      </c>
      <c r="F1" t="s">
        <v>25</v>
      </c>
    </row>
    <row r="2" spans="1:6" x14ac:dyDescent="0.35">
      <c r="B2">
        <v>1</v>
      </c>
      <c r="C2" t="s">
        <v>26</v>
      </c>
    </row>
    <row r="3" spans="1:6" x14ac:dyDescent="0.35">
      <c r="A3" t="s">
        <v>27</v>
      </c>
      <c r="B3">
        <v>1</v>
      </c>
      <c r="C3" t="s">
        <v>28</v>
      </c>
      <c r="D3" t="s">
        <v>27</v>
      </c>
      <c r="E3" t="s">
        <v>5</v>
      </c>
    </row>
    <row r="4" spans="1:6" x14ac:dyDescent="0.35">
      <c r="A4" t="s">
        <v>29</v>
      </c>
      <c r="B4">
        <v>1</v>
      </c>
      <c r="C4" t="s">
        <v>28</v>
      </c>
      <c r="D4" t="s">
        <v>29</v>
      </c>
      <c r="E4" t="s">
        <v>5</v>
      </c>
    </row>
    <row r="5" spans="1:6" x14ac:dyDescent="0.35">
      <c r="A5" t="s">
        <v>30</v>
      </c>
      <c r="B5">
        <v>3</v>
      </c>
      <c r="C5" t="s">
        <v>28</v>
      </c>
      <c r="D5" t="s">
        <v>30</v>
      </c>
      <c r="E5" t="s">
        <v>5</v>
      </c>
    </row>
    <row r="6" spans="1:6" x14ac:dyDescent="0.35">
      <c r="A6" t="s">
        <v>31</v>
      </c>
      <c r="B6">
        <v>1</v>
      </c>
      <c r="C6" t="s">
        <v>26</v>
      </c>
      <c r="D6" t="s">
        <v>30</v>
      </c>
      <c r="E6" t="s">
        <v>5</v>
      </c>
      <c r="F6" t="s">
        <v>32</v>
      </c>
    </row>
    <row r="7" spans="1:6" x14ac:dyDescent="0.35">
      <c r="A7" t="s">
        <v>33</v>
      </c>
      <c r="B7">
        <v>1</v>
      </c>
      <c r="C7" t="s">
        <v>26</v>
      </c>
      <c r="D7" t="s">
        <v>30</v>
      </c>
      <c r="E7" t="s">
        <v>5</v>
      </c>
      <c r="F7" t="s">
        <v>32</v>
      </c>
    </row>
    <row r="8" spans="1:6" x14ac:dyDescent="0.35">
      <c r="A8" t="s">
        <v>34</v>
      </c>
      <c r="B8">
        <v>3</v>
      </c>
      <c r="C8" t="s">
        <v>28</v>
      </c>
      <c r="D8" t="s">
        <v>34</v>
      </c>
      <c r="E8" t="s">
        <v>5</v>
      </c>
    </row>
    <row r="9" spans="1:6" x14ac:dyDescent="0.35">
      <c r="A9" t="s">
        <v>35</v>
      </c>
      <c r="B9">
        <v>1</v>
      </c>
      <c r="C9" t="s">
        <v>28</v>
      </c>
      <c r="D9" t="s">
        <v>35</v>
      </c>
      <c r="E9" t="s">
        <v>5</v>
      </c>
    </row>
    <row r="10" spans="1:6" x14ac:dyDescent="0.35">
      <c r="A10" t="s">
        <v>36</v>
      </c>
      <c r="B10">
        <v>1</v>
      </c>
      <c r="C10" t="s">
        <v>26</v>
      </c>
      <c r="D10" t="s">
        <v>30</v>
      </c>
      <c r="E10" t="s">
        <v>5</v>
      </c>
    </row>
    <row r="11" spans="1:6" x14ac:dyDescent="0.35">
      <c r="A11" t="s">
        <v>37</v>
      </c>
      <c r="B11">
        <v>1</v>
      </c>
      <c r="C11" t="s">
        <v>28</v>
      </c>
      <c r="D11" t="s">
        <v>37</v>
      </c>
      <c r="E11" t="s">
        <v>5</v>
      </c>
      <c r="F11" t="s">
        <v>38</v>
      </c>
    </row>
    <row r="12" spans="1:6" x14ac:dyDescent="0.35">
      <c r="A12" t="s">
        <v>39</v>
      </c>
      <c r="B12">
        <v>1</v>
      </c>
      <c r="C12" t="s">
        <v>26</v>
      </c>
      <c r="D12" t="s">
        <v>37</v>
      </c>
      <c r="E12" t="s">
        <v>5</v>
      </c>
      <c r="F12" t="s">
        <v>40</v>
      </c>
    </row>
    <row r="13" spans="1:6" x14ac:dyDescent="0.35">
      <c r="A13" t="s">
        <v>41</v>
      </c>
      <c r="B13">
        <v>1</v>
      </c>
      <c r="C13" t="s">
        <v>28</v>
      </c>
      <c r="D13" t="s">
        <v>41</v>
      </c>
      <c r="E13" t="s">
        <v>5</v>
      </c>
      <c r="F13" t="s">
        <v>42</v>
      </c>
    </row>
    <row r="14" spans="1:6" x14ac:dyDescent="0.35">
      <c r="A14" t="s">
        <v>43</v>
      </c>
      <c r="B14">
        <v>4</v>
      </c>
      <c r="C14" t="s">
        <v>28</v>
      </c>
      <c r="D14" t="s">
        <v>43</v>
      </c>
      <c r="E14" t="s">
        <v>5</v>
      </c>
      <c r="F14" t="s">
        <v>44</v>
      </c>
    </row>
    <row r="15" spans="1:6" x14ac:dyDescent="0.35">
      <c r="A15" t="s">
        <v>45</v>
      </c>
      <c r="B15">
        <v>1</v>
      </c>
      <c r="C15" t="s">
        <v>26</v>
      </c>
      <c r="D15" t="s">
        <v>141</v>
      </c>
      <c r="E15" t="s">
        <v>5</v>
      </c>
      <c r="F15" t="s">
        <v>46</v>
      </c>
    </row>
    <row r="16" spans="1:6" x14ac:dyDescent="0.35">
      <c r="A16" t="s">
        <v>47</v>
      </c>
      <c r="B16">
        <v>1</v>
      </c>
      <c r="C16" t="s">
        <v>28</v>
      </c>
      <c r="D16" t="s">
        <v>47</v>
      </c>
      <c r="E16" t="s">
        <v>5</v>
      </c>
      <c r="F16" t="s">
        <v>44</v>
      </c>
    </row>
    <row r="17" spans="1:6" x14ac:dyDescent="0.35">
      <c r="A17" t="s">
        <v>48</v>
      </c>
      <c r="B17">
        <v>6</v>
      </c>
      <c r="C17" t="s">
        <v>26</v>
      </c>
      <c r="D17" t="s">
        <v>50</v>
      </c>
      <c r="E17" t="s">
        <v>5</v>
      </c>
      <c r="F17" t="s">
        <v>46</v>
      </c>
    </row>
    <row r="18" spans="1:6" x14ac:dyDescent="0.35">
      <c r="A18" t="s">
        <v>49</v>
      </c>
      <c r="B18">
        <v>2</v>
      </c>
      <c r="C18" t="s">
        <v>26</v>
      </c>
      <c r="D18" t="s">
        <v>50</v>
      </c>
      <c r="E18" t="s">
        <v>5</v>
      </c>
      <c r="F18" t="s">
        <v>46</v>
      </c>
    </row>
    <row r="19" spans="1:6" x14ac:dyDescent="0.35">
      <c r="A19" t="s">
        <v>50</v>
      </c>
      <c r="B19">
        <v>63</v>
      </c>
      <c r="C19" t="s">
        <v>28</v>
      </c>
      <c r="D19" t="s">
        <v>50</v>
      </c>
      <c r="E19" t="s">
        <v>5</v>
      </c>
    </row>
    <row r="20" spans="1:6" x14ac:dyDescent="0.35">
      <c r="A20" t="s">
        <v>51</v>
      </c>
      <c r="B20">
        <v>15</v>
      </c>
      <c r="C20" t="s">
        <v>28</v>
      </c>
      <c r="D20" t="s">
        <v>51</v>
      </c>
      <c r="E20" t="s">
        <v>5</v>
      </c>
    </row>
    <row r="21" spans="1:6" x14ac:dyDescent="0.35">
      <c r="A21" t="s">
        <v>52</v>
      </c>
      <c r="B21">
        <v>9</v>
      </c>
      <c r="C21" t="s">
        <v>28</v>
      </c>
      <c r="D21" t="s">
        <v>52</v>
      </c>
      <c r="E21" t="s">
        <v>5</v>
      </c>
    </row>
    <row r="22" spans="1:6" x14ac:dyDescent="0.35">
      <c r="A22" t="s">
        <v>53</v>
      </c>
      <c r="B22">
        <v>11</v>
      </c>
      <c r="C22" t="s">
        <v>28</v>
      </c>
      <c r="D22" t="s">
        <v>53</v>
      </c>
      <c r="E22" t="s">
        <v>5</v>
      </c>
    </row>
    <row r="23" spans="1:6" x14ac:dyDescent="0.35">
      <c r="A23" t="s">
        <v>54</v>
      </c>
      <c r="B23">
        <v>16</v>
      </c>
      <c r="C23" t="s">
        <v>28</v>
      </c>
      <c r="D23" t="s">
        <v>54</v>
      </c>
      <c r="E23" t="s">
        <v>5</v>
      </c>
    </row>
    <row r="24" spans="1:6" x14ac:dyDescent="0.35">
      <c r="A24" t="s">
        <v>55</v>
      </c>
      <c r="B24">
        <v>2</v>
      </c>
      <c r="C24" t="s">
        <v>26</v>
      </c>
      <c r="D24" t="s">
        <v>142</v>
      </c>
      <c r="E24" t="s">
        <v>5</v>
      </c>
      <c r="F24" t="s">
        <v>56</v>
      </c>
    </row>
    <row r="25" spans="1:6" x14ac:dyDescent="0.35">
      <c r="A25" t="s">
        <v>57</v>
      </c>
      <c r="B25">
        <v>20</v>
      </c>
      <c r="C25" t="s">
        <v>28</v>
      </c>
      <c r="D25" t="s">
        <v>57</v>
      </c>
      <c r="E25" t="s">
        <v>5</v>
      </c>
    </row>
    <row r="26" spans="1:6" x14ac:dyDescent="0.35">
      <c r="A26" t="s">
        <v>58</v>
      </c>
      <c r="B26">
        <v>11</v>
      </c>
      <c r="C26" t="s">
        <v>28</v>
      </c>
      <c r="D26" t="s">
        <v>58</v>
      </c>
      <c r="E26" t="s">
        <v>5</v>
      </c>
    </row>
    <row r="27" spans="1:6" x14ac:dyDescent="0.35">
      <c r="A27" t="s">
        <v>59</v>
      </c>
      <c r="B27">
        <v>1</v>
      </c>
      <c r="C27" t="s">
        <v>26</v>
      </c>
      <c r="D27" t="s">
        <v>142</v>
      </c>
      <c r="E27" t="s">
        <v>5</v>
      </c>
      <c r="F27" t="s">
        <v>56</v>
      </c>
    </row>
    <row r="28" spans="1:6" x14ac:dyDescent="0.35">
      <c r="A28" t="s">
        <v>60</v>
      </c>
      <c r="B28">
        <v>2</v>
      </c>
      <c r="C28" t="s">
        <v>26</v>
      </c>
      <c r="D28" t="s">
        <v>142</v>
      </c>
      <c r="E28" t="s">
        <v>5</v>
      </c>
      <c r="F28" t="s">
        <v>56</v>
      </c>
    </row>
    <row r="29" spans="1:6" x14ac:dyDescent="0.35">
      <c r="A29" t="s">
        <v>61</v>
      </c>
      <c r="B29">
        <v>1</v>
      </c>
      <c r="C29" t="s">
        <v>26</v>
      </c>
      <c r="D29" t="s">
        <v>142</v>
      </c>
      <c r="E29" t="s">
        <v>5</v>
      </c>
      <c r="F29" t="s">
        <v>56</v>
      </c>
    </row>
    <row r="30" spans="1:6" x14ac:dyDescent="0.35">
      <c r="A30" t="s">
        <v>62</v>
      </c>
      <c r="B30">
        <v>1</v>
      </c>
      <c r="C30" t="s">
        <v>26</v>
      </c>
      <c r="D30" t="s">
        <v>142</v>
      </c>
      <c r="E30" t="s">
        <v>5</v>
      </c>
      <c r="F30" t="s">
        <v>56</v>
      </c>
    </row>
    <row r="31" spans="1:6" x14ac:dyDescent="0.35">
      <c r="A31" t="s">
        <v>63</v>
      </c>
      <c r="B31">
        <v>2</v>
      </c>
      <c r="C31" t="s">
        <v>28</v>
      </c>
      <c r="D31" t="s">
        <v>63</v>
      </c>
      <c r="E31" t="s">
        <v>5</v>
      </c>
    </row>
    <row r="32" spans="1:6" x14ac:dyDescent="0.35">
      <c r="A32" t="s">
        <v>64</v>
      </c>
      <c r="B32">
        <v>1</v>
      </c>
      <c r="C32" t="s">
        <v>26</v>
      </c>
      <c r="D32" t="s">
        <v>142</v>
      </c>
      <c r="E32" t="s">
        <v>5</v>
      </c>
      <c r="F32" t="s">
        <v>56</v>
      </c>
    </row>
    <row r="33" spans="1:6" x14ac:dyDescent="0.35">
      <c r="A33" t="s">
        <v>65</v>
      </c>
      <c r="B33">
        <v>12</v>
      </c>
      <c r="C33" t="s">
        <v>28</v>
      </c>
      <c r="D33" t="s">
        <v>65</v>
      </c>
      <c r="E33" t="s">
        <v>5</v>
      </c>
    </row>
    <row r="34" spans="1:6" x14ac:dyDescent="0.35">
      <c r="A34" t="s">
        <v>66</v>
      </c>
      <c r="B34">
        <v>1</v>
      </c>
      <c r="C34" t="s">
        <v>26</v>
      </c>
      <c r="D34" t="s">
        <v>142</v>
      </c>
      <c r="E34" t="s">
        <v>5</v>
      </c>
      <c r="F34" t="s">
        <v>56</v>
      </c>
    </row>
    <row r="35" spans="1:6" x14ac:dyDescent="0.35">
      <c r="A35" t="s">
        <v>67</v>
      </c>
      <c r="B35">
        <v>41</v>
      </c>
      <c r="C35" t="s">
        <v>28</v>
      </c>
      <c r="D35" t="s">
        <v>67</v>
      </c>
      <c r="E35" t="s">
        <v>5</v>
      </c>
    </row>
    <row r="36" spans="1:6" x14ac:dyDescent="0.35">
      <c r="A36" t="s">
        <v>68</v>
      </c>
      <c r="B36">
        <v>2</v>
      </c>
      <c r="C36" t="s">
        <v>26</v>
      </c>
      <c r="D36" t="s">
        <v>142</v>
      </c>
      <c r="E36" t="s">
        <v>5</v>
      </c>
      <c r="F36" t="s">
        <v>69</v>
      </c>
    </row>
    <row r="37" spans="1:6" x14ac:dyDescent="0.35">
      <c r="A37" t="s">
        <v>70</v>
      </c>
      <c r="B37">
        <v>2</v>
      </c>
      <c r="C37" t="s">
        <v>26</v>
      </c>
      <c r="D37" t="s">
        <v>142</v>
      </c>
      <c r="E37" t="s">
        <v>5</v>
      </c>
      <c r="F37" t="s">
        <v>69</v>
      </c>
    </row>
    <row r="38" spans="1:6" x14ac:dyDescent="0.35">
      <c r="A38" t="s">
        <v>71</v>
      </c>
      <c r="B38">
        <v>1</v>
      </c>
      <c r="C38" t="s">
        <v>26</v>
      </c>
      <c r="D38" t="s">
        <v>142</v>
      </c>
      <c r="E38" t="s">
        <v>5</v>
      </c>
      <c r="F38" t="s">
        <v>69</v>
      </c>
    </row>
    <row r="39" spans="1:6" x14ac:dyDescent="0.35">
      <c r="A39" t="s">
        <v>72</v>
      </c>
      <c r="B39">
        <v>2</v>
      </c>
      <c r="C39" t="s">
        <v>26</v>
      </c>
      <c r="D39" t="s">
        <v>142</v>
      </c>
      <c r="E39" t="s">
        <v>5</v>
      </c>
      <c r="F39" t="s">
        <v>69</v>
      </c>
    </row>
    <row r="40" spans="1:6" x14ac:dyDescent="0.35">
      <c r="A40" t="s">
        <v>73</v>
      </c>
      <c r="B40">
        <v>2</v>
      </c>
      <c r="C40" t="s">
        <v>28</v>
      </c>
      <c r="D40" t="s">
        <v>73</v>
      </c>
      <c r="E40" t="s">
        <v>5</v>
      </c>
    </row>
    <row r="41" spans="1:6" x14ac:dyDescent="0.35">
      <c r="A41" t="s">
        <v>74</v>
      </c>
      <c r="B41">
        <v>3</v>
      </c>
      <c r="C41" t="s">
        <v>28</v>
      </c>
      <c r="D41" t="s">
        <v>74</v>
      </c>
      <c r="E41" t="s">
        <v>5</v>
      </c>
    </row>
    <row r="42" spans="1:6" x14ac:dyDescent="0.35">
      <c r="A42" t="s">
        <v>75</v>
      </c>
      <c r="B42">
        <v>1</v>
      </c>
      <c r="C42" t="s">
        <v>26</v>
      </c>
      <c r="D42" t="s">
        <v>142</v>
      </c>
      <c r="E42" t="s">
        <v>5</v>
      </c>
      <c r="F42" t="s">
        <v>69</v>
      </c>
    </row>
    <row r="43" spans="1:6" x14ac:dyDescent="0.35">
      <c r="A43" t="s">
        <v>76</v>
      </c>
      <c r="B43">
        <v>9</v>
      </c>
      <c r="C43" t="s">
        <v>28</v>
      </c>
      <c r="D43" t="s">
        <v>76</v>
      </c>
      <c r="E43" t="s">
        <v>5</v>
      </c>
    </row>
    <row r="44" spans="1:6" x14ac:dyDescent="0.35">
      <c r="A44" t="s">
        <v>77</v>
      </c>
      <c r="B44">
        <v>7</v>
      </c>
      <c r="C44" t="s">
        <v>28</v>
      </c>
      <c r="D44" t="s">
        <v>77</v>
      </c>
      <c r="E44" t="s">
        <v>5</v>
      </c>
    </row>
    <row r="45" spans="1:6" x14ac:dyDescent="0.35">
      <c r="A45" t="s">
        <v>78</v>
      </c>
      <c r="B45">
        <v>1</v>
      </c>
      <c r="C45" t="s">
        <v>26</v>
      </c>
      <c r="D45" t="s">
        <v>142</v>
      </c>
      <c r="E45" t="s">
        <v>5</v>
      </c>
      <c r="F45" t="s">
        <v>69</v>
      </c>
    </row>
    <row r="46" spans="1:6" x14ac:dyDescent="0.35">
      <c r="A46" t="s">
        <v>79</v>
      </c>
      <c r="B46">
        <v>1</v>
      </c>
      <c r="C46" t="s">
        <v>28</v>
      </c>
      <c r="D46" t="s">
        <v>79</v>
      </c>
      <c r="E46" t="s">
        <v>5</v>
      </c>
    </row>
    <row r="47" spans="1:6" x14ac:dyDescent="0.35">
      <c r="A47" t="s">
        <v>80</v>
      </c>
      <c r="B47">
        <v>1</v>
      </c>
      <c r="C47" t="s">
        <v>26</v>
      </c>
      <c r="F47" t="s">
        <v>81</v>
      </c>
    </row>
    <row r="48" spans="1:6" x14ac:dyDescent="0.35">
      <c r="A48" t="s">
        <v>82</v>
      </c>
      <c r="B48">
        <v>1</v>
      </c>
      <c r="C48" t="s">
        <v>28</v>
      </c>
      <c r="D48" t="s">
        <v>82</v>
      </c>
      <c r="E48" t="s">
        <v>5</v>
      </c>
    </row>
    <row r="49" spans="1:6" x14ac:dyDescent="0.35">
      <c r="A49" t="s">
        <v>83</v>
      </c>
      <c r="B49">
        <v>1</v>
      </c>
      <c r="C49" t="s">
        <v>26</v>
      </c>
      <c r="F49" t="s">
        <v>84</v>
      </c>
    </row>
    <row r="50" spans="1:6" x14ac:dyDescent="0.35">
      <c r="A50" t="s">
        <v>85</v>
      </c>
      <c r="B50">
        <v>11</v>
      </c>
      <c r="C50" t="s">
        <v>28</v>
      </c>
      <c r="D50" t="s">
        <v>85</v>
      </c>
      <c r="E50" t="s">
        <v>5</v>
      </c>
    </row>
    <row r="51" spans="1:6" x14ac:dyDescent="0.35">
      <c r="A51" t="s">
        <v>86</v>
      </c>
      <c r="B51">
        <v>4</v>
      </c>
      <c r="C51" t="s">
        <v>26</v>
      </c>
      <c r="F51" t="s">
        <v>81</v>
      </c>
    </row>
    <row r="52" spans="1:6" x14ac:dyDescent="0.35">
      <c r="A52" t="s">
        <v>87</v>
      </c>
      <c r="B52">
        <v>6</v>
      </c>
      <c r="C52" t="s">
        <v>28</v>
      </c>
      <c r="D52" t="s">
        <v>87</v>
      </c>
      <c r="E52" t="s">
        <v>5</v>
      </c>
    </row>
    <row r="53" spans="1:6" x14ac:dyDescent="0.35">
      <c r="A53" t="s">
        <v>7</v>
      </c>
      <c r="B53">
        <v>54</v>
      </c>
      <c r="C53" t="s">
        <v>28</v>
      </c>
      <c r="D53" t="s">
        <v>7</v>
      </c>
      <c r="E53" t="s">
        <v>7</v>
      </c>
    </row>
    <row r="54" spans="1:6" x14ac:dyDescent="0.35">
      <c r="A54" t="s">
        <v>88</v>
      </c>
      <c r="B54">
        <v>1</v>
      </c>
      <c r="C54" t="s">
        <v>26</v>
      </c>
    </row>
    <row r="55" spans="1:6" x14ac:dyDescent="0.35">
      <c r="A55" t="s">
        <v>89</v>
      </c>
      <c r="B55">
        <v>1</v>
      </c>
      <c r="C55" t="s">
        <v>26</v>
      </c>
      <c r="F55" t="s">
        <v>81</v>
      </c>
    </row>
    <row r="56" spans="1:6" x14ac:dyDescent="0.35">
      <c r="A56" t="s">
        <v>90</v>
      </c>
      <c r="B56">
        <v>4</v>
      </c>
      <c r="C56" t="s">
        <v>26</v>
      </c>
      <c r="F56" t="s">
        <v>81</v>
      </c>
    </row>
    <row r="57" spans="1:6" x14ac:dyDescent="0.35">
      <c r="A57" t="s">
        <v>91</v>
      </c>
      <c r="B57">
        <v>1</v>
      </c>
      <c r="C57" t="s">
        <v>28</v>
      </c>
      <c r="D57" t="s">
        <v>91</v>
      </c>
      <c r="E57" t="s">
        <v>5</v>
      </c>
      <c r="F57" t="s">
        <v>92</v>
      </c>
    </row>
    <row r="58" spans="1:6" x14ac:dyDescent="0.35">
      <c r="A58" t="s">
        <v>6</v>
      </c>
      <c r="B58">
        <v>55</v>
      </c>
      <c r="C58" t="s">
        <v>28</v>
      </c>
      <c r="D58" t="s">
        <v>6</v>
      </c>
      <c r="E58" t="s">
        <v>6</v>
      </c>
    </row>
    <row r="59" spans="1:6" x14ac:dyDescent="0.35">
      <c r="A59" t="s">
        <v>93</v>
      </c>
      <c r="B59">
        <v>1</v>
      </c>
      <c r="C59" t="s">
        <v>28</v>
      </c>
      <c r="D59" t="s">
        <v>93</v>
      </c>
      <c r="E59" t="s">
        <v>5</v>
      </c>
    </row>
    <row r="60" spans="1:6" x14ac:dyDescent="0.35">
      <c r="A60" t="s">
        <v>94</v>
      </c>
      <c r="B60">
        <v>1</v>
      </c>
      <c r="C60" t="s">
        <v>26</v>
      </c>
      <c r="F60" t="s">
        <v>81</v>
      </c>
    </row>
    <row r="61" spans="1:6" x14ac:dyDescent="0.35">
      <c r="A61" t="s">
        <v>95</v>
      </c>
      <c r="B61">
        <v>1</v>
      </c>
      <c r="C61" t="s">
        <v>28</v>
      </c>
      <c r="D61" t="s">
        <v>95</v>
      </c>
      <c r="E61" t="s">
        <v>5</v>
      </c>
    </row>
    <row r="62" spans="1:6" x14ac:dyDescent="0.35">
      <c r="A62" t="s">
        <v>96</v>
      </c>
      <c r="B62">
        <v>3</v>
      </c>
      <c r="C62" t="s">
        <v>28</v>
      </c>
      <c r="D62" t="s">
        <v>96</v>
      </c>
      <c r="E62" t="s">
        <v>5</v>
      </c>
    </row>
    <row r="63" spans="1:6" x14ac:dyDescent="0.35">
      <c r="A63" t="s">
        <v>97</v>
      </c>
      <c r="B63">
        <v>12</v>
      </c>
      <c r="C63" t="s">
        <v>28</v>
      </c>
      <c r="D63" t="s">
        <v>97</v>
      </c>
      <c r="E63" t="s">
        <v>5</v>
      </c>
    </row>
    <row r="64" spans="1:6" x14ac:dyDescent="0.35">
      <c r="A64" t="s">
        <v>98</v>
      </c>
      <c r="B64">
        <v>3</v>
      </c>
      <c r="C64" t="s">
        <v>28</v>
      </c>
      <c r="D64" t="s">
        <v>98</v>
      </c>
      <c r="E64" t="s">
        <v>5</v>
      </c>
    </row>
    <row r="65" spans="1:6" x14ac:dyDescent="0.35">
      <c r="A65" t="s">
        <v>99</v>
      </c>
      <c r="B65">
        <v>9</v>
      </c>
      <c r="C65" t="s">
        <v>28</v>
      </c>
      <c r="D65" t="s">
        <v>99</v>
      </c>
      <c r="E65" t="s">
        <v>5</v>
      </c>
    </row>
    <row r="66" spans="1:6" x14ac:dyDescent="0.35">
      <c r="A66" t="s">
        <v>100</v>
      </c>
      <c r="B66">
        <v>2</v>
      </c>
      <c r="C66" t="s">
        <v>26</v>
      </c>
      <c r="D66" t="s">
        <v>97</v>
      </c>
      <c r="E66" t="s">
        <v>5</v>
      </c>
      <c r="F66" t="s">
        <v>81</v>
      </c>
    </row>
    <row r="67" spans="1:6" x14ac:dyDescent="0.35">
      <c r="A67" t="s">
        <v>101</v>
      </c>
      <c r="B67">
        <v>27</v>
      </c>
      <c r="C67" t="s">
        <v>28</v>
      </c>
      <c r="D67" t="s">
        <v>101</v>
      </c>
      <c r="E67" t="s">
        <v>5</v>
      </c>
    </row>
    <row r="68" spans="1:6" x14ac:dyDescent="0.35">
      <c r="A68" t="s">
        <v>102</v>
      </c>
      <c r="B68">
        <v>1</v>
      </c>
      <c r="C68" t="s">
        <v>28</v>
      </c>
      <c r="D68" t="s">
        <v>102</v>
      </c>
      <c r="E68" t="s">
        <v>5</v>
      </c>
    </row>
    <row r="69" spans="1:6" x14ac:dyDescent="0.35">
      <c r="A69" t="s">
        <v>103</v>
      </c>
      <c r="B69">
        <v>20</v>
      </c>
      <c r="C69" t="s">
        <v>28</v>
      </c>
      <c r="D69" t="s">
        <v>103</v>
      </c>
      <c r="E69" t="s">
        <v>5</v>
      </c>
    </row>
    <row r="70" spans="1:6" x14ac:dyDescent="0.35">
      <c r="A70" t="s">
        <v>104</v>
      </c>
      <c r="B70">
        <v>10</v>
      </c>
      <c r="C70" t="s">
        <v>28</v>
      </c>
      <c r="D70" t="s">
        <v>104</v>
      </c>
      <c r="E70" t="s">
        <v>5</v>
      </c>
    </row>
    <row r="71" spans="1:6" x14ac:dyDescent="0.35">
      <c r="A71" t="s">
        <v>105</v>
      </c>
      <c r="B71">
        <v>12</v>
      </c>
      <c r="C71" t="s">
        <v>28</v>
      </c>
      <c r="D71" t="s">
        <v>105</v>
      </c>
      <c r="E71" t="s">
        <v>5</v>
      </c>
    </row>
    <row r="72" spans="1:6" x14ac:dyDescent="0.35">
      <c r="A72" t="s">
        <v>106</v>
      </c>
      <c r="B72">
        <v>26</v>
      </c>
      <c r="C72" t="s">
        <v>28</v>
      </c>
      <c r="D72" t="s">
        <v>106</v>
      </c>
      <c r="E72" t="s">
        <v>5</v>
      </c>
    </row>
    <row r="73" spans="1:6" x14ac:dyDescent="0.35">
      <c r="A73" t="s">
        <v>107</v>
      </c>
      <c r="B73">
        <v>1</v>
      </c>
      <c r="C73" t="s">
        <v>26</v>
      </c>
      <c r="F73" t="s">
        <v>81</v>
      </c>
    </row>
    <row r="74" spans="1:6" x14ac:dyDescent="0.35">
      <c r="A74" t="s">
        <v>8</v>
      </c>
      <c r="B74">
        <v>38</v>
      </c>
      <c r="C74" t="s">
        <v>28</v>
      </c>
      <c r="D74" t="s">
        <v>8</v>
      </c>
      <c r="E74" t="s">
        <v>8</v>
      </c>
    </row>
    <row r="75" spans="1:6" x14ac:dyDescent="0.35">
      <c r="A75" t="s">
        <v>108</v>
      </c>
      <c r="B75">
        <v>2</v>
      </c>
      <c r="C75" t="s">
        <v>28</v>
      </c>
      <c r="D75" t="s">
        <v>108</v>
      </c>
      <c r="E75" t="s">
        <v>5</v>
      </c>
    </row>
    <row r="76" spans="1:6" x14ac:dyDescent="0.35">
      <c r="A76" t="s">
        <v>109</v>
      </c>
      <c r="B76">
        <v>1</v>
      </c>
      <c r="C76" t="s">
        <v>28</v>
      </c>
      <c r="D76" t="s">
        <v>109</v>
      </c>
      <c r="E76" t="s">
        <v>5</v>
      </c>
    </row>
    <row r="77" spans="1:6" x14ac:dyDescent="0.35">
      <c r="A77" t="s">
        <v>110</v>
      </c>
      <c r="B77">
        <v>2</v>
      </c>
      <c r="C77" t="s">
        <v>28</v>
      </c>
      <c r="D77" t="s">
        <v>110</v>
      </c>
      <c r="E77" t="s">
        <v>5</v>
      </c>
      <c r="F77" t="s">
        <v>44</v>
      </c>
    </row>
    <row r="78" spans="1:6" x14ac:dyDescent="0.35">
      <c r="A78" t="s">
        <v>111</v>
      </c>
      <c r="B78">
        <v>16</v>
      </c>
      <c r="C78" t="s">
        <v>26</v>
      </c>
      <c r="F78" t="s">
        <v>112</v>
      </c>
    </row>
    <row r="79" spans="1:6" x14ac:dyDescent="0.35">
      <c r="A79" t="s">
        <v>113</v>
      </c>
      <c r="B79">
        <v>2</v>
      </c>
      <c r="C79" t="s">
        <v>28</v>
      </c>
      <c r="D79" t="s">
        <v>113</v>
      </c>
      <c r="E79" t="s">
        <v>5</v>
      </c>
    </row>
    <row r="80" spans="1:6" x14ac:dyDescent="0.35">
      <c r="A80" t="s">
        <v>114</v>
      </c>
      <c r="B80">
        <v>1</v>
      </c>
      <c r="C80" t="s">
        <v>26</v>
      </c>
      <c r="F80" t="s">
        <v>81</v>
      </c>
    </row>
    <row r="81" spans="1:6" x14ac:dyDescent="0.35">
      <c r="A81" t="s">
        <v>115</v>
      </c>
      <c r="B81">
        <v>6</v>
      </c>
      <c r="C81" t="s">
        <v>28</v>
      </c>
      <c r="D81" t="s">
        <v>115</v>
      </c>
      <c r="E81" t="s">
        <v>5</v>
      </c>
    </row>
    <row r="82" spans="1:6" x14ac:dyDescent="0.35">
      <c r="A82" t="s">
        <v>116</v>
      </c>
      <c r="B82">
        <v>3</v>
      </c>
      <c r="C82" t="s">
        <v>28</v>
      </c>
      <c r="D82" t="s">
        <v>116</v>
      </c>
      <c r="E82" t="s">
        <v>5</v>
      </c>
    </row>
    <row r="83" spans="1:6" x14ac:dyDescent="0.35">
      <c r="A83" t="s">
        <v>117</v>
      </c>
      <c r="B83">
        <v>2</v>
      </c>
      <c r="C83" t="s">
        <v>26</v>
      </c>
      <c r="D83" t="s">
        <v>116</v>
      </c>
      <c r="E83" t="s">
        <v>5</v>
      </c>
      <c r="F83" t="s">
        <v>81</v>
      </c>
    </row>
    <row r="84" spans="1:6" x14ac:dyDescent="0.35">
      <c r="A84" t="s">
        <v>118</v>
      </c>
      <c r="B84">
        <v>1</v>
      </c>
      <c r="C84" t="s">
        <v>28</v>
      </c>
      <c r="D84" t="s">
        <v>118</v>
      </c>
      <c r="E84" t="s">
        <v>5</v>
      </c>
    </row>
    <row r="85" spans="1:6" x14ac:dyDescent="0.35">
      <c r="A85" t="s">
        <v>119</v>
      </c>
      <c r="B85">
        <v>6</v>
      </c>
      <c r="C85" t="s">
        <v>28</v>
      </c>
      <c r="D85" t="s">
        <v>119</v>
      </c>
      <c r="E85" t="s">
        <v>5</v>
      </c>
    </row>
    <row r="86" spans="1:6" x14ac:dyDescent="0.35">
      <c r="A86" t="s">
        <v>120</v>
      </c>
      <c r="B86">
        <v>1</v>
      </c>
      <c r="C86" t="s">
        <v>26</v>
      </c>
      <c r="F86" t="s">
        <v>81</v>
      </c>
    </row>
    <row r="87" spans="1:6" x14ac:dyDescent="0.35">
      <c r="A87" t="s">
        <v>121</v>
      </c>
      <c r="B87">
        <v>4</v>
      </c>
      <c r="C87" t="s">
        <v>28</v>
      </c>
      <c r="D87" t="s">
        <v>121</v>
      </c>
      <c r="E87" t="s">
        <v>5</v>
      </c>
    </row>
    <row r="88" spans="1:6" x14ac:dyDescent="0.35">
      <c r="A88" t="s">
        <v>122</v>
      </c>
      <c r="B88">
        <v>4</v>
      </c>
      <c r="C88" t="s">
        <v>28</v>
      </c>
      <c r="D88" t="s">
        <v>122</v>
      </c>
      <c r="E88" t="s">
        <v>5</v>
      </c>
    </row>
    <row r="89" spans="1:6" x14ac:dyDescent="0.35">
      <c r="A89" t="s">
        <v>123</v>
      </c>
      <c r="B89">
        <v>1</v>
      </c>
      <c r="C89" t="s">
        <v>26</v>
      </c>
      <c r="F89" t="s">
        <v>81</v>
      </c>
    </row>
    <row r="90" spans="1:6" x14ac:dyDescent="0.35">
      <c r="A90" t="s">
        <v>124</v>
      </c>
      <c r="B90">
        <v>4</v>
      </c>
      <c r="C90" t="s">
        <v>28</v>
      </c>
      <c r="D90" t="s">
        <v>124</v>
      </c>
      <c r="E90" t="s">
        <v>5</v>
      </c>
    </row>
    <row r="91" spans="1:6" x14ac:dyDescent="0.35">
      <c r="A91" t="s">
        <v>125</v>
      </c>
      <c r="B91">
        <v>4</v>
      </c>
      <c r="C91" t="s">
        <v>28</v>
      </c>
      <c r="D91" t="s">
        <v>125</v>
      </c>
      <c r="E91" t="s">
        <v>5</v>
      </c>
    </row>
    <row r="92" spans="1:6" x14ac:dyDescent="0.35">
      <c r="A92" t="s">
        <v>126</v>
      </c>
      <c r="B92">
        <v>49</v>
      </c>
      <c r="C92" t="s">
        <v>28</v>
      </c>
      <c r="D92" t="s">
        <v>126</v>
      </c>
      <c r="E92" t="s">
        <v>6</v>
      </c>
    </row>
    <row r="93" spans="1:6" x14ac:dyDescent="0.35">
      <c r="A93" t="s">
        <v>127</v>
      </c>
      <c r="B93">
        <v>1</v>
      </c>
      <c r="C93" t="s">
        <v>26</v>
      </c>
      <c r="F93" t="s">
        <v>81</v>
      </c>
    </row>
    <row r="94" spans="1:6" x14ac:dyDescent="0.35">
      <c r="A94" t="s">
        <v>128</v>
      </c>
      <c r="B94">
        <v>62</v>
      </c>
      <c r="C94" t="s">
        <v>28</v>
      </c>
      <c r="D94" t="s">
        <v>128</v>
      </c>
      <c r="E94" t="s">
        <v>5</v>
      </c>
    </row>
    <row r="95" spans="1:6" x14ac:dyDescent="0.35">
      <c r="A95" t="s">
        <v>129</v>
      </c>
      <c r="B95">
        <v>1</v>
      </c>
      <c r="C95" t="s">
        <v>28</v>
      </c>
      <c r="D95" t="s">
        <v>129</v>
      </c>
      <c r="E95" t="s">
        <v>5</v>
      </c>
    </row>
    <row r="96" spans="1:6" x14ac:dyDescent="0.35">
      <c r="A96" t="s">
        <v>130</v>
      </c>
      <c r="B96">
        <v>1</v>
      </c>
      <c r="C96" t="s">
        <v>26</v>
      </c>
      <c r="D96" t="s">
        <v>129</v>
      </c>
      <c r="E96" t="s">
        <v>5</v>
      </c>
      <c r="F96" t="s">
        <v>131</v>
      </c>
    </row>
    <row r="97" spans="1:6" x14ac:dyDescent="0.35">
      <c r="A97" t="s">
        <v>132</v>
      </c>
      <c r="B97">
        <v>1</v>
      </c>
      <c r="C97" t="s">
        <v>26</v>
      </c>
      <c r="D97" t="s">
        <v>129</v>
      </c>
      <c r="E97" t="s">
        <v>5</v>
      </c>
      <c r="F97" t="s">
        <v>131</v>
      </c>
    </row>
    <row r="98" spans="1:6" x14ac:dyDescent="0.35">
      <c r="A98" t="s">
        <v>133</v>
      </c>
      <c r="B98">
        <v>2</v>
      </c>
      <c r="C98" t="s">
        <v>26</v>
      </c>
      <c r="D98" t="s">
        <v>129</v>
      </c>
      <c r="E98" t="s">
        <v>5</v>
      </c>
      <c r="F98" t="s">
        <v>131</v>
      </c>
    </row>
    <row r="99" spans="1:6" x14ac:dyDescent="0.35">
      <c r="A99" t="s">
        <v>134</v>
      </c>
      <c r="B99">
        <v>3</v>
      </c>
      <c r="C99" t="s">
        <v>26</v>
      </c>
      <c r="D99" t="s">
        <v>129</v>
      </c>
      <c r="E99" t="s">
        <v>5</v>
      </c>
      <c r="F99" t="s">
        <v>131</v>
      </c>
    </row>
    <row r="100" spans="1:6" x14ac:dyDescent="0.35">
      <c r="A100" t="s">
        <v>135</v>
      </c>
      <c r="B100">
        <v>2</v>
      </c>
      <c r="C100" t="s">
        <v>26</v>
      </c>
      <c r="D100" t="s">
        <v>129</v>
      </c>
      <c r="E100" t="s">
        <v>5</v>
      </c>
      <c r="F100" t="s">
        <v>131</v>
      </c>
    </row>
    <row r="101" spans="1:6" x14ac:dyDescent="0.35">
      <c r="A101" t="s">
        <v>136</v>
      </c>
      <c r="B101">
        <v>1</v>
      </c>
      <c r="C101" t="s">
        <v>137</v>
      </c>
      <c r="D101" t="s">
        <v>129</v>
      </c>
      <c r="E101" t="s">
        <v>5</v>
      </c>
      <c r="F101" t="s">
        <v>81</v>
      </c>
    </row>
    <row r="102" spans="1:6" x14ac:dyDescent="0.35">
      <c r="A102" t="s">
        <v>138</v>
      </c>
      <c r="B102">
        <v>4</v>
      </c>
      <c r="C102" t="s">
        <v>28</v>
      </c>
      <c r="D102" t="s">
        <v>138</v>
      </c>
      <c r="E102" t="s">
        <v>5</v>
      </c>
    </row>
  </sheetData>
  <conditionalFormatting sqref="C1:C1048576">
    <cfRule type="containsText" dxfId="0" priority="1" operator="containsText" text="No">
      <formula>NOT(ISERROR(SEARCH("No",C1)))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6EBB-2BB6-47FF-9411-51DAE9A85416}">
  <dimension ref="A1:I1524"/>
  <sheetViews>
    <sheetView workbookViewId="0">
      <selection activeCell="F789" sqref="F789"/>
    </sheetView>
  </sheetViews>
  <sheetFormatPr defaultRowHeight="14.5" x14ac:dyDescent="0.35"/>
  <cols>
    <col min="2" max="2" width="18.7265625" customWidth="1"/>
    <col min="3" max="3" width="24.81640625" bestFit="1" customWidth="1"/>
    <col min="4" max="4" width="17" bestFit="1" customWidth="1"/>
    <col min="6" max="6" width="24.81640625" bestFit="1" customWidth="1"/>
    <col min="7" max="7" width="12.26953125" bestFit="1" customWidth="1"/>
  </cols>
  <sheetData>
    <row r="1" spans="1:9" x14ac:dyDescent="0.35">
      <c r="B1" t="s">
        <v>143</v>
      </c>
      <c r="C1" t="s">
        <v>22</v>
      </c>
      <c r="D1" t="s">
        <v>144</v>
      </c>
      <c r="E1" t="s">
        <v>145</v>
      </c>
      <c r="F1" t="s">
        <v>140</v>
      </c>
      <c r="G1" t="s">
        <v>181</v>
      </c>
      <c r="H1" t="s">
        <v>0</v>
      </c>
      <c r="I1" t="s">
        <v>182</v>
      </c>
    </row>
    <row r="2" spans="1:9" x14ac:dyDescent="0.35">
      <c r="A2">
        <v>1</v>
      </c>
      <c r="B2" s="2">
        <v>43657</v>
      </c>
      <c r="C2" t="s">
        <v>51</v>
      </c>
      <c r="D2" t="s">
        <v>146</v>
      </c>
      <c r="E2">
        <v>1</v>
      </c>
      <c r="F2" t="str">
        <f>VLOOKUP($C2,VLOOKUP_spp!$A$2:$D$103,4,1)</f>
        <v>Augochlora</v>
      </c>
      <c r="G2" t="str">
        <f>VLOOKUP($F2,VLOOKUP_spp!$A$2:$E$102,5,1)</f>
        <v>Hymenoptera</v>
      </c>
      <c r="H2" t="str">
        <f>TEXT(B2, "mmm")</f>
        <v>Jul</v>
      </c>
      <c r="I2">
        <v>1</v>
      </c>
    </row>
    <row r="3" spans="1:9" x14ac:dyDescent="0.35">
      <c r="A3">
        <v>2</v>
      </c>
      <c r="B3" s="2">
        <v>43657</v>
      </c>
      <c r="C3" t="s">
        <v>7</v>
      </c>
      <c r="D3" t="s">
        <v>146</v>
      </c>
      <c r="E3">
        <v>4</v>
      </c>
      <c r="F3" t="str">
        <f>VLOOKUP($C3,VLOOKUP_spp!$A$2:$D$103,4,1)</f>
        <v>Coleoptera</v>
      </c>
      <c r="G3" t="str">
        <f>VLOOKUP($F3,VLOOKUP_spp!$A$2:$E$102,5,1)</f>
        <v>Coleoptera</v>
      </c>
      <c r="H3" t="str">
        <f t="shared" ref="H3:H66" si="0">TEXT(B3, "mmm")</f>
        <v>Jul</v>
      </c>
      <c r="I3">
        <v>1</v>
      </c>
    </row>
    <row r="4" spans="1:9" x14ac:dyDescent="0.35">
      <c r="A4">
        <v>3</v>
      </c>
      <c r="B4" s="2">
        <v>43657</v>
      </c>
      <c r="C4" t="s">
        <v>103</v>
      </c>
      <c r="D4" t="s">
        <v>146</v>
      </c>
      <c r="E4">
        <v>1</v>
      </c>
      <c r="F4" t="str">
        <f>VLOOKUP($C4,VLOOKUP_spp!$A$2:$D$103,4,1)</f>
        <v>Hylaeus</v>
      </c>
      <c r="G4" t="str">
        <f>VLOOKUP($F4,VLOOKUP_spp!$A$2:$E$102,5,1)</f>
        <v>Hymenoptera</v>
      </c>
      <c r="H4" t="str">
        <f t="shared" si="0"/>
        <v>Jul</v>
      </c>
      <c r="I4">
        <v>1</v>
      </c>
    </row>
    <row r="5" spans="1:9" x14ac:dyDescent="0.35">
      <c r="A5">
        <v>4</v>
      </c>
      <c r="B5" s="2">
        <v>43657</v>
      </c>
      <c r="C5" t="s">
        <v>106</v>
      </c>
      <c r="D5" t="s">
        <v>146</v>
      </c>
      <c r="E5">
        <v>1</v>
      </c>
      <c r="F5" t="str">
        <f>VLOOKUP($C5,VLOOKUP_spp!$A$2:$D$103,4,1)</f>
        <v>Lasioglossum</v>
      </c>
      <c r="G5" t="str">
        <f>VLOOKUP($F5,VLOOKUP_spp!$A$2:$E$102,5,1)</f>
        <v>Hymenoptera</v>
      </c>
      <c r="H5" t="str">
        <f t="shared" si="0"/>
        <v>Jul</v>
      </c>
      <c r="I5">
        <v>1</v>
      </c>
    </row>
    <row r="6" spans="1:9" x14ac:dyDescent="0.35">
      <c r="A6">
        <v>5</v>
      </c>
      <c r="B6" s="2">
        <v>43657</v>
      </c>
      <c r="C6" t="s">
        <v>119</v>
      </c>
      <c r="D6" t="s">
        <v>146</v>
      </c>
      <c r="E6">
        <v>1</v>
      </c>
      <c r="F6" t="str">
        <f>VLOOKUP($C6,VLOOKUP_spp!$A$2:$D$103,4,1)</f>
        <v>Perdita</v>
      </c>
      <c r="G6" t="str">
        <f>VLOOKUP($F6,VLOOKUP_spp!$A$2:$E$102,5,1)</f>
        <v>Hymenoptera</v>
      </c>
      <c r="H6" t="str">
        <f t="shared" si="0"/>
        <v>Jul</v>
      </c>
      <c r="I6">
        <v>1</v>
      </c>
    </row>
    <row r="7" spans="1:9" x14ac:dyDescent="0.35">
      <c r="A7">
        <v>6</v>
      </c>
      <c r="B7" s="2">
        <v>43658</v>
      </c>
      <c r="C7" t="s">
        <v>50</v>
      </c>
      <c r="D7" t="s">
        <v>146</v>
      </c>
      <c r="E7">
        <v>5</v>
      </c>
      <c r="F7" t="str">
        <f>VLOOKUP($C7,VLOOKUP_spp!$A$2:$D$103,4,1)</f>
        <v>Apis_mellifera</v>
      </c>
      <c r="G7" t="str">
        <f>VLOOKUP($F7,VLOOKUP_spp!$A$2:$E$102,5,1)</f>
        <v>Hymenoptera</v>
      </c>
      <c r="H7" t="str">
        <f t="shared" si="0"/>
        <v>Jul</v>
      </c>
      <c r="I7">
        <v>1</v>
      </c>
    </row>
    <row r="8" spans="1:9" x14ac:dyDescent="0.35">
      <c r="A8">
        <v>7</v>
      </c>
      <c r="B8" s="2">
        <v>43658</v>
      </c>
      <c r="C8" t="s">
        <v>87</v>
      </c>
      <c r="D8" t="s">
        <v>146</v>
      </c>
      <c r="E8">
        <v>1</v>
      </c>
      <c r="F8" t="str">
        <f>VLOOKUP($C8,VLOOKUP_spp!$A$2:$D$103,4,1)</f>
        <v>Chelostoma</v>
      </c>
      <c r="G8" t="str">
        <f>VLOOKUP($F8,VLOOKUP_spp!$A$2:$E$102,5,1)</f>
        <v>Hymenoptera</v>
      </c>
      <c r="H8" t="str">
        <f t="shared" si="0"/>
        <v>Jul</v>
      </c>
      <c r="I8">
        <v>1</v>
      </c>
    </row>
    <row r="9" spans="1:9" x14ac:dyDescent="0.35">
      <c r="A9">
        <v>8</v>
      </c>
      <c r="B9" s="2">
        <v>43658</v>
      </c>
      <c r="C9" t="s">
        <v>7</v>
      </c>
      <c r="D9" t="s">
        <v>146</v>
      </c>
      <c r="E9">
        <v>2</v>
      </c>
      <c r="F9" t="str">
        <f>VLOOKUP($C9,VLOOKUP_spp!$A$2:$D$103,4,1)</f>
        <v>Coleoptera</v>
      </c>
      <c r="G9" t="str">
        <f>VLOOKUP($F9,VLOOKUP_spp!$A$2:$E$102,5,1)</f>
        <v>Coleoptera</v>
      </c>
      <c r="H9" t="str">
        <f t="shared" si="0"/>
        <v>Jul</v>
      </c>
      <c r="I9">
        <v>1</v>
      </c>
    </row>
    <row r="10" spans="1:9" x14ac:dyDescent="0.35">
      <c r="A10">
        <v>9</v>
      </c>
      <c r="B10" s="2">
        <v>43658</v>
      </c>
      <c r="C10" t="s">
        <v>7</v>
      </c>
      <c r="D10" t="s">
        <v>147</v>
      </c>
      <c r="E10">
        <v>2</v>
      </c>
      <c r="F10" t="str">
        <f>VLOOKUP($C10,VLOOKUP_spp!$A$2:$D$103,4,1)</f>
        <v>Coleoptera</v>
      </c>
      <c r="G10" t="str">
        <f>VLOOKUP($F10,VLOOKUP_spp!$A$2:$E$102,5,1)</f>
        <v>Coleoptera</v>
      </c>
      <c r="H10" t="str">
        <f t="shared" si="0"/>
        <v>Jul</v>
      </c>
      <c r="I10">
        <v>1</v>
      </c>
    </row>
    <row r="11" spans="1:9" x14ac:dyDescent="0.35">
      <c r="A11">
        <v>10</v>
      </c>
      <c r="B11" s="2">
        <v>43658</v>
      </c>
      <c r="C11" t="s">
        <v>99</v>
      </c>
      <c r="D11" t="s">
        <v>146</v>
      </c>
      <c r="E11">
        <v>1</v>
      </c>
      <c r="F11" t="str">
        <f>VLOOKUP($C11,VLOOKUP_spp!$A$2:$D$103,4,1)</f>
        <v>Halictus_rubicundus</v>
      </c>
      <c r="G11" t="str">
        <f>VLOOKUP($F11,VLOOKUP_spp!$A$2:$E$102,5,1)</f>
        <v>Hymenoptera</v>
      </c>
      <c r="H11" t="str">
        <f t="shared" si="0"/>
        <v>Jul</v>
      </c>
      <c r="I11">
        <v>1</v>
      </c>
    </row>
    <row r="12" spans="1:9" x14ac:dyDescent="0.35">
      <c r="A12">
        <v>11</v>
      </c>
      <c r="B12" s="2">
        <v>43658</v>
      </c>
      <c r="C12" t="s">
        <v>101</v>
      </c>
      <c r="D12" t="s">
        <v>146</v>
      </c>
      <c r="E12">
        <v>2</v>
      </c>
      <c r="F12" t="str">
        <f>VLOOKUP($C12,VLOOKUP_spp!$A$2:$D$103,4,1)</f>
        <v>Halictus_tripartitus</v>
      </c>
      <c r="G12" t="str">
        <f>VLOOKUP($F12,VLOOKUP_spp!$A$2:$E$102,5,1)</f>
        <v>Hymenoptera</v>
      </c>
      <c r="H12" t="str">
        <f t="shared" si="0"/>
        <v>Jul</v>
      </c>
      <c r="I12">
        <v>1</v>
      </c>
    </row>
    <row r="13" spans="1:9" x14ac:dyDescent="0.35">
      <c r="A13">
        <v>12</v>
      </c>
      <c r="B13" s="2">
        <v>43658</v>
      </c>
      <c r="C13" t="s">
        <v>111</v>
      </c>
      <c r="D13" t="s">
        <v>146</v>
      </c>
      <c r="E13">
        <v>2</v>
      </c>
      <c r="F13">
        <f>VLOOKUP($C13,VLOOKUP_spp!$A$2:$D$103,4,1)</f>
        <v>0</v>
      </c>
      <c r="G13" t="e">
        <f>VLOOKUP($F13,VLOOKUP_spp!$A$2:$E$102,5,1)</f>
        <v>#N/A</v>
      </c>
      <c r="H13" t="str">
        <f t="shared" si="0"/>
        <v>Jul</v>
      </c>
      <c r="I13">
        <v>1</v>
      </c>
    </row>
    <row r="14" spans="1:9" x14ac:dyDescent="0.35">
      <c r="A14">
        <v>13</v>
      </c>
      <c r="B14" s="2">
        <v>43658</v>
      </c>
      <c r="C14" t="s">
        <v>115</v>
      </c>
      <c r="D14" t="s">
        <v>146</v>
      </c>
      <c r="E14">
        <v>1</v>
      </c>
      <c r="F14" t="str">
        <f>VLOOKUP($C14,VLOOKUP_spp!$A$2:$D$103,4,1)</f>
        <v>Nomada</v>
      </c>
      <c r="G14" t="str">
        <f>VLOOKUP($F14,VLOOKUP_spp!$A$2:$E$102,5,1)</f>
        <v>Hymenoptera</v>
      </c>
      <c r="H14" t="str">
        <f t="shared" si="0"/>
        <v>Jul</v>
      </c>
      <c r="I14">
        <v>1</v>
      </c>
    </row>
    <row r="15" spans="1:9" x14ac:dyDescent="0.35">
      <c r="A15">
        <v>14</v>
      </c>
      <c r="B15" s="2">
        <v>43658</v>
      </c>
      <c r="C15" t="s">
        <v>118</v>
      </c>
      <c r="D15" t="s">
        <v>146</v>
      </c>
      <c r="E15">
        <v>1</v>
      </c>
      <c r="F15" t="str">
        <f>VLOOKUP($C15,VLOOKUP_spp!$A$2:$D$103,4,1)</f>
        <v>Panurginus</v>
      </c>
      <c r="G15" t="str">
        <f>VLOOKUP($F15,VLOOKUP_spp!$A$2:$E$102,5,1)</f>
        <v>Hymenoptera</v>
      </c>
      <c r="H15" t="str">
        <f t="shared" si="0"/>
        <v>Jul</v>
      </c>
      <c r="I15">
        <v>1</v>
      </c>
    </row>
    <row r="16" spans="1:9" x14ac:dyDescent="0.35">
      <c r="A16">
        <v>15</v>
      </c>
      <c r="B16" s="2">
        <v>43658</v>
      </c>
      <c r="C16" t="s">
        <v>128</v>
      </c>
      <c r="D16" t="s">
        <v>146</v>
      </c>
      <c r="E16">
        <v>1</v>
      </c>
      <c r="F16" t="str">
        <f>VLOOKUP($C16,VLOOKUP_spp!$A$2:$D$103,4,1)</f>
        <v>Wasp</v>
      </c>
      <c r="G16" t="str">
        <f>VLOOKUP($F16,VLOOKUP_spp!$A$2:$E$102,5,1)</f>
        <v>Hymenoptera</v>
      </c>
      <c r="H16" t="str">
        <f t="shared" si="0"/>
        <v>Jul</v>
      </c>
      <c r="I16">
        <v>1</v>
      </c>
    </row>
    <row r="17" spans="1:9" x14ac:dyDescent="0.35">
      <c r="A17">
        <v>16</v>
      </c>
      <c r="B17" s="2">
        <v>43663</v>
      </c>
      <c r="C17" t="s">
        <v>30</v>
      </c>
      <c r="D17" t="s">
        <v>146</v>
      </c>
      <c r="E17">
        <v>3</v>
      </c>
      <c r="F17" t="str">
        <f>VLOOKUP($C17,VLOOKUP_spp!$A$2:$D$103,4,1)</f>
        <v>Andrena</v>
      </c>
      <c r="G17" t="str">
        <f>VLOOKUP($F17,VLOOKUP_spp!$A$2:$E$102,5,1)</f>
        <v>Hymenoptera</v>
      </c>
      <c r="H17" t="str">
        <f t="shared" si="0"/>
        <v>Jul</v>
      </c>
      <c r="I17">
        <v>1</v>
      </c>
    </row>
    <row r="18" spans="1:9" x14ac:dyDescent="0.35">
      <c r="A18">
        <v>17</v>
      </c>
      <c r="B18" s="2">
        <v>43663</v>
      </c>
      <c r="C18" t="s">
        <v>37</v>
      </c>
      <c r="D18" t="s">
        <v>147</v>
      </c>
      <c r="E18">
        <v>1</v>
      </c>
      <c r="F18" t="str">
        <f>VLOOKUP($C18,VLOOKUP_spp!$A$2:$D$103,4,1)</f>
        <v>Anthidium</v>
      </c>
      <c r="G18" t="str">
        <f>VLOOKUP($F18,VLOOKUP_spp!$A$2:$E$102,5,1)</f>
        <v>Hymenoptera</v>
      </c>
      <c r="H18" t="str">
        <f t="shared" si="0"/>
        <v>Jul</v>
      </c>
      <c r="I18">
        <v>1</v>
      </c>
    </row>
    <row r="19" spans="1:9" x14ac:dyDescent="0.35">
      <c r="A19">
        <v>18</v>
      </c>
      <c r="B19" s="2">
        <v>43663</v>
      </c>
      <c r="C19" t="s">
        <v>41</v>
      </c>
      <c r="D19" t="s">
        <v>147</v>
      </c>
      <c r="E19">
        <v>1</v>
      </c>
      <c r="F19" t="str">
        <f>VLOOKUP($C19,VLOOKUP_spp!$A$2:$D$103,4,1)</f>
        <v>Anthidium_oblongatum</v>
      </c>
      <c r="G19" t="str">
        <f>VLOOKUP($F19,VLOOKUP_spp!$A$2:$E$102,5,1)</f>
        <v>Hymenoptera</v>
      </c>
      <c r="H19" t="str">
        <f t="shared" si="0"/>
        <v>Jul</v>
      </c>
      <c r="I19">
        <v>1</v>
      </c>
    </row>
    <row r="20" spans="1:9" x14ac:dyDescent="0.35">
      <c r="A20">
        <v>19</v>
      </c>
      <c r="B20" s="2">
        <v>43663</v>
      </c>
      <c r="C20" t="s">
        <v>50</v>
      </c>
      <c r="D20" t="s">
        <v>148</v>
      </c>
      <c r="E20">
        <v>7</v>
      </c>
      <c r="F20" t="str">
        <f>VLOOKUP($C20,VLOOKUP_spp!$A$2:$D$103,4,1)</f>
        <v>Apis_mellifera</v>
      </c>
      <c r="G20" t="str">
        <f>VLOOKUP($F20,VLOOKUP_spp!$A$2:$E$102,5,1)</f>
        <v>Hymenoptera</v>
      </c>
      <c r="H20" t="str">
        <f t="shared" si="0"/>
        <v>Jul</v>
      </c>
      <c r="I20">
        <v>1</v>
      </c>
    </row>
    <row r="21" spans="1:9" x14ac:dyDescent="0.35">
      <c r="A21">
        <v>20</v>
      </c>
      <c r="B21" s="2">
        <v>43663</v>
      </c>
      <c r="C21" t="s">
        <v>7</v>
      </c>
      <c r="D21" t="s">
        <v>148</v>
      </c>
      <c r="E21">
        <v>2</v>
      </c>
      <c r="F21" t="str">
        <f>VLOOKUP($C21,VLOOKUP_spp!$A$2:$D$103,4,1)</f>
        <v>Coleoptera</v>
      </c>
      <c r="G21" t="str">
        <f>VLOOKUP($F21,VLOOKUP_spp!$A$2:$E$102,5,1)</f>
        <v>Coleoptera</v>
      </c>
      <c r="H21" t="str">
        <f t="shared" si="0"/>
        <v>Jul</v>
      </c>
      <c r="I21">
        <v>1</v>
      </c>
    </row>
    <row r="22" spans="1:9" x14ac:dyDescent="0.35">
      <c r="A22">
        <v>21</v>
      </c>
      <c r="B22" s="2">
        <v>43663</v>
      </c>
      <c r="C22" t="s">
        <v>7</v>
      </c>
      <c r="D22" t="s">
        <v>147</v>
      </c>
      <c r="E22">
        <v>2</v>
      </c>
      <c r="F22" t="str">
        <f>VLOOKUP($C22,VLOOKUP_spp!$A$2:$D$103,4,1)</f>
        <v>Coleoptera</v>
      </c>
      <c r="G22" t="str">
        <f>VLOOKUP($F22,VLOOKUP_spp!$A$2:$E$102,5,1)</f>
        <v>Coleoptera</v>
      </c>
      <c r="H22" t="str">
        <f t="shared" si="0"/>
        <v>Jul</v>
      </c>
      <c r="I22">
        <v>1</v>
      </c>
    </row>
    <row r="23" spans="1:9" x14ac:dyDescent="0.35">
      <c r="A23">
        <v>22</v>
      </c>
      <c r="B23" s="2">
        <v>43663</v>
      </c>
      <c r="C23" t="s">
        <v>6</v>
      </c>
      <c r="D23" t="s">
        <v>146</v>
      </c>
      <c r="E23">
        <v>2</v>
      </c>
      <c r="F23" t="str">
        <f>VLOOKUP($C23,VLOOKUP_spp!$A$2:$D$103,4,1)</f>
        <v>Diptera</v>
      </c>
      <c r="G23" t="str">
        <f>VLOOKUP($F23,VLOOKUP_spp!$A$2:$E$102,5,1)</f>
        <v>Diptera</v>
      </c>
      <c r="H23" t="str">
        <f t="shared" si="0"/>
        <v>Jul</v>
      </c>
      <c r="I23">
        <v>1</v>
      </c>
    </row>
    <row r="24" spans="1:9" x14ac:dyDescent="0.35">
      <c r="A24">
        <v>23</v>
      </c>
      <c r="B24" s="2">
        <v>43663</v>
      </c>
      <c r="C24" t="s">
        <v>99</v>
      </c>
      <c r="D24" t="s">
        <v>146</v>
      </c>
      <c r="E24">
        <v>1</v>
      </c>
      <c r="F24" t="str">
        <f>VLOOKUP($C24,VLOOKUP_spp!$A$2:$D$103,4,1)</f>
        <v>Halictus_rubicundus</v>
      </c>
      <c r="G24" t="str">
        <f>VLOOKUP($F24,VLOOKUP_spp!$A$2:$E$102,5,1)</f>
        <v>Hymenoptera</v>
      </c>
      <c r="H24" t="str">
        <f t="shared" si="0"/>
        <v>Jul</v>
      </c>
      <c r="I24">
        <v>1</v>
      </c>
    </row>
    <row r="25" spans="1:9" x14ac:dyDescent="0.35">
      <c r="A25">
        <v>24</v>
      </c>
      <c r="B25" s="2">
        <v>43663</v>
      </c>
      <c r="C25" t="s">
        <v>101</v>
      </c>
      <c r="D25" t="s">
        <v>146</v>
      </c>
      <c r="E25">
        <v>2</v>
      </c>
      <c r="F25" t="str">
        <f>VLOOKUP($C25,VLOOKUP_spp!$A$2:$D$103,4,1)</f>
        <v>Halictus_tripartitus</v>
      </c>
      <c r="G25" t="str">
        <f>VLOOKUP($F25,VLOOKUP_spp!$A$2:$E$102,5,1)</f>
        <v>Hymenoptera</v>
      </c>
      <c r="H25" t="str">
        <f t="shared" si="0"/>
        <v>Jul</v>
      </c>
      <c r="I25">
        <v>1</v>
      </c>
    </row>
    <row r="26" spans="1:9" x14ac:dyDescent="0.35">
      <c r="A26">
        <v>25</v>
      </c>
      <c r="B26" s="2">
        <v>43663</v>
      </c>
      <c r="C26" t="s">
        <v>105</v>
      </c>
      <c r="D26" t="s">
        <v>148</v>
      </c>
      <c r="E26">
        <v>1</v>
      </c>
      <c r="F26" t="str">
        <f>VLOOKUP($C26,VLOOKUP_spp!$A$2:$D$103,4,1)</f>
        <v>Hylaeus_modestus</v>
      </c>
      <c r="G26" t="str">
        <f>VLOOKUP($F26,VLOOKUP_spp!$A$2:$E$102,5,1)</f>
        <v>Hymenoptera</v>
      </c>
      <c r="H26" t="str">
        <f t="shared" si="0"/>
        <v>Jul</v>
      </c>
      <c r="I26">
        <v>1</v>
      </c>
    </row>
    <row r="27" spans="1:9" x14ac:dyDescent="0.35">
      <c r="A27">
        <v>26</v>
      </c>
      <c r="B27" s="2">
        <v>43663</v>
      </c>
      <c r="C27" t="s">
        <v>106</v>
      </c>
      <c r="D27" t="s">
        <v>146</v>
      </c>
      <c r="E27">
        <v>2</v>
      </c>
      <c r="F27" t="str">
        <f>VLOOKUP($C27,VLOOKUP_spp!$A$2:$D$103,4,1)</f>
        <v>Lasioglossum</v>
      </c>
      <c r="G27" t="str">
        <f>VLOOKUP($F27,VLOOKUP_spp!$A$2:$E$102,5,1)</f>
        <v>Hymenoptera</v>
      </c>
      <c r="H27" t="str">
        <f t="shared" si="0"/>
        <v>Jul</v>
      </c>
      <c r="I27">
        <v>1</v>
      </c>
    </row>
    <row r="28" spans="1:9" x14ac:dyDescent="0.35">
      <c r="A28">
        <v>27</v>
      </c>
      <c r="B28" s="2">
        <v>43663</v>
      </c>
      <c r="C28" t="s">
        <v>126</v>
      </c>
      <c r="D28" t="s">
        <v>148</v>
      </c>
      <c r="E28">
        <v>1</v>
      </c>
      <c r="F28" t="str">
        <f>VLOOKUP($C28,VLOOKUP_spp!$A$2:$D$103,4,1)</f>
        <v>Syrphidae</v>
      </c>
      <c r="G28" t="str">
        <f>VLOOKUP($F28,VLOOKUP_spp!$A$2:$E$102,5,1)</f>
        <v>Diptera</v>
      </c>
      <c r="H28" t="str">
        <f t="shared" si="0"/>
        <v>Jul</v>
      </c>
      <c r="I28">
        <v>1</v>
      </c>
    </row>
    <row r="29" spans="1:9" x14ac:dyDescent="0.35">
      <c r="A29">
        <v>28</v>
      </c>
      <c r="B29" s="2">
        <v>43663</v>
      </c>
      <c r="C29" t="s">
        <v>126</v>
      </c>
      <c r="D29" t="s">
        <v>146</v>
      </c>
      <c r="E29">
        <v>4</v>
      </c>
      <c r="F29" t="str">
        <f>VLOOKUP($C29,VLOOKUP_spp!$A$2:$D$103,4,1)</f>
        <v>Syrphidae</v>
      </c>
      <c r="G29" t="str">
        <f>VLOOKUP($F29,VLOOKUP_spp!$A$2:$E$102,5,1)</f>
        <v>Diptera</v>
      </c>
      <c r="H29" t="str">
        <f t="shared" si="0"/>
        <v>Jul</v>
      </c>
      <c r="I29">
        <v>1</v>
      </c>
    </row>
    <row r="30" spans="1:9" x14ac:dyDescent="0.35">
      <c r="A30">
        <v>29</v>
      </c>
      <c r="B30" s="2">
        <v>43663</v>
      </c>
      <c r="C30" t="s">
        <v>126</v>
      </c>
      <c r="D30" t="s">
        <v>147</v>
      </c>
      <c r="E30">
        <v>1</v>
      </c>
      <c r="F30" t="str">
        <f>VLOOKUP($C30,VLOOKUP_spp!$A$2:$D$103,4,1)</f>
        <v>Syrphidae</v>
      </c>
      <c r="G30" t="str">
        <f>VLOOKUP($F30,VLOOKUP_spp!$A$2:$E$102,5,1)</f>
        <v>Diptera</v>
      </c>
      <c r="H30" t="str">
        <f t="shared" si="0"/>
        <v>Jul</v>
      </c>
      <c r="I30">
        <v>1</v>
      </c>
    </row>
    <row r="31" spans="1:9" x14ac:dyDescent="0.35">
      <c r="A31">
        <v>30</v>
      </c>
      <c r="B31" s="2">
        <v>43663</v>
      </c>
      <c r="C31" t="s">
        <v>128</v>
      </c>
      <c r="D31" t="s">
        <v>148</v>
      </c>
      <c r="E31">
        <v>8</v>
      </c>
      <c r="F31" t="str">
        <f>VLOOKUP($C31,VLOOKUP_spp!$A$2:$D$103,4,1)</f>
        <v>Wasp</v>
      </c>
      <c r="G31" t="str">
        <f>VLOOKUP($F31,VLOOKUP_spp!$A$2:$E$102,5,1)</f>
        <v>Hymenoptera</v>
      </c>
      <c r="H31" t="str">
        <f t="shared" si="0"/>
        <v>Jul</v>
      </c>
      <c r="I31">
        <v>1</v>
      </c>
    </row>
    <row r="32" spans="1:9" x14ac:dyDescent="0.35">
      <c r="A32">
        <v>31</v>
      </c>
      <c r="B32" s="2">
        <v>43664</v>
      </c>
      <c r="C32" t="s">
        <v>36</v>
      </c>
      <c r="D32" t="s">
        <v>146</v>
      </c>
      <c r="E32">
        <v>1</v>
      </c>
      <c r="F32" t="str">
        <f>VLOOKUP($C32,VLOOKUP_spp!$A$2:$D$103,4,1)</f>
        <v>Andrena</v>
      </c>
      <c r="G32" t="str">
        <f>VLOOKUP($F32,VLOOKUP_spp!$A$2:$E$102,5,1)</f>
        <v>Hymenoptera</v>
      </c>
      <c r="H32" t="str">
        <f t="shared" si="0"/>
        <v>Jul</v>
      </c>
      <c r="I32">
        <v>1</v>
      </c>
    </row>
    <row r="33" spans="1:9" x14ac:dyDescent="0.35">
      <c r="A33">
        <v>32</v>
      </c>
      <c r="B33" s="2">
        <v>43664</v>
      </c>
      <c r="C33" t="s">
        <v>50</v>
      </c>
      <c r="D33" t="s">
        <v>146</v>
      </c>
      <c r="E33">
        <v>10</v>
      </c>
      <c r="F33" t="str">
        <f>VLOOKUP($C33,VLOOKUP_spp!$A$2:$D$103,4,1)</f>
        <v>Apis_mellifera</v>
      </c>
      <c r="G33" t="str">
        <f>VLOOKUP($F33,VLOOKUP_spp!$A$2:$E$102,5,1)</f>
        <v>Hymenoptera</v>
      </c>
      <c r="H33" t="str">
        <f t="shared" si="0"/>
        <v>Jul</v>
      </c>
      <c r="I33">
        <v>1</v>
      </c>
    </row>
    <row r="34" spans="1:9" x14ac:dyDescent="0.35">
      <c r="A34">
        <v>33</v>
      </c>
      <c r="B34" s="2">
        <v>43664</v>
      </c>
      <c r="C34" t="s">
        <v>50</v>
      </c>
      <c r="D34" t="s">
        <v>147</v>
      </c>
      <c r="E34">
        <v>6</v>
      </c>
      <c r="F34" t="str">
        <f>VLOOKUP($C34,VLOOKUP_spp!$A$2:$D$103,4,1)</f>
        <v>Apis_mellifera</v>
      </c>
      <c r="G34" t="str">
        <f>VLOOKUP($F34,VLOOKUP_spp!$A$2:$E$102,5,1)</f>
        <v>Hymenoptera</v>
      </c>
      <c r="H34" t="str">
        <f t="shared" si="0"/>
        <v>Jul</v>
      </c>
      <c r="I34">
        <v>1</v>
      </c>
    </row>
    <row r="35" spans="1:9" x14ac:dyDescent="0.35">
      <c r="A35">
        <v>34</v>
      </c>
      <c r="B35" s="2">
        <v>43664</v>
      </c>
      <c r="C35" t="s">
        <v>7</v>
      </c>
      <c r="D35" t="s">
        <v>148</v>
      </c>
      <c r="E35">
        <v>2</v>
      </c>
      <c r="F35" t="str">
        <f>VLOOKUP($C35,VLOOKUP_spp!$A$2:$D$103,4,1)</f>
        <v>Coleoptera</v>
      </c>
      <c r="G35" t="str">
        <f>VLOOKUP($F35,VLOOKUP_spp!$A$2:$E$102,5,1)</f>
        <v>Coleoptera</v>
      </c>
      <c r="H35" t="str">
        <f t="shared" si="0"/>
        <v>Jul</v>
      </c>
      <c r="I35">
        <v>1</v>
      </c>
    </row>
    <row r="36" spans="1:9" x14ac:dyDescent="0.35">
      <c r="A36">
        <v>35</v>
      </c>
      <c r="B36" s="2">
        <v>43664</v>
      </c>
      <c r="C36" t="s">
        <v>7</v>
      </c>
      <c r="D36" t="s">
        <v>146</v>
      </c>
      <c r="E36">
        <v>4</v>
      </c>
      <c r="F36" t="str">
        <f>VLOOKUP($C36,VLOOKUP_spp!$A$2:$D$103,4,1)</f>
        <v>Coleoptera</v>
      </c>
      <c r="G36" t="str">
        <f>VLOOKUP($F36,VLOOKUP_spp!$A$2:$E$102,5,1)</f>
        <v>Coleoptera</v>
      </c>
      <c r="H36" t="str">
        <f t="shared" si="0"/>
        <v>Jul</v>
      </c>
      <c r="I36">
        <v>1</v>
      </c>
    </row>
    <row r="37" spans="1:9" x14ac:dyDescent="0.35">
      <c r="A37">
        <v>36</v>
      </c>
      <c r="B37" s="2">
        <v>43664</v>
      </c>
      <c r="C37" t="s">
        <v>7</v>
      </c>
      <c r="D37" t="s">
        <v>149</v>
      </c>
      <c r="E37">
        <v>1</v>
      </c>
      <c r="F37" t="str">
        <f>VLOOKUP($C37,VLOOKUP_spp!$A$2:$D$103,4,1)</f>
        <v>Coleoptera</v>
      </c>
      <c r="G37" t="str">
        <f>VLOOKUP($F37,VLOOKUP_spp!$A$2:$E$102,5,1)</f>
        <v>Coleoptera</v>
      </c>
      <c r="H37" t="str">
        <f t="shared" si="0"/>
        <v>Jul</v>
      </c>
      <c r="I37">
        <v>1</v>
      </c>
    </row>
    <row r="38" spans="1:9" x14ac:dyDescent="0.35">
      <c r="A38">
        <v>37</v>
      </c>
      <c r="B38" s="2">
        <v>43664</v>
      </c>
      <c r="C38" t="s">
        <v>7</v>
      </c>
      <c r="D38" t="s">
        <v>147</v>
      </c>
      <c r="E38">
        <v>1</v>
      </c>
      <c r="F38" t="str">
        <f>VLOOKUP($C38,VLOOKUP_spp!$A$2:$D$103,4,1)</f>
        <v>Coleoptera</v>
      </c>
      <c r="G38" t="str">
        <f>VLOOKUP($F38,VLOOKUP_spp!$A$2:$E$102,5,1)</f>
        <v>Coleoptera</v>
      </c>
      <c r="H38" t="str">
        <f t="shared" si="0"/>
        <v>Jul</v>
      </c>
      <c r="I38">
        <v>1</v>
      </c>
    </row>
    <row r="39" spans="1:9" x14ac:dyDescent="0.35">
      <c r="A39">
        <v>38</v>
      </c>
      <c r="B39" s="2">
        <v>43664</v>
      </c>
      <c r="C39" t="s">
        <v>89</v>
      </c>
      <c r="D39" t="s">
        <v>146</v>
      </c>
      <c r="E39">
        <v>1</v>
      </c>
      <c r="F39">
        <f>VLOOKUP($C39,VLOOKUP_spp!$A$2:$D$103,4,1)</f>
        <v>0</v>
      </c>
      <c r="G39" t="e">
        <f>VLOOKUP($F39,VLOOKUP_spp!$A$2:$E$102,5,1)</f>
        <v>#N/A</v>
      </c>
      <c r="H39" t="str">
        <f t="shared" si="0"/>
        <v>Jul</v>
      </c>
      <c r="I39">
        <v>1</v>
      </c>
    </row>
    <row r="40" spans="1:9" x14ac:dyDescent="0.35">
      <c r="A40">
        <v>39</v>
      </c>
      <c r="B40" s="2">
        <v>43664</v>
      </c>
      <c r="C40" t="s">
        <v>6</v>
      </c>
      <c r="D40" t="s">
        <v>146</v>
      </c>
      <c r="E40">
        <v>4</v>
      </c>
      <c r="F40" t="str">
        <f>VLOOKUP($C40,VLOOKUP_spp!$A$2:$D$103,4,1)</f>
        <v>Diptera</v>
      </c>
      <c r="G40" t="str">
        <f>VLOOKUP($F40,VLOOKUP_spp!$A$2:$E$102,5,1)</f>
        <v>Diptera</v>
      </c>
      <c r="H40" t="str">
        <f t="shared" si="0"/>
        <v>Jul</v>
      </c>
      <c r="I40">
        <v>1</v>
      </c>
    </row>
    <row r="41" spans="1:9" x14ac:dyDescent="0.35">
      <c r="A41">
        <v>40</v>
      </c>
      <c r="B41" s="2">
        <v>43664</v>
      </c>
      <c r="C41" t="s">
        <v>6</v>
      </c>
      <c r="D41" t="s">
        <v>149</v>
      </c>
      <c r="E41">
        <v>1</v>
      </c>
      <c r="F41" t="str">
        <f>VLOOKUP($C41,VLOOKUP_spp!$A$2:$D$103,4,1)</f>
        <v>Diptera</v>
      </c>
      <c r="G41" t="str">
        <f>VLOOKUP($F41,VLOOKUP_spp!$A$2:$E$102,5,1)</f>
        <v>Diptera</v>
      </c>
      <c r="H41" t="str">
        <f t="shared" si="0"/>
        <v>Jul</v>
      </c>
      <c r="I41">
        <v>1</v>
      </c>
    </row>
    <row r="42" spans="1:9" x14ac:dyDescent="0.35">
      <c r="A42">
        <v>41</v>
      </c>
      <c r="B42" s="2">
        <v>43664</v>
      </c>
      <c r="C42" t="s">
        <v>6</v>
      </c>
      <c r="D42" t="s">
        <v>147</v>
      </c>
      <c r="E42">
        <v>2</v>
      </c>
      <c r="F42" t="str">
        <f>VLOOKUP($C42,VLOOKUP_spp!$A$2:$D$103,4,1)</f>
        <v>Diptera</v>
      </c>
      <c r="G42" t="str">
        <f>VLOOKUP($F42,VLOOKUP_spp!$A$2:$E$102,5,1)</f>
        <v>Diptera</v>
      </c>
      <c r="H42" t="str">
        <f t="shared" si="0"/>
        <v>Jul</v>
      </c>
      <c r="I42">
        <v>1</v>
      </c>
    </row>
    <row r="43" spans="1:9" x14ac:dyDescent="0.35">
      <c r="A43">
        <v>42</v>
      </c>
      <c r="B43" s="2">
        <v>43664</v>
      </c>
      <c r="C43" t="s">
        <v>97</v>
      </c>
      <c r="D43" t="s">
        <v>146</v>
      </c>
      <c r="E43">
        <v>1</v>
      </c>
      <c r="F43" t="str">
        <f>VLOOKUP($C43,VLOOKUP_spp!$A$2:$D$103,4,1)</f>
        <v>Halictus</v>
      </c>
      <c r="G43" t="str">
        <f>VLOOKUP($F43,VLOOKUP_spp!$A$2:$E$102,5,1)</f>
        <v>Hymenoptera</v>
      </c>
      <c r="H43" t="str">
        <f t="shared" si="0"/>
        <v>Jul</v>
      </c>
      <c r="I43">
        <v>1</v>
      </c>
    </row>
    <row r="44" spans="1:9" x14ac:dyDescent="0.35">
      <c r="A44">
        <v>43</v>
      </c>
      <c r="B44" s="2">
        <v>43664</v>
      </c>
      <c r="C44" t="s">
        <v>101</v>
      </c>
      <c r="D44" t="s">
        <v>146</v>
      </c>
      <c r="E44">
        <v>2</v>
      </c>
      <c r="F44" t="str">
        <f>VLOOKUP($C44,VLOOKUP_spp!$A$2:$D$103,4,1)</f>
        <v>Halictus_tripartitus</v>
      </c>
      <c r="G44" t="str">
        <f>VLOOKUP($F44,VLOOKUP_spp!$A$2:$E$102,5,1)</f>
        <v>Hymenoptera</v>
      </c>
      <c r="H44" t="str">
        <f t="shared" si="0"/>
        <v>Jul</v>
      </c>
      <c r="I44">
        <v>1</v>
      </c>
    </row>
    <row r="45" spans="1:9" x14ac:dyDescent="0.35">
      <c r="A45">
        <v>44</v>
      </c>
      <c r="B45" s="2">
        <v>43664</v>
      </c>
      <c r="C45" t="s">
        <v>106</v>
      </c>
      <c r="D45" t="s">
        <v>146</v>
      </c>
      <c r="E45">
        <v>2</v>
      </c>
      <c r="F45" t="str">
        <f>VLOOKUP($C45,VLOOKUP_spp!$A$2:$D$103,4,1)</f>
        <v>Lasioglossum</v>
      </c>
      <c r="G45" t="str">
        <f>VLOOKUP($F45,VLOOKUP_spp!$A$2:$E$102,5,1)</f>
        <v>Hymenoptera</v>
      </c>
      <c r="H45" t="str">
        <f t="shared" si="0"/>
        <v>Jul</v>
      </c>
      <c r="I45">
        <v>1</v>
      </c>
    </row>
    <row r="46" spans="1:9" x14ac:dyDescent="0.35">
      <c r="A46">
        <v>45</v>
      </c>
      <c r="B46" s="2">
        <v>43664</v>
      </c>
      <c r="C46" t="s">
        <v>122</v>
      </c>
      <c r="D46" t="s">
        <v>146</v>
      </c>
      <c r="E46">
        <v>1</v>
      </c>
      <c r="F46" t="str">
        <f>VLOOKUP($C46,VLOOKUP_spp!$A$2:$D$103,4,1)</f>
        <v>Ptilothrix</v>
      </c>
      <c r="G46" t="str">
        <f>VLOOKUP($F46,VLOOKUP_spp!$A$2:$E$102,5,1)</f>
        <v>Hymenoptera</v>
      </c>
      <c r="H46" t="str">
        <f t="shared" si="0"/>
        <v>Jul</v>
      </c>
      <c r="I46">
        <v>1</v>
      </c>
    </row>
    <row r="47" spans="1:9" x14ac:dyDescent="0.35">
      <c r="A47">
        <v>46</v>
      </c>
      <c r="B47" s="2">
        <v>43664</v>
      </c>
      <c r="C47" t="s">
        <v>125</v>
      </c>
      <c r="D47" t="s">
        <v>147</v>
      </c>
      <c r="E47">
        <v>1</v>
      </c>
      <c r="F47" t="str">
        <f>VLOOKUP($C47,VLOOKUP_spp!$A$2:$D$103,4,1)</f>
        <v>Stelis</v>
      </c>
      <c r="G47" t="str">
        <f>VLOOKUP($F47,VLOOKUP_spp!$A$2:$E$102,5,1)</f>
        <v>Hymenoptera</v>
      </c>
      <c r="H47" t="str">
        <f t="shared" si="0"/>
        <v>Jul</v>
      </c>
      <c r="I47">
        <v>1</v>
      </c>
    </row>
    <row r="48" spans="1:9" x14ac:dyDescent="0.35">
      <c r="A48">
        <v>47</v>
      </c>
      <c r="B48" s="2">
        <v>43664</v>
      </c>
      <c r="C48" t="s">
        <v>126</v>
      </c>
      <c r="D48" t="s">
        <v>146</v>
      </c>
      <c r="E48">
        <v>8</v>
      </c>
      <c r="F48" t="str">
        <f>VLOOKUP($C48,VLOOKUP_spp!$A$2:$D$103,4,1)</f>
        <v>Syrphidae</v>
      </c>
      <c r="G48" t="str">
        <f>VLOOKUP($F48,VLOOKUP_spp!$A$2:$E$102,5,1)</f>
        <v>Diptera</v>
      </c>
      <c r="H48" t="str">
        <f t="shared" si="0"/>
        <v>Jul</v>
      </c>
      <c r="I48">
        <v>1</v>
      </c>
    </row>
    <row r="49" spans="1:9" x14ac:dyDescent="0.35">
      <c r="A49">
        <v>48</v>
      </c>
      <c r="B49" s="2">
        <v>43664</v>
      </c>
      <c r="C49" t="s">
        <v>126</v>
      </c>
      <c r="D49" t="s">
        <v>149</v>
      </c>
      <c r="E49">
        <v>1</v>
      </c>
      <c r="F49" t="str">
        <f>VLOOKUP($C49,VLOOKUP_spp!$A$2:$D$103,4,1)</f>
        <v>Syrphidae</v>
      </c>
      <c r="G49" t="str">
        <f>VLOOKUP($F49,VLOOKUP_spp!$A$2:$E$102,5,1)</f>
        <v>Diptera</v>
      </c>
      <c r="H49" t="str">
        <f t="shared" si="0"/>
        <v>Jul</v>
      </c>
      <c r="I49">
        <v>1</v>
      </c>
    </row>
    <row r="50" spans="1:9" x14ac:dyDescent="0.35">
      <c r="A50">
        <v>49</v>
      </c>
      <c r="B50" s="2">
        <v>43664</v>
      </c>
      <c r="C50" t="s">
        <v>126</v>
      </c>
      <c r="D50" t="s">
        <v>147</v>
      </c>
      <c r="E50">
        <v>2</v>
      </c>
      <c r="F50" t="str">
        <f>VLOOKUP($C50,VLOOKUP_spp!$A$2:$D$103,4,1)</f>
        <v>Syrphidae</v>
      </c>
      <c r="G50" t="str">
        <f>VLOOKUP($F50,VLOOKUP_spp!$A$2:$E$102,5,1)</f>
        <v>Diptera</v>
      </c>
      <c r="H50" t="str">
        <f t="shared" si="0"/>
        <v>Jul</v>
      </c>
      <c r="I50">
        <v>1</v>
      </c>
    </row>
    <row r="51" spans="1:9" x14ac:dyDescent="0.35">
      <c r="A51">
        <v>50</v>
      </c>
      <c r="B51" s="2">
        <v>43664</v>
      </c>
      <c r="C51" t="s">
        <v>128</v>
      </c>
      <c r="D51" t="s">
        <v>146</v>
      </c>
      <c r="E51">
        <v>6</v>
      </c>
      <c r="F51" t="str">
        <f>VLOOKUP($C51,VLOOKUP_spp!$A$2:$D$103,4,1)</f>
        <v>Wasp</v>
      </c>
      <c r="G51" t="str">
        <f>VLOOKUP($F51,VLOOKUP_spp!$A$2:$E$102,5,1)</f>
        <v>Hymenoptera</v>
      </c>
      <c r="H51" t="str">
        <f t="shared" si="0"/>
        <v>Jul</v>
      </c>
      <c r="I51">
        <v>1</v>
      </c>
    </row>
    <row r="52" spans="1:9" x14ac:dyDescent="0.35">
      <c r="A52">
        <v>51</v>
      </c>
      <c r="B52" s="2">
        <v>43664</v>
      </c>
      <c r="C52" t="s">
        <v>128</v>
      </c>
      <c r="D52" t="s">
        <v>149</v>
      </c>
      <c r="E52">
        <v>1</v>
      </c>
      <c r="F52" t="str">
        <f>VLOOKUP($C52,VLOOKUP_spp!$A$2:$D$103,4,1)</f>
        <v>Wasp</v>
      </c>
      <c r="G52" t="str">
        <f>VLOOKUP($F52,VLOOKUP_spp!$A$2:$E$102,5,1)</f>
        <v>Hymenoptera</v>
      </c>
      <c r="H52" t="str">
        <f t="shared" si="0"/>
        <v>Jul</v>
      </c>
      <c r="I52">
        <v>1</v>
      </c>
    </row>
    <row r="53" spans="1:9" x14ac:dyDescent="0.35">
      <c r="A53">
        <v>52</v>
      </c>
      <c r="B53" s="2">
        <v>43664</v>
      </c>
      <c r="C53" t="s">
        <v>128</v>
      </c>
      <c r="D53" t="s">
        <v>147</v>
      </c>
      <c r="E53">
        <v>4</v>
      </c>
      <c r="F53" t="str">
        <f>VLOOKUP($C53,VLOOKUP_spp!$A$2:$D$103,4,1)</f>
        <v>Wasp</v>
      </c>
      <c r="G53" t="str">
        <f>VLOOKUP($F53,VLOOKUP_spp!$A$2:$E$102,5,1)</f>
        <v>Hymenoptera</v>
      </c>
      <c r="H53" t="str">
        <f t="shared" si="0"/>
        <v>Jul</v>
      </c>
      <c r="I53">
        <v>1</v>
      </c>
    </row>
    <row r="54" spans="1:9" x14ac:dyDescent="0.35">
      <c r="A54">
        <v>53</v>
      </c>
      <c r="B54" s="2">
        <v>43665</v>
      </c>
      <c r="C54" t="s">
        <v>50</v>
      </c>
      <c r="D54" t="s">
        <v>147</v>
      </c>
      <c r="E54">
        <v>9</v>
      </c>
      <c r="F54" t="str">
        <f>VLOOKUP($C54,VLOOKUP_spp!$A$2:$D$103,4,1)</f>
        <v>Apis_mellifera</v>
      </c>
      <c r="G54" t="str">
        <f>VLOOKUP($F54,VLOOKUP_spp!$A$2:$E$102,5,1)</f>
        <v>Hymenoptera</v>
      </c>
      <c r="H54" t="str">
        <f t="shared" si="0"/>
        <v>Jul</v>
      </c>
      <c r="I54">
        <v>1</v>
      </c>
    </row>
    <row r="55" spans="1:9" x14ac:dyDescent="0.35">
      <c r="A55">
        <v>54</v>
      </c>
      <c r="B55" s="2">
        <v>43665</v>
      </c>
      <c r="C55" t="s">
        <v>83</v>
      </c>
      <c r="D55" t="s">
        <v>146</v>
      </c>
      <c r="E55">
        <v>1</v>
      </c>
      <c r="F55">
        <f>VLOOKUP($C55,VLOOKUP_spp!$A$2:$D$103,4,1)</f>
        <v>0</v>
      </c>
      <c r="G55" t="e">
        <f>VLOOKUP($F55,VLOOKUP_spp!$A$2:$E$102,5,1)</f>
        <v>#N/A</v>
      </c>
      <c r="H55" t="str">
        <f t="shared" si="0"/>
        <v>Jul</v>
      </c>
      <c r="I55">
        <v>1</v>
      </c>
    </row>
    <row r="56" spans="1:9" x14ac:dyDescent="0.35">
      <c r="A56">
        <v>55</v>
      </c>
      <c r="B56" s="2">
        <v>43665</v>
      </c>
      <c r="C56" t="s">
        <v>7</v>
      </c>
      <c r="D56" t="s">
        <v>146</v>
      </c>
      <c r="E56">
        <v>2</v>
      </c>
      <c r="F56" t="str">
        <f>VLOOKUP($C56,VLOOKUP_spp!$A$2:$D$103,4,1)</f>
        <v>Coleoptera</v>
      </c>
      <c r="G56" t="str">
        <f>VLOOKUP($F56,VLOOKUP_spp!$A$2:$E$102,5,1)</f>
        <v>Coleoptera</v>
      </c>
      <c r="H56" t="str">
        <f t="shared" si="0"/>
        <v>Jul</v>
      </c>
      <c r="I56">
        <v>1</v>
      </c>
    </row>
    <row r="57" spans="1:9" x14ac:dyDescent="0.35">
      <c r="A57">
        <v>56</v>
      </c>
      <c r="B57" s="2">
        <v>43665</v>
      </c>
      <c r="C57" t="s">
        <v>7</v>
      </c>
      <c r="D57" t="s">
        <v>147</v>
      </c>
      <c r="E57">
        <v>4</v>
      </c>
      <c r="F57" t="str">
        <f>VLOOKUP($C57,VLOOKUP_spp!$A$2:$D$103,4,1)</f>
        <v>Coleoptera</v>
      </c>
      <c r="G57" t="str">
        <f>VLOOKUP($F57,VLOOKUP_spp!$A$2:$E$102,5,1)</f>
        <v>Coleoptera</v>
      </c>
      <c r="H57" t="str">
        <f t="shared" si="0"/>
        <v>Jul</v>
      </c>
      <c r="I57">
        <v>1</v>
      </c>
    </row>
    <row r="58" spans="1:9" x14ac:dyDescent="0.35">
      <c r="A58">
        <v>57</v>
      </c>
      <c r="B58" s="2">
        <v>43665</v>
      </c>
      <c r="C58" t="s">
        <v>6</v>
      </c>
      <c r="D58" t="s">
        <v>148</v>
      </c>
      <c r="E58">
        <v>2</v>
      </c>
      <c r="F58" t="str">
        <f>VLOOKUP($C58,VLOOKUP_spp!$A$2:$D$103,4,1)</f>
        <v>Diptera</v>
      </c>
      <c r="G58" t="str">
        <f>VLOOKUP($F58,VLOOKUP_spp!$A$2:$E$102,5,1)</f>
        <v>Diptera</v>
      </c>
      <c r="H58" t="str">
        <f t="shared" si="0"/>
        <v>Jul</v>
      </c>
      <c r="I58">
        <v>1</v>
      </c>
    </row>
    <row r="59" spans="1:9" x14ac:dyDescent="0.35">
      <c r="A59">
        <v>58</v>
      </c>
      <c r="B59" s="2">
        <v>43665</v>
      </c>
      <c r="C59" t="s">
        <v>6</v>
      </c>
      <c r="D59" t="s">
        <v>146</v>
      </c>
      <c r="E59">
        <v>2</v>
      </c>
      <c r="F59" t="str">
        <f>VLOOKUP($C59,VLOOKUP_spp!$A$2:$D$103,4,1)</f>
        <v>Diptera</v>
      </c>
      <c r="G59" t="str">
        <f>VLOOKUP($F59,VLOOKUP_spp!$A$2:$E$102,5,1)</f>
        <v>Diptera</v>
      </c>
      <c r="H59" t="str">
        <f t="shared" si="0"/>
        <v>Jul</v>
      </c>
      <c r="I59">
        <v>1</v>
      </c>
    </row>
    <row r="60" spans="1:9" x14ac:dyDescent="0.35">
      <c r="A60">
        <v>59</v>
      </c>
      <c r="B60" s="2">
        <v>43665</v>
      </c>
      <c r="C60" t="s">
        <v>6</v>
      </c>
      <c r="D60" t="s">
        <v>147</v>
      </c>
      <c r="E60">
        <v>7</v>
      </c>
      <c r="F60" t="str">
        <f>VLOOKUP($C60,VLOOKUP_spp!$A$2:$D$103,4,1)</f>
        <v>Diptera</v>
      </c>
      <c r="G60" t="str">
        <f>VLOOKUP($F60,VLOOKUP_spp!$A$2:$E$102,5,1)</f>
        <v>Diptera</v>
      </c>
      <c r="H60" t="str">
        <f t="shared" si="0"/>
        <v>Jul</v>
      </c>
      <c r="I60">
        <v>1</v>
      </c>
    </row>
    <row r="61" spans="1:9" x14ac:dyDescent="0.35">
      <c r="A61">
        <v>60</v>
      </c>
      <c r="B61" s="2">
        <v>43665</v>
      </c>
      <c r="C61" t="s">
        <v>99</v>
      </c>
      <c r="D61" t="s">
        <v>146</v>
      </c>
      <c r="E61">
        <v>4</v>
      </c>
      <c r="F61" t="str">
        <f>VLOOKUP($C61,VLOOKUP_spp!$A$2:$D$103,4,1)</f>
        <v>Halictus_rubicundus</v>
      </c>
      <c r="G61" t="str">
        <f>VLOOKUP($F61,VLOOKUP_spp!$A$2:$E$102,5,1)</f>
        <v>Hymenoptera</v>
      </c>
      <c r="H61" t="str">
        <f t="shared" si="0"/>
        <v>Jul</v>
      </c>
      <c r="I61">
        <v>1</v>
      </c>
    </row>
    <row r="62" spans="1:9" x14ac:dyDescent="0.35">
      <c r="A62">
        <v>61</v>
      </c>
      <c r="B62" s="2">
        <v>43665</v>
      </c>
      <c r="C62" t="s">
        <v>101</v>
      </c>
      <c r="D62" t="s">
        <v>146</v>
      </c>
      <c r="E62">
        <v>3</v>
      </c>
      <c r="F62" t="str">
        <f>VLOOKUP($C62,VLOOKUP_spp!$A$2:$D$103,4,1)</f>
        <v>Halictus_tripartitus</v>
      </c>
      <c r="G62" t="str">
        <f>VLOOKUP($F62,VLOOKUP_spp!$A$2:$E$102,5,1)</f>
        <v>Hymenoptera</v>
      </c>
      <c r="H62" t="str">
        <f t="shared" si="0"/>
        <v>Jul</v>
      </c>
      <c r="I62">
        <v>1</v>
      </c>
    </row>
    <row r="63" spans="1:9" x14ac:dyDescent="0.35">
      <c r="A63">
        <v>62</v>
      </c>
      <c r="B63" s="2">
        <v>43665</v>
      </c>
      <c r="C63" t="s">
        <v>105</v>
      </c>
      <c r="D63" t="s">
        <v>147</v>
      </c>
      <c r="E63">
        <v>1</v>
      </c>
      <c r="F63" t="str">
        <f>VLOOKUP($C63,VLOOKUP_spp!$A$2:$D$103,4,1)</f>
        <v>Hylaeus_modestus</v>
      </c>
      <c r="G63" t="str">
        <f>VLOOKUP($F63,VLOOKUP_spp!$A$2:$E$102,5,1)</f>
        <v>Hymenoptera</v>
      </c>
      <c r="H63" t="str">
        <f t="shared" si="0"/>
        <v>Jul</v>
      </c>
      <c r="I63">
        <v>1</v>
      </c>
    </row>
    <row r="64" spans="1:9" x14ac:dyDescent="0.35">
      <c r="A64">
        <v>63</v>
      </c>
      <c r="B64" s="2">
        <v>43665</v>
      </c>
      <c r="C64" t="s">
        <v>8</v>
      </c>
      <c r="D64" t="s">
        <v>146</v>
      </c>
      <c r="E64">
        <v>1</v>
      </c>
      <c r="F64" t="str">
        <f>VLOOKUP($C64,VLOOKUP_spp!$A$2:$D$103,4,1)</f>
        <v>Lepidoptera</v>
      </c>
      <c r="G64" t="str">
        <f>VLOOKUP($F64,VLOOKUP_spp!$A$2:$E$102,5,1)</f>
        <v>Lepidoptera</v>
      </c>
      <c r="H64" t="str">
        <f t="shared" si="0"/>
        <v>Jul</v>
      </c>
      <c r="I64">
        <v>1</v>
      </c>
    </row>
    <row r="65" spans="1:9" x14ac:dyDescent="0.35">
      <c r="A65">
        <v>64</v>
      </c>
      <c r="B65" s="2">
        <v>43665</v>
      </c>
      <c r="C65" t="s">
        <v>8</v>
      </c>
      <c r="D65" t="s">
        <v>147</v>
      </c>
      <c r="E65">
        <v>2</v>
      </c>
      <c r="F65" t="str">
        <f>VLOOKUP($C65,VLOOKUP_spp!$A$2:$D$103,4,1)</f>
        <v>Lepidoptera</v>
      </c>
      <c r="G65" t="str">
        <f>VLOOKUP($F65,VLOOKUP_spp!$A$2:$E$102,5,1)</f>
        <v>Lepidoptera</v>
      </c>
      <c r="H65" t="str">
        <f t="shared" si="0"/>
        <v>Jul</v>
      </c>
      <c r="I65">
        <v>1</v>
      </c>
    </row>
    <row r="66" spans="1:9" x14ac:dyDescent="0.35">
      <c r="A66">
        <v>65</v>
      </c>
      <c r="B66" s="2">
        <v>43665</v>
      </c>
      <c r="C66" t="s">
        <v>111</v>
      </c>
      <c r="D66" t="s">
        <v>148</v>
      </c>
      <c r="E66">
        <v>1</v>
      </c>
      <c r="F66">
        <f>VLOOKUP($C66,VLOOKUP_spp!$A$2:$D$103,4,1)</f>
        <v>0</v>
      </c>
      <c r="G66" t="e">
        <f>VLOOKUP($F66,VLOOKUP_spp!$A$2:$E$102,5,1)</f>
        <v>#N/A</v>
      </c>
      <c r="H66" t="str">
        <f t="shared" si="0"/>
        <v>Jul</v>
      </c>
      <c r="I66">
        <v>1</v>
      </c>
    </row>
    <row r="67" spans="1:9" x14ac:dyDescent="0.35">
      <c r="A67">
        <v>66</v>
      </c>
      <c r="B67" s="2">
        <v>43665</v>
      </c>
      <c r="C67" t="s">
        <v>126</v>
      </c>
      <c r="D67" t="s">
        <v>148</v>
      </c>
      <c r="E67">
        <v>3</v>
      </c>
      <c r="F67" t="str">
        <f>VLOOKUP($C67,VLOOKUP_spp!$A$2:$D$103,4,1)</f>
        <v>Syrphidae</v>
      </c>
      <c r="G67" t="str">
        <f>VLOOKUP($F67,VLOOKUP_spp!$A$2:$E$102,5,1)</f>
        <v>Diptera</v>
      </c>
      <c r="H67" t="str">
        <f t="shared" ref="H67:H130" si="1">TEXT(B67, "mmm")</f>
        <v>Jul</v>
      </c>
      <c r="I67">
        <v>1</v>
      </c>
    </row>
    <row r="68" spans="1:9" x14ac:dyDescent="0.35">
      <c r="A68">
        <v>67</v>
      </c>
      <c r="B68" s="2">
        <v>43665</v>
      </c>
      <c r="C68" t="s">
        <v>126</v>
      </c>
      <c r="D68" t="s">
        <v>146</v>
      </c>
      <c r="E68">
        <v>8</v>
      </c>
      <c r="F68" t="str">
        <f>VLOOKUP($C68,VLOOKUP_spp!$A$2:$D$103,4,1)</f>
        <v>Syrphidae</v>
      </c>
      <c r="G68" t="str">
        <f>VLOOKUP($F68,VLOOKUP_spp!$A$2:$E$102,5,1)</f>
        <v>Diptera</v>
      </c>
      <c r="H68" t="str">
        <f t="shared" si="1"/>
        <v>Jul</v>
      </c>
      <c r="I68">
        <v>1</v>
      </c>
    </row>
    <row r="69" spans="1:9" x14ac:dyDescent="0.35">
      <c r="A69">
        <v>68</v>
      </c>
      <c r="B69" s="2">
        <v>43665</v>
      </c>
      <c r="C69" t="s">
        <v>126</v>
      </c>
      <c r="D69" t="s">
        <v>147</v>
      </c>
      <c r="E69">
        <v>2</v>
      </c>
      <c r="F69" t="str">
        <f>VLOOKUP($C69,VLOOKUP_spp!$A$2:$D$103,4,1)</f>
        <v>Syrphidae</v>
      </c>
      <c r="G69" t="str">
        <f>VLOOKUP($F69,VLOOKUP_spp!$A$2:$E$102,5,1)</f>
        <v>Diptera</v>
      </c>
      <c r="H69" t="str">
        <f t="shared" si="1"/>
        <v>Jul</v>
      </c>
      <c r="I69">
        <v>1</v>
      </c>
    </row>
    <row r="70" spans="1:9" x14ac:dyDescent="0.35">
      <c r="A70">
        <v>69</v>
      </c>
      <c r="B70" s="2">
        <v>43665</v>
      </c>
      <c r="C70" t="s">
        <v>127</v>
      </c>
      <c r="D70" t="s">
        <v>148</v>
      </c>
      <c r="E70">
        <v>1</v>
      </c>
      <c r="F70">
        <f>VLOOKUP($C70,VLOOKUP_spp!$A$2:$D$103,4,1)</f>
        <v>0</v>
      </c>
      <c r="G70" t="e">
        <f>VLOOKUP($F70,VLOOKUP_spp!$A$2:$E$102,5,1)</f>
        <v>#N/A</v>
      </c>
      <c r="H70" t="str">
        <f t="shared" si="1"/>
        <v>Jul</v>
      </c>
      <c r="I70">
        <v>1</v>
      </c>
    </row>
    <row r="71" spans="1:9" x14ac:dyDescent="0.35">
      <c r="A71">
        <v>70</v>
      </c>
      <c r="B71" s="2">
        <v>43665</v>
      </c>
      <c r="C71" t="s">
        <v>128</v>
      </c>
      <c r="D71" t="s">
        <v>148</v>
      </c>
      <c r="E71">
        <v>1</v>
      </c>
      <c r="F71" t="str">
        <f>VLOOKUP($C71,VLOOKUP_spp!$A$2:$D$103,4,1)</f>
        <v>Wasp</v>
      </c>
      <c r="G71" t="str">
        <f>VLOOKUP($F71,VLOOKUP_spp!$A$2:$E$102,5,1)</f>
        <v>Hymenoptera</v>
      </c>
      <c r="H71" t="str">
        <f t="shared" si="1"/>
        <v>Jul</v>
      </c>
      <c r="I71">
        <v>1</v>
      </c>
    </row>
    <row r="72" spans="1:9" x14ac:dyDescent="0.35">
      <c r="A72">
        <v>71</v>
      </c>
      <c r="B72" s="2">
        <v>43665</v>
      </c>
      <c r="C72" t="s">
        <v>128</v>
      </c>
      <c r="D72" t="s">
        <v>147</v>
      </c>
      <c r="E72">
        <v>5</v>
      </c>
      <c r="F72" t="str">
        <f>VLOOKUP($C72,VLOOKUP_spp!$A$2:$D$103,4,1)</f>
        <v>Wasp</v>
      </c>
      <c r="G72" t="str">
        <f>VLOOKUP($F72,VLOOKUP_spp!$A$2:$E$102,5,1)</f>
        <v>Hymenoptera</v>
      </c>
      <c r="H72" t="str">
        <f t="shared" si="1"/>
        <v>Jul</v>
      </c>
      <c r="I72">
        <v>1</v>
      </c>
    </row>
    <row r="73" spans="1:9" x14ac:dyDescent="0.35">
      <c r="A73">
        <v>72</v>
      </c>
      <c r="B73" s="2">
        <v>43668</v>
      </c>
      <c r="C73" t="s">
        <v>35</v>
      </c>
      <c r="D73" t="s">
        <v>149</v>
      </c>
      <c r="E73">
        <v>1</v>
      </c>
      <c r="F73" t="str">
        <f>VLOOKUP($C73,VLOOKUP_spp!$A$2:$D$103,4,1)</f>
        <v>Andrena_prunorum</v>
      </c>
      <c r="G73" t="str">
        <f>VLOOKUP($F73,VLOOKUP_spp!$A$2:$E$102,5,1)</f>
        <v>Hymenoptera</v>
      </c>
      <c r="H73" t="str">
        <f t="shared" si="1"/>
        <v>Jul</v>
      </c>
      <c r="I73">
        <v>1</v>
      </c>
    </row>
    <row r="74" spans="1:9" x14ac:dyDescent="0.35">
      <c r="A74">
        <v>73</v>
      </c>
      <c r="B74" s="2">
        <v>43668</v>
      </c>
      <c r="C74" t="s">
        <v>50</v>
      </c>
      <c r="D74" t="s">
        <v>146</v>
      </c>
      <c r="E74">
        <v>3</v>
      </c>
      <c r="F74" t="str">
        <f>VLOOKUP($C74,VLOOKUP_spp!$A$2:$D$103,4,1)</f>
        <v>Apis_mellifera</v>
      </c>
      <c r="G74" t="str">
        <f>VLOOKUP($F74,VLOOKUP_spp!$A$2:$E$102,5,1)</f>
        <v>Hymenoptera</v>
      </c>
      <c r="H74" t="str">
        <f t="shared" si="1"/>
        <v>Jul</v>
      </c>
      <c r="I74">
        <v>1</v>
      </c>
    </row>
    <row r="75" spans="1:9" x14ac:dyDescent="0.35">
      <c r="A75">
        <v>74</v>
      </c>
      <c r="B75" s="2">
        <v>43668</v>
      </c>
      <c r="C75" t="s">
        <v>50</v>
      </c>
      <c r="D75" t="s">
        <v>149</v>
      </c>
      <c r="E75">
        <v>6</v>
      </c>
      <c r="F75" t="str">
        <f>VLOOKUP($C75,VLOOKUP_spp!$A$2:$D$103,4,1)</f>
        <v>Apis_mellifera</v>
      </c>
      <c r="G75" t="str">
        <f>VLOOKUP($F75,VLOOKUP_spp!$A$2:$E$102,5,1)</f>
        <v>Hymenoptera</v>
      </c>
      <c r="H75" t="str">
        <f t="shared" si="1"/>
        <v>Jul</v>
      </c>
      <c r="I75">
        <v>1</v>
      </c>
    </row>
    <row r="76" spans="1:9" x14ac:dyDescent="0.35">
      <c r="A76">
        <v>75</v>
      </c>
      <c r="B76" s="2">
        <v>43668</v>
      </c>
      <c r="C76" t="s">
        <v>57</v>
      </c>
      <c r="D76" t="s">
        <v>146</v>
      </c>
      <c r="E76">
        <v>16</v>
      </c>
      <c r="F76" t="str">
        <f>VLOOKUP($C76,VLOOKUP_spp!$A$2:$D$103,4,1)</f>
        <v>Bombus_bimaculatus</v>
      </c>
      <c r="G76" t="str">
        <f>VLOOKUP($F76,VLOOKUP_spp!$A$2:$E$102,5,1)</f>
        <v>Hymenoptera</v>
      </c>
      <c r="H76" t="str">
        <f t="shared" si="1"/>
        <v>Jul</v>
      </c>
      <c r="I76">
        <v>1</v>
      </c>
    </row>
    <row r="77" spans="1:9" x14ac:dyDescent="0.35">
      <c r="A77">
        <v>76</v>
      </c>
      <c r="B77" s="2">
        <v>43668</v>
      </c>
      <c r="C77" t="s">
        <v>65</v>
      </c>
      <c r="D77" t="s">
        <v>146</v>
      </c>
      <c r="E77">
        <v>2</v>
      </c>
      <c r="F77" t="str">
        <f>VLOOKUP($C77,VLOOKUP_spp!$A$2:$D$103,4,1)</f>
        <v>Bombus_griseocollis</v>
      </c>
      <c r="G77" t="str">
        <f>VLOOKUP($F77,VLOOKUP_spp!$A$2:$E$102,5,1)</f>
        <v>Hymenoptera</v>
      </c>
      <c r="H77" t="str">
        <f t="shared" si="1"/>
        <v>Jul</v>
      </c>
      <c r="I77">
        <v>1</v>
      </c>
    </row>
    <row r="78" spans="1:9" x14ac:dyDescent="0.35">
      <c r="A78">
        <v>77</v>
      </c>
      <c r="B78" s="2">
        <v>43668</v>
      </c>
      <c r="C78" t="s">
        <v>7</v>
      </c>
      <c r="D78" t="s">
        <v>148</v>
      </c>
      <c r="E78">
        <v>1</v>
      </c>
      <c r="F78" t="str">
        <f>VLOOKUP($C78,VLOOKUP_spp!$A$2:$D$103,4,1)</f>
        <v>Coleoptera</v>
      </c>
      <c r="G78" t="str">
        <f>VLOOKUP($F78,VLOOKUP_spp!$A$2:$E$102,5,1)</f>
        <v>Coleoptera</v>
      </c>
      <c r="H78" t="str">
        <f t="shared" si="1"/>
        <v>Jul</v>
      </c>
      <c r="I78">
        <v>1</v>
      </c>
    </row>
    <row r="79" spans="1:9" x14ac:dyDescent="0.35">
      <c r="A79">
        <v>78</v>
      </c>
      <c r="B79" s="2">
        <v>43668</v>
      </c>
      <c r="C79" t="s">
        <v>7</v>
      </c>
      <c r="D79" t="s">
        <v>147</v>
      </c>
      <c r="E79">
        <v>6</v>
      </c>
      <c r="F79" t="str">
        <f>VLOOKUP($C79,VLOOKUP_spp!$A$2:$D$103,4,1)</f>
        <v>Coleoptera</v>
      </c>
      <c r="G79" t="str">
        <f>VLOOKUP($F79,VLOOKUP_spp!$A$2:$E$102,5,1)</f>
        <v>Coleoptera</v>
      </c>
      <c r="H79" t="str">
        <f t="shared" si="1"/>
        <v>Jul</v>
      </c>
      <c r="I79">
        <v>1</v>
      </c>
    </row>
    <row r="80" spans="1:9" x14ac:dyDescent="0.35">
      <c r="A80">
        <v>79</v>
      </c>
      <c r="B80" s="2">
        <v>43668</v>
      </c>
      <c r="C80" t="s">
        <v>90</v>
      </c>
      <c r="D80" t="s">
        <v>147</v>
      </c>
      <c r="E80">
        <v>3</v>
      </c>
      <c r="F80">
        <f>VLOOKUP($C80,VLOOKUP_spp!$A$2:$D$103,4,1)</f>
        <v>0</v>
      </c>
      <c r="G80" t="e">
        <f>VLOOKUP($F80,VLOOKUP_spp!$A$2:$E$102,5,1)</f>
        <v>#N/A</v>
      </c>
      <c r="H80" t="str">
        <f t="shared" si="1"/>
        <v>Jul</v>
      </c>
      <c r="I80">
        <v>1</v>
      </c>
    </row>
    <row r="81" spans="1:9" x14ac:dyDescent="0.35">
      <c r="A81">
        <v>80</v>
      </c>
      <c r="B81" s="2">
        <v>43668</v>
      </c>
      <c r="C81" t="s">
        <v>6</v>
      </c>
      <c r="D81" t="s">
        <v>148</v>
      </c>
      <c r="E81">
        <v>3</v>
      </c>
      <c r="F81" t="str">
        <f>VLOOKUP($C81,VLOOKUP_spp!$A$2:$D$103,4,1)</f>
        <v>Diptera</v>
      </c>
      <c r="G81" t="str">
        <f>VLOOKUP($F81,VLOOKUP_spp!$A$2:$E$102,5,1)</f>
        <v>Diptera</v>
      </c>
      <c r="H81" t="str">
        <f t="shared" si="1"/>
        <v>Jul</v>
      </c>
      <c r="I81">
        <v>1</v>
      </c>
    </row>
    <row r="82" spans="1:9" x14ac:dyDescent="0.35">
      <c r="A82">
        <v>81</v>
      </c>
      <c r="B82" s="2">
        <v>43668</v>
      </c>
      <c r="C82" t="s">
        <v>6</v>
      </c>
      <c r="D82" t="s">
        <v>146</v>
      </c>
      <c r="E82">
        <v>6</v>
      </c>
      <c r="F82" t="str">
        <f>VLOOKUP($C82,VLOOKUP_spp!$A$2:$D$103,4,1)</f>
        <v>Diptera</v>
      </c>
      <c r="G82" t="str">
        <f>VLOOKUP($F82,VLOOKUP_spp!$A$2:$E$102,5,1)</f>
        <v>Diptera</v>
      </c>
      <c r="H82" t="str">
        <f t="shared" si="1"/>
        <v>Jul</v>
      </c>
      <c r="I82">
        <v>1</v>
      </c>
    </row>
    <row r="83" spans="1:9" x14ac:dyDescent="0.35">
      <c r="A83">
        <v>82</v>
      </c>
      <c r="B83" s="2">
        <v>43668</v>
      </c>
      <c r="C83" t="s">
        <v>6</v>
      </c>
      <c r="D83" t="s">
        <v>149</v>
      </c>
      <c r="E83">
        <v>4</v>
      </c>
      <c r="F83" t="str">
        <f>VLOOKUP($C83,VLOOKUP_spp!$A$2:$D$103,4,1)</f>
        <v>Diptera</v>
      </c>
      <c r="G83" t="str">
        <f>VLOOKUP($F83,VLOOKUP_spp!$A$2:$E$102,5,1)</f>
        <v>Diptera</v>
      </c>
      <c r="H83" t="str">
        <f t="shared" si="1"/>
        <v>Jul</v>
      </c>
      <c r="I83">
        <v>1</v>
      </c>
    </row>
    <row r="84" spans="1:9" x14ac:dyDescent="0.35">
      <c r="A84">
        <v>83</v>
      </c>
      <c r="B84" s="2">
        <v>43668</v>
      </c>
      <c r="C84" t="s">
        <v>6</v>
      </c>
      <c r="D84" t="s">
        <v>150</v>
      </c>
      <c r="E84">
        <v>1</v>
      </c>
      <c r="F84" t="str">
        <f>VLOOKUP($C84,VLOOKUP_spp!$A$2:$D$103,4,1)</f>
        <v>Diptera</v>
      </c>
      <c r="G84" t="str">
        <f>VLOOKUP($F84,VLOOKUP_spp!$A$2:$E$102,5,1)</f>
        <v>Diptera</v>
      </c>
      <c r="H84" t="str">
        <f t="shared" si="1"/>
        <v>Jul</v>
      </c>
      <c r="I84">
        <v>1</v>
      </c>
    </row>
    <row r="85" spans="1:9" x14ac:dyDescent="0.35">
      <c r="A85">
        <v>84</v>
      </c>
      <c r="B85" s="2">
        <v>43668</v>
      </c>
      <c r="C85" t="s">
        <v>6</v>
      </c>
      <c r="D85" t="s">
        <v>147</v>
      </c>
      <c r="E85">
        <v>1</v>
      </c>
      <c r="F85" t="str">
        <f>VLOOKUP($C85,VLOOKUP_spp!$A$2:$D$103,4,1)</f>
        <v>Diptera</v>
      </c>
      <c r="G85" t="str">
        <f>VLOOKUP($F85,VLOOKUP_spp!$A$2:$E$102,5,1)</f>
        <v>Diptera</v>
      </c>
      <c r="H85" t="str">
        <f t="shared" si="1"/>
        <v>Jul</v>
      </c>
      <c r="I85">
        <v>1</v>
      </c>
    </row>
    <row r="86" spans="1:9" x14ac:dyDescent="0.35">
      <c r="A86">
        <v>85</v>
      </c>
      <c r="B86" s="2">
        <v>43668</v>
      </c>
      <c r="C86" t="s">
        <v>99</v>
      </c>
      <c r="D86" t="s">
        <v>146</v>
      </c>
      <c r="E86">
        <v>1</v>
      </c>
      <c r="F86" t="str">
        <f>VLOOKUP($C86,VLOOKUP_spp!$A$2:$D$103,4,1)</f>
        <v>Halictus_rubicundus</v>
      </c>
      <c r="G86" t="str">
        <f>VLOOKUP($F86,VLOOKUP_spp!$A$2:$E$102,5,1)</f>
        <v>Hymenoptera</v>
      </c>
      <c r="H86" t="str">
        <f t="shared" si="1"/>
        <v>Jul</v>
      </c>
      <c r="I86">
        <v>1</v>
      </c>
    </row>
    <row r="87" spans="1:9" x14ac:dyDescent="0.35">
      <c r="A87">
        <v>86</v>
      </c>
      <c r="B87" s="2">
        <v>43668</v>
      </c>
      <c r="C87" t="s">
        <v>101</v>
      </c>
      <c r="D87" t="s">
        <v>150</v>
      </c>
      <c r="E87">
        <v>1</v>
      </c>
      <c r="F87" t="str">
        <f>VLOOKUP($C87,VLOOKUP_spp!$A$2:$D$103,4,1)</f>
        <v>Halictus_tripartitus</v>
      </c>
      <c r="G87" t="str">
        <f>VLOOKUP($F87,VLOOKUP_spp!$A$2:$E$102,5,1)</f>
        <v>Hymenoptera</v>
      </c>
      <c r="H87" t="str">
        <f t="shared" si="1"/>
        <v>Jul</v>
      </c>
      <c r="I87">
        <v>1</v>
      </c>
    </row>
    <row r="88" spans="1:9" x14ac:dyDescent="0.35">
      <c r="A88">
        <v>87</v>
      </c>
      <c r="B88" s="2">
        <v>43668</v>
      </c>
      <c r="C88" t="s">
        <v>106</v>
      </c>
      <c r="D88" t="s">
        <v>148</v>
      </c>
      <c r="E88">
        <v>2</v>
      </c>
      <c r="F88" t="str">
        <f>VLOOKUP($C88,VLOOKUP_spp!$A$2:$D$103,4,1)</f>
        <v>Lasioglossum</v>
      </c>
      <c r="G88" t="str">
        <f>VLOOKUP($F88,VLOOKUP_spp!$A$2:$E$102,5,1)</f>
        <v>Hymenoptera</v>
      </c>
      <c r="H88" t="str">
        <f t="shared" si="1"/>
        <v>Jul</v>
      </c>
      <c r="I88">
        <v>1</v>
      </c>
    </row>
    <row r="89" spans="1:9" x14ac:dyDescent="0.35">
      <c r="A89">
        <v>88</v>
      </c>
      <c r="B89" s="2">
        <v>43668</v>
      </c>
      <c r="C89" t="s">
        <v>106</v>
      </c>
      <c r="D89" t="s">
        <v>147</v>
      </c>
      <c r="E89">
        <v>1</v>
      </c>
      <c r="F89" t="str">
        <f>VLOOKUP($C89,VLOOKUP_spp!$A$2:$D$103,4,1)</f>
        <v>Lasioglossum</v>
      </c>
      <c r="G89" t="str">
        <f>VLOOKUP($F89,VLOOKUP_spp!$A$2:$E$102,5,1)</f>
        <v>Hymenoptera</v>
      </c>
      <c r="H89" t="str">
        <f t="shared" si="1"/>
        <v>Jul</v>
      </c>
      <c r="I89">
        <v>1</v>
      </c>
    </row>
    <row r="90" spans="1:9" x14ac:dyDescent="0.35">
      <c r="A90">
        <v>89</v>
      </c>
      <c r="B90" s="2">
        <v>43668</v>
      </c>
      <c r="C90" t="s">
        <v>8</v>
      </c>
      <c r="D90" t="s">
        <v>146</v>
      </c>
      <c r="E90">
        <v>2</v>
      </c>
      <c r="F90" t="str">
        <f>VLOOKUP($C90,VLOOKUP_spp!$A$2:$D$103,4,1)</f>
        <v>Lepidoptera</v>
      </c>
      <c r="G90" t="str">
        <f>VLOOKUP($F90,VLOOKUP_spp!$A$2:$E$102,5,1)</f>
        <v>Lepidoptera</v>
      </c>
      <c r="H90" t="str">
        <f t="shared" si="1"/>
        <v>Jul</v>
      </c>
      <c r="I90">
        <v>1</v>
      </c>
    </row>
    <row r="91" spans="1:9" x14ac:dyDescent="0.35">
      <c r="A91">
        <v>90</v>
      </c>
      <c r="B91" s="2">
        <v>43668</v>
      </c>
      <c r="C91" t="s">
        <v>126</v>
      </c>
      <c r="D91" t="s">
        <v>146</v>
      </c>
      <c r="E91">
        <v>3</v>
      </c>
      <c r="F91" t="str">
        <f>VLOOKUP($C91,VLOOKUP_spp!$A$2:$D$103,4,1)</f>
        <v>Syrphidae</v>
      </c>
      <c r="G91" t="str">
        <f>VLOOKUP($F91,VLOOKUP_spp!$A$2:$E$102,5,1)</f>
        <v>Diptera</v>
      </c>
      <c r="H91" t="str">
        <f t="shared" si="1"/>
        <v>Jul</v>
      </c>
      <c r="I91">
        <v>1</v>
      </c>
    </row>
    <row r="92" spans="1:9" x14ac:dyDescent="0.35">
      <c r="A92">
        <v>91</v>
      </c>
      <c r="B92" s="2">
        <v>43668</v>
      </c>
      <c r="C92" t="s">
        <v>126</v>
      </c>
      <c r="D92" t="s">
        <v>149</v>
      </c>
      <c r="E92">
        <v>1</v>
      </c>
      <c r="F92" t="str">
        <f>VLOOKUP($C92,VLOOKUP_spp!$A$2:$D$103,4,1)</f>
        <v>Syrphidae</v>
      </c>
      <c r="G92" t="str">
        <f>VLOOKUP($F92,VLOOKUP_spp!$A$2:$E$102,5,1)</f>
        <v>Diptera</v>
      </c>
      <c r="H92" t="str">
        <f t="shared" si="1"/>
        <v>Jul</v>
      </c>
      <c r="I92">
        <v>1</v>
      </c>
    </row>
    <row r="93" spans="1:9" x14ac:dyDescent="0.35">
      <c r="A93">
        <v>92</v>
      </c>
      <c r="B93" s="2">
        <v>43668</v>
      </c>
      <c r="C93" t="s">
        <v>128</v>
      </c>
      <c r="D93" t="s">
        <v>146</v>
      </c>
      <c r="E93">
        <v>17</v>
      </c>
      <c r="F93" t="str">
        <f>VLOOKUP($C93,VLOOKUP_spp!$A$2:$D$103,4,1)</f>
        <v>Wasp</v>
      </c>
      <c r="G93" t="str">
        <f>VLOOKUP($F93,VLOOKUP_spp!$A$2:$E$102,5,1)</f>
        <v>Hymenoptera</v>
      </c>
      <c r="H93" t="str">
        <f t="shared" si="1"/>
        <v>Jul</v>
      </c>
      <c r="I93">
        <v>1</v>
      </c>
    </row>
    <row r="94" spans="1:9" x14ac:dyDescent="0.35">
      <c r="A94">
        <v>93</v>
      </c>
      <c r="B94" s="2">
        <v>43668</v>
      </c>
      <c r="C94" t="s">
        <v>128</v>
      </c>
      <c r="D94" t="s">
        <v>149</v>
      </c>
      <c r="E94">
        <v>1</v>
      </c>
      <c r="F94" t="str">
        <f>VLOOKUP($C94,VLOOKUP_spp!$A$2:$D$103,4,1)</f>
        <v>Wasp</v>
      </c>
      <c r="G94" t="str">
        <f>VLOOKUP($F94,VLOOKUP_spp!$A$2:$E$102,5,1)</f>
        <v>Hymenoptera</v>
      </c>
      <c r="H94" t="str">
        <f t="shared" si="1"/>
        <v>Jul</v>
      </c>
      <c r="I94">
        <v>1</v>
      </c>
    </row>
    <row r="95" spans="1:9" x14ac:dyDescent="0.35">
      <c r="A95">
        <v>94</v>
      </c>
      <c r="B95" s="2">
        <v>43668</v>
      </c>
      <c r="C95" t="s">
        <v>128</v>
      </c>
      <c r="D95" t="s">
        <v>150</v>
      </c>
      <c r="E95">
        <v>1</v>
      </c>
      <c r="F95" t="str">
        <f>VLOOKUP($C95,VLOOKUP_spp!$A$2:$D$103,4,1)</f>
        <v>Wasp</v>
      </c>
      <c r="G95" t="str">
        <f>VLOOKUP($F95,VLOOKUP_spp!$A$2:$E$102,5,1)</f>
        <v>Hymenoptera</v>
      </c>
      <c r="H95" t="str">
        <f t="shared" si="1"/>
        <v>Jul</v>
      </c>
      <c r="I95">
        <v>1</v>
      </c>
    </row>
    <row r="96" spans="1:9" x14ac:dyDescent="0.35">
      <c r="A96">
        <v>95</v>
      </c>
      <c r="B96" s="2">
        <v>43668</v>
      </c>
      <c r="C96" t="s">
        <v>128</v>
      </c>
      <c r="D96" t="s">
        <v>147</v>
      </c>
      <c r="E96">
        <v>14</v>
      </c>
      <c r="F96" t="str">
        <f>VLOOKUP($C96,VLOOKUP_spp!$A$2:$D$103,4,1)</f>
        <v>Wasp</v>
      </c>
      <c r="G96" t="str">
        <f>VLOOKUP($F96,VLOOKUP_spp!$A$2:$E$102,5,1)</f>
        <v>Hymenoptera</v>
      </c>
      <c r="H96" t="str">
        <f t="shared" si="1"/>
        <v>Jul</v>
      </c>
      <c r="I96">
        <v>1</v>
      </c>
    </row>
    <row r="97" spans="1:9" x14ac:dyDescent="0.35">
      <c r="A97">
        <v>96</v>
      </c>
      <c r="B97" s="2">
        <v>43670</v>
      </c>
      <c r="C97" t="s">
        <v>6</v>
      </c>
      <c r="D97" t="s">
        <v>146</v>
      </c>
      <c r="E97">
        <v>1</v>
      </c>
      <c r="F97" t="str">
        <f>VLOOKUP($C97,VLOOKUP_spp!$A$2:$D$103,4,1)</f>
        <v>Diptera</v>
      </c>
      <c r="G97" t="str">
        <f>VLOOKUP($F97,VLOOKUP_spp!$A$2:$E$102,5,1)</f>
        <v>Diptera</v>
      </c>
      <c r="H97" t="str">
        <f t="shared" si="1"/>
        <v>Jul</v>
      </c>
      <c r="I97">
        <v>1</v>
      </c>
    </row>
    <row r="98" spans="1:9" x14ac:dyDescent="0.35">
      <c r="A98">
        <v>97</v>
      </c>
      <c r="B98" s="2">
        <v>43670</v>
      </c>
      <c r="C98" t="s">
        <v>6</v>
      </c>
      <c r="D98" t="s">
        <v>147</v>
      </c>
      <c r="E98">
        <v>4</v>
      </c>
      <c r="F98" t="str">
        <f>VLOOKUP($C98,VLOOKUP_spp!$A$2:$D$103,4,1)</f>
        <v>Diptera</v>
      </c>
      <c r="G98" t="str">
        <f>VLOOKUP($F98,VLOOKUP_spp!$A$2:$E$102,5,1)</f>
        <v>Diptera</v>
      </c>
      <c r="H98" t="str">
        <f t="shared" si="1"/>
        <v>Jul</v>
      </c>
      <c r="I98">
        <v>1</v>
      </c>
    </row>
    <row r="99" spans="1:9" x14ac:dyDescent="0.35">
      <c r="A99">
        <v>98</v>
      </c>
      <c r="B99" s="2">
        <v>43670</v>
      </c>
      <c r="C99" t="s">
        <v>126</v>
      </c>
      <c r="D99" t="s">
        <v>146</v>
      </c>
      <c r="E99">
        <v>5</v>
      </c>
      <c r="F99" t="str">
        <f>VLOOKUP($C99,VLOOKUP_spp!$A$2:$D$103,4,1)</f>
        <v>Syrphidae</v>
      </c>
      <c r="G99" t="str">
        <f>VLOOKUP($F99,VLOOKUP_spp!$A$2:$E$102,5,1)</f>
        <v>Diptera</v>
      </c>
      <c r="H99" t="str">
        <f t="shared" si="1"/>
        <v>Jul</v>
      </c>
      <c r="I99">
        <v>1</v>
      </c>
    </row>
    <row r="100" spans="1:9" x14ac:dyDescent="0.35">
      <c r="A100">
        <v>99</v>
      </c>
      <c r="B100" s="2">
        <v>43670</v>
      </c>
      <c r="C100" t="s">
        <v>128</v>
      </c>
      <c r="D100" t="s">
        <v>149</v>
      </c>
      <c r="E100">
        <v>5</v>
      </c>
      <c r="F100" t="str">
        <f>VLOOKUP($C100,VLOOKUP_spp!$A$2:$D$103,4,1)</f>
        <v>Wasp</v>
      </c>
      <c r="G100" t="str">
        <f>VLOOKUP($F100,VLOOKUP_spp!$A$2:$E$102,5,1)</f>
        <v>Hymenoptera</v>
      </c>
      <c r="H100" t="str">
        <f t="shared" si="1"/>
        <v>Jul</v>
      </c>
      <c r="I100">
        <v>1</v>
      </c>
    </row>
    <row r="101" spans="1:9" x14ac:dyDescent="0.35">
      <c r="A101">
        <v>100</v>
      </c>
      <c r="B101" s="2">
        <v>43672</v>
      </c>
      <c r="C101" t="s">
        <v>50</v>
      </c>
      <c r="D101" t="s">
        <v>146</v>
      </c>
      <c r="E101">
        <v>4</v>
      </c>
      <c r="F101" t="str">
        <f>VLOOKUP($C101,VLOOKUP_spp!$A$2:$D$103,4,1)</f>
        <v>Apis_mellifera</v>
      </c>
      <c r="G101" t="str">
        <f>VLOOKUP($F101,VLOOKUP_spp!$A$2:$E$102,5,1)</f>
        <v>Hymenoptera</v>
      </c>
      <c r="H101" t="str">
        <f t="shared" si="1"/>
        <v>Jul</v>
      </c>
      <c r="I101">
        <v>1</v>
      </c>
    </row>
    <row r="102" spans="1:9" x14ac:dyDescent="0.35">
      <c r="A102">
        <v>101</v>
      </c>
      <c r="B102" s="2">
        <v>43672</v>
      </c>
      <c r="C102" t="s">
        <v>50</v>
      </c>
      <c r="D102" t="s">
        <v>149</v>
      </c>
      <c r="E102">
        <v>2</v>
      </c>
      <c r="F102" t="str">
        <f>VLOOKUP($C102,VLOOKUP_spp!$A$2:$D$103,4,1)</f>
        <v>Apis_mellifera</v>
      </c>
      <c r="G102" t="str">
        <f>VLOOKUP($F102,VLOOKUP_spp!$A$2:$E$102,5,1)</f>
        <v>Hymenoptera</v>
      </c>
      <c r="H102" t="str">
        <f t="shared" si="1"/>
        <v>Jul</v>
      </c>
      <c r="I102">
        <v>1</v>
      </c>
    </row>
    <row r="103" spans="1:9" x14ac:dyDescent="0.35">
      <c r="A103">
        <v>102</v>
      </c>
      <c r="B103" s="2">
        <v>43672</v>
      </c>
      <c r="C103" t="s">
        <v>50</v>
      </c>
      <c r="D103" t="s">
        <v>147</v>
      </c>
      <c r="E103">
        <v>23</v>
      </c>
      <c r="F103" t="str">
        <f>VLOOKUP($C103,VLOOKUP_spp!$A$2:$D$103,4,1)</f>
        <v>Apis_mellifera</v>
      </c>
      <c r="G103" t="str">
        <f>VLOOKUP($F103,VLOOKUP_spp!$A$2:$E$102,5,1)</f>
        <v>Hymenoptera</v>
      </c>
      <c r="H103" t="str">
        <f t="shared" si="1"/>
        <v>Jul</v>
      </c>
      <c r="I103">
        <v>1</v>
      </c>
    </row>
    <row r="104" spans="1:9" x14ac:dyDescent="0.35">
      <c r="A104">
        <v>103</v>
      </c>
      <c r="B104" s="2">
        <v>43672</v>
      </c>
      <c r="C104" t="s">
        <v>7</v>
      </c>
      <c r="D104" t="s">
        <v>149</v>
      </c>
      <c r="E104">
        <v>1</v>
      </c>
      <c r="F104" t="str">
        <f>VLOOKUP($C104,VLOOKUP_spp!$A$2:$D$103,4,1)</f>
        <v>Coleoptera</v>
      </c>
      <c r="G104" t="str">
        <f>VLOOKUP($F104,VLOOKUP_spp!$A$2:$E$102,5,1)</f>
        <v>Coleoptera</v>
      </c>
      <c r="H104" t="str">
        <f t="shared" si="1"/>
        <v>Jul</v>
      </c>
      <c r="I104">
        <v>1</v>
      </c>
    </row>
    <row r="105" spans="1:9" x14ac:dyDescent="0.35">
      <c r="A105">
        <v>104</v>
      </c>
      <c r="B105" s="2">
        <v>43672</v>
      </c>
      <c r="C105" t="s">
        <v>7</v>
      </c>
      <c r="D105" t="s">
        <v>147</v>
      </c>
      <c r="E105">
        <v>1</v>
      </c>
      <c r="F105" t="str">
        <f>VLOOKUP($C105,VLOOKUP_spp!$A$2:$D$103,4,1)</f>
        <v>Coleoptera</v>
      </c>
      <c r="G105" t="str">
        <f>VLOOKUP($F105,VLOOKUP_spp!$A$2:$E$102,5,1)</f>
        <v>Coleoptera</v>
      </c>
      <c r="H105" t="str">
        <f t="shared" si="1"/>
        <v>Jul</v>
      </c>
      <c r="I105">
        <v>1</v>
      </c>
    </row>
    <row r="106" spans="1:9" x14ac:dyDescent="0.35">
      <c r="A106">
        <v>105</v>
      </c>
      <c r="B106" s="2">
        <v>43672</v>
      </c>
      <c r="C106" t="s">
        <v>6</v>
      </c>
      <c r="D106" t="s">
        <v>147</v>
      </c>
      <c r="E106">
        <v>1</v>
      </c>
      <c r="F106" t="str">
        <f>VLOOKUP($C106,VLOOKUP_spp!$A$2:$D$103,4,1)</f>
        <v>Diptera</v>
      </c>
      <c r="G106" t="str">
        <f>VLOOKUP($F106,VLOOKUP_spp!$A$2:$E$102,5,1)</f>
        <v>Diptera</v>
      </c>
      <c r="H106" t="str">
        <f t="shared" si="1"/>
        <v>Jul</v>
      </c>
      <c r="I106">
        <v>1</v>
      </c>
    </row>
    <row r="107" spans="1:9" x14ac:dyDescent="0.35">
      <c r="A107">
        <v>106</v>
      </c>
      <c r="B107" s="2">
        <v>43672</v>
      </c>
      <c r="C107" t="s">
        <v>99</v>
      </c>
      <c r="D107" t="s">
        <v>146</v>
      </c>
      <c r="E107">
        <v>1</v>
      </c>
      <c r="F107" t="str">
        <f>VLOOKUP($C107,VLOOKUP_spp!$A$2:$D$103,4,1)</f>
        <v>Halictus_rubicundus</v>
      </c>
      <c r="G107" t="str">
        <f>VLOOKUP($F107,VLOOKUP_spp!$A$2:$E$102,5,1)</f>
        <v>Hymenoptera</v>
      </c>
      <c r="H107" t="str">
        <f t="shared" si="1"/>
        <v>Jul</v>
      </c>
      <c r="I107">
        <v>1</v>
      </c>
    </row>
    <row r="108" spans="1:9" x14ac:dyDescent="0.35">
      <c r="A108">
        <v>107</v>
      </c>
      <c r="B108" s="2">
        <v>43672</v>
      </c>
      <c r="C108" t="s">
        <v>8</v>
      </c>
      <c r="D108" t="s">
        <v>146</v>
      </c>
      <c r="E108">
        <v>3</v>
      </c>
      <c r="F108" t="str">
        <f>VLOOKUP($C108,VLOOKUP_spp!$A$2:$D$103,4,1)</f>
        <v>Lepidoptera</v>
      </c>
      <c r="G108" t="str">
        <f>VLOOKUP($F108,VLOOKUP_spp!$A$2:$E$102,5,1)</f>
        <v>Lepidoptera</v>
      </c>
      <c r="H108" t="str">
        <f t="shared" si="1"/>
        <v>Jul</v>
      </c>
      <c r="I108">
        <v>1</v>
      </c>
    </row>
    <row r="109" spans="1:9" x14ac:dyDescent="0.35">
      <c r="A109">
        <v>108</v>
      </c>
      <c r="B109" s="2">
        <v>43672</v>
      </c>
      <c r="C109" t="s">
        <v>126</v>
      </c>
      <c r="D109" t="s">
        <v>151</v>
      </c>
      <c r="E109">
        <v>1</v>
      </c>
      <c r="F109" t="str">
        <f>VLOOKUP($C109,VLOOKUP_spp!$A$2:$D$103,4,1)</f>
        <v>Syrphidae</v>
      </c>
      <c r="G109" t="str">
        <f>VLOOKUP($F109,VLOOKUP_spp!$A$2:$E$102,5,1)</f>
        <v>Diptera</v>
      </c>
      <c r="H109" t="str">
        <f t="shared" si="1"/>
        <v>Jul</v>
      </c>
      <c r="I109">
        <v>1</v>
      </c>
    </row>
    <row r="110" spans="1:9" x14ac:dyDescent="0.35">
      <c r="A110">
        <v>109</v>
      </c>
      <c r="B110" s="2">
        <v>43672</v>
      </c>
      <c r="C110" t="s">
        <v>128</v>
      </c>
      <c r="D110" t="s">
        <v>147</v>
      </c>
      <c r="E110">
        <v>2</v>
      </c>
      <c r="F110" t="str">
        <f>VLOOKUP($C110,VLOOKUP_spp!$A$2:$D$103,4,1)</f>
        <v>Wasp</v>
      </c>
      <c r="G110" t="str">
        <f>VLOOKUP($F110,VLOOKUP_spp!$A$2:$E$102,5,1)</f>
        <v>Hymenoptera</v>
      </c>
      <c r="H110" t="str">
        <f t="shared" si="1"/>
        <v>Jul</v>
      </c>
      <c r="I110">
        <v>1</v>
      </c>
    </row>
    <row r="111" spans="1:9" x14ac:dyDescent="0.35">
      <c r="A111">
        <v>110</v>
      </c>
      <c r="B111" s="2">
        <v>43677</v>
      </c>
      <c r="C111" t="s">
        <v>48</v>
      </c>
      <c r="D111" t="s">
        <v>147</v>
      </c>
      <c r="E111">
        <v>1</v>
      </c>
      <c r="F111" t="str">
        <f>VLOOKUP($C111,VLOOKUP_spp!$A$2:$D$103,4,1)</f>
        <v>Apis_mellifera</v>
      </c>
      <c r="G111" t="str">
        <f>VLOOKUP($F111,VLOOKUP_spp!$A$2:$E$102,5,1)</f>
        <v>Hymenoptera</v>
      </c>
      <c r="H111" t="str">
        <f t="shared" si="1"/>
        <v>Jul</v>
      </c>
      <c r="I111">
        <v>1</v>
      </c>
    </row>
    <row r="112" spans="1:9" x14ac:dyDescent="0.35">
      <c r="A112">
        <v>111</v>
      </c>
      <c r="B112" s="2">
        <v>43677</v>
      </c>
      <c r="C112" t="s">
        <v>50</v>
      </c>
      <c r="D112" t="s">
        <v>146</v>
      </c>
      <c r="E112">
        <v>5</v>
      </c>
      <c r="F112" t="str">
        <f>VLOOKUP($C112,VLOOKUP_spp!$A$2:$D$103,4,1)</f>
        <v>Apis_mellifera</v>
      </c>
      <c r="G112" t="str">
        <f>VLOOKUP($F112,VLOOKUP_spp!$A$2:$E$102,5,1)</f>
        <v>Hymenoptera</v>
      </c>
      <c r="H112" t="str">
        <f t="shared" si="1"/>
        <v>Jul</v>
      </c>
      <c r="I112">
        <v>1</v>
      </c>
    </row>
    <row r="113" spans="1:9" x14ac:dyDescent="0.35">
      <c r="A113">
        <v>112</v>
      </c>
      <c r="B113" s="2">
        <v>43677</v>
      </c>
      <c r="C113" t="s">
        <v>50</v>
      </c>
      <c r="D113" t="s">
        <v>149</v>
      </c>
      <c r="E113">
        <v>9</v>
      </c>
      <c r="F113" t="str">
        <f>VLOOKUP($C113,VLOOKUP_spp!$A$2:$D$103,4,1)</f>
        <v>Apis_mellifera</v>
      </c>
      <c r="G113" t="str">
        <f>VLOOKUP($F113,VLOOKUP_spp!$A$2:$E$102,5,1)</f>
        <v>Hymenoptera</v>
      </c>
      <c r="H113" t="str">
        <f t="shared" si="1"/>
        <v>Jul</v>
      </c>
      <c r="I113">
        <v>1</v>
      </c>
    </row>
    <row r="114" spans="1:9" x14ac:dyDescent="0.35">
      <c r="A114">
        <v>113</v>
      </c>
      <c r="B114" s="2">
        <v>43677</v>
      </c>
      <c r="C114" t="s">
        <v>50</v>
      </c>
      <c r="D114" t="s">
        <v>147</v>
      </c>
      <c r="E114">
        <v>51</v>
      </c>
      <c r="F114" t="str">
        <f>VLOOKUP($C114,VLOOKUP_spp!$A$2:$D$103,4,1)</f>
        <v>Apis_mellifera</v>
      </c>
      <c r="G114" t="str">
        <f>VLOOKUP($F114,VLOOKUP_spp!$A$2:$E$102,5,1)</f>
        <v>Hymenoptera</v>
      </c>
      <c r="H114" t="str">
        <f t="shared" si="1"/>
        <v>Jul</v>
      </c>
      <c r="I114">
        <v>1</v>
      </c>
    </row>
    <row r="115" spans="1:9" x14ac:dyDescent="0.35">
      <c r="A115">
        <v>114</v>
      </c>
      <c r="B115" s="2">
        <v>43677</v>
      </c>
      <c r="C115" t="s">
        <v>50</v>
      </c>
      <c r="D115" t="s">
        <v>151</v>
      </c>
      <c r="E115">
        <v>15</v>
      </c>
      <c r="F115" t="str">
        <f>VLOOKUP($C115,VLOOKUP_spp!$A$2:$D$103,4,1)</f>
        <v>Apis_mellifera</v>
      </c>
      <c r="G115" t="str">
        <f>VLOOKUP($F115,VLOOKUP_spp!$A$2:$E$102,5,1)</f>
        <v>Hymenoptera</v>
      </c>
      <c r="H115" t="str">
        <f t="shared" si="1"/>
        <v>Jul</v>
      </c>
      <c r="I115">
        <v>1</v>
      </c>
    </row>
    <row r="116" spans="1:9" x14ac:dyDescent="0.35">
      <c r="A116">
        <v>115</v>
      </c>
      <c r="B116" s="2">
        <v>43677</v>
      </c>
      <c r="C116" t="s">
        <v>57</v>
      </c>
      <c r="D116" t="s">
        <v>146</v>
      </c>
      <c r="E116">
        <v>3</v>
      </c>
      <c r="F116" t="str">
        <f>VLOOKUP($C116,VLOOKUP_spp!$A$2:$D$103,4,1)</f>
        <v>Bombus_bimaculatus</v>
      </c>
      <c r="G116" t="str">
        <f>VLOOKUP($F116,VLOOKUP_spp!$A$2:$E$102,5,1)</f>
        <v>Hymenoptera</v>
      </c>
      <c r="H116" t="str">
        <f t="shared" si="1"/>
        <v>Jul</v>
      </c>
      <c r="I116">
        <v>1</v>
      </c>
    </row>
    <row r="117" spans="1:9" x14ac:dyDescent="0.35">
      <c r="A117">
        <v>116</v>
      </c>
      <c r="B117" s="2">
        <v>43677</v>
      </c>
      <c r="C117" t="s">
        <v>7</v>
      </c>
      <c r="D117" t="s">
        <v>147</v>
      </c>
      <c r="E117">
        <v>1</v>
      </c>
      <c r="F117" t="str">
        <f>VLOOKUP($C117,VLOOKUP_spp!$A$2:$D$103,4,1)</f>
        <v>Coleoptera</v>
      </c>
      <c r="G117" t="str">
        <f>VLOOKUP($F117,VLOOKUP_spp!$A$2:$E$102,5,1)</f>
        <v>Coleoptera</v>
      </c>
      <c r="H117" t="str">
        <f t="shared" si="1"/>
        <v>Jul</v>
      </c>
      <c r="I117">
        <v>1</v>
      </c>
    </row>
    <row r="118" spans="1:9" x14ac:dyDescent="0.35">
      <c r="A118">
        <v>117</v>
      </c>
      <c r="B118" s="2">
        <v>43677</v>
      </c>
      <c r="C118" t="s">
        <v>6</v>
      </c>
      <c r="D118" t="s">
        <v>147</v>
      </c>
      <c r="E118">
        <v>1</v>
      </c>
      <c r="F118" t="str">
        <f>VLOOKUP($C118,VLOOKUP_spp!$A$2:$D$103,4,1)</f>
        <v>Diptera</v>
      </c>
      <c r="G118" t="str">
        <f>VLOOKUP($F118,VLOOKUP_spp!$A$2:$E$102,5,1)</f>
        <v>Diptera</v>
      </c>
      <c r="H118" t="str">
        <f t="shared" si="1"/>
        <v>Jul</v>
      </c>
      <c r="I118">
        <v>1</v>
      </c>
    </row>
    <row r="119" spans="1:9" x14ac:dyDescent="0.35">
      <c r="A119">
        <v>118</v>
      </c>
      <c r="B119" s="2">
        <v>43677</v>
      </c>
      <c r="C119" t="s">
        <v>101</v>
      </c>
      <c r="D119" t="s">
        <v>146</v>
      </c>
      <c r="E119">
        <v>1</v>
      </c>
      <c r="F119" t="str">
        <f>VLOOKUP($C119,VLOOKUP_spp!$A$2:$D$103,4,1)</f>
        <v>Halictus_tripartitus</v>
      </c>
      <c r="G119" t="str">
        <f>VLOOKUP($F119,VLOOKUP_spp!$A$2:$E$102,5,1)</f>
        <v>Hymenoptera</v>
      </c>
      <c r="H119" t="str">
        <f t="shared" si="1"/>
        <v>Jul</v>
      </c>
      <c r="I119">
        <v>1</v>
      </c>
    </row>
    <row r="120" spans="1:9" x14ac:dyDescent="0.35">
      <c r="A120">
        <v>119</v>
      </c>
      <c r="B120" s="2">
        <v>43677</v>
      </c>
      <c r="C120" t="s">
        <v>8</v>
      </c>
      <c r="D120" t="s">
        <v>149</v>
      </c>
      <c r="E120">
        <v>5</v>
      </c>
      <c r="F120" t="str">
        <f>VLOOKUP($C120,VLOOKUP_spp!$A$2:$D$103,4,1)</f>
        <v>Lepidoptera</v>
      </c>
      <c r="G120" t="str">
        <f>VLOOKUP($F120,VLOOKUP_spp!$A$2:$E$102,5,1)</f>
        <v>Lepidoptera</v>
      </c>
      <c r="H120" t="str">
        <f t="shared" si="1"/>
        <v>Jul</v>
      </c>
      <c r="I120">
        <v>1</v>
      </c>
    </row>
    <row r="121" spans="1:9" x14ac:dyDescent="0.35">
      <c r="A121">
        <v>120</v>
      </c>
      <c r="B121" s="2">
        <v>43677</v>
      </c>
      <c r="C121" t="s">
        <v>111</v>
      </c>
      <c r="D121" t="s">
        <v>147</v>
      </c>
      <c r="E121">
        <v>1</v>
      </c>
      <c r="F121">
        <f>VLOOKUP($C121,VLOOKUP_spp!$A$2:$D$103,4,1)</f>
        <v>0</v>
      </c>
      <c r="G121" t="e">
        <f>VLOOKUP($F121,VLOOKUP_spp!$A$2:$E$102,5,1)</f>
        <v>#N/A</v>
      </c>
      <c r="H121" t="str">
        <f t="shared" si="1"/>
        <v>Jul</v>
      </c>
      <c r="I121">
        <v>1</v>
      </c>
    </row>
    <row r="122" spans="1:9" x14ac:dyDescent="0.35">
      <c r="A122">
        <v>121</v>
      </c>
      <c r="B122" s="2">
        <v>43677</v>
      </c>
      <c r="C122" t="s">
        <v>114</v>
      </c>
      <c r="D122" t="s">
        <v>147</v>
      </c>
      <c r="E122">
        <v>1</v>
      </c>
      <c r="F122">
        <f>VLOOKUP($C122,VLOOKUP_spp!$A$2:$D$103,4,1)</f>
        <v>0</v>
      </c>
      <c r="G122" t="e">
        <f>VLOOKUP($F122,VLOOKUP_spp!$A$2:$E$102,5,1)</f>
        <v>#N/A</v>
      </c>
      <c r="H122" t="str">
        <f t="shared" si="1"/>
        <v>Jul</v>
      </c>
      <c r="I122">
        <v>1</v>
      </c>
    </row>
    <row r="123" spans="1:9" x14ac:dyDescent="0.35">
      <c r="A123">
        <v>122</v>
      </c>
      <c r="B123" s="2">
        <v>43677</v>
      </c>
      <c r="C123" t="s">
        <v>116</v>
      </c>
      <c r="D123" t="s">
        <v>147</v>
      </c>
      <c r="E123">
        <v>1</v>
      </c>
      <c r="F123" t="str">
        <f>VLOOKUP($C123,VLOOKUP_spp!$A$2:$D$103,4,1)</f>
        <v>Osmia</v>
      </c>
      <c r="G123" t="str">
        <f>VLOOKUP($F123,VLOOKUP_spp!$A$2:$E$102,5,1)</f>
        <v>Hymenoptera</v>
      </c>
      <c r="H123" t="str">
        <f t="shared" si="1"/>
        <v>Jul</v>
      </c>
      <c r="I123">
        <v>1</v>
      </c>
    </row>
    <row r="124" spans="1:9" x14ac:dyDescent="0.35">
      <c r="A124">
        <v>123</v>
      </c>
      <c r="B124" s="2">
        <v>43677</v>
      </c>
      <c r="C124" t="s">
        <v>122</v>
      </c>
      <c r="D124" t="s">
        <v>149</v>
      </c>
      <c r="E124">
        <v>1</v>
      </c>
      <c r="F124" t="str">
        <f>VLOOKUP($C124,VLOOKUP_spp!$A$2:$D$103,4,1)</f>
        <v>Ptilothrix</v>
      </c>
      <c r="G124" t="str">
        <f>VLOOKUP($F124,VLOOKUP_spp!$A$2:$E$102,5,1)</f>
        <v>Hymenoptera</v>
      </c>
      <c r="H124" t="str">
        <f t="shared" si="1"/>
        <v>Jul</v>
      </c>
      <c r="I124">
        <v>1</v>
      </c>
    </row>
    <row r="125" spans="1:9" x14ac:dyDescent="0.35">
      <c r="A125">
        <v>124</v>
      </c>
      <c r="B125" s="2">
        <v>43677</v>
      </c>
      <c r="C125" t="s">
        <v>128</v>
      </c>
      <c r="D125" t="s">
        <v>148</v>
      </c>
      <c r="E125">
        <v>1</v>
      </c>
      <c r="F125" t="str">
        <f>VLOOKUP($C125,VLOOKUP_spp!$A$2:$D$103,4,1)</f>
        <v>Wasp</v>
      </c>
      <c r="G125" t="str">
        <f>VLOOKUP($F125,VLOOKUP_spp!$A$2:$E$102,5,1)</f>
        <v>Hymenoptera</v>
      </c>
      <c r="H125" t="str">
        <f t="shared" si="1"/>
        <v>Jul</v>
      </c>
      <c r="I125">
        <v>1</v>
      </c>
    </row>
    <row r="126" spans="1:9" x14ac:dyDescent="0.35">
      <c r="A126">
        <v>125</v>
      </c>
      <c r="B126" s="2">
        <v>43677</v>
      </c>
      <c r="C126" t="s">
        <v>128</v>
      </c>
      <c r="D126" t="s">
        <v>149</v>
      </c>
      <c r="E126">
        <v>12</v>
      </c>
      <c r="F126" t="str">
        <f>VLOOKUP($C126,VLOOKUP_spp!$A$2:$D$103,4,1)</f>
        <v>Wasp</v>
      </c>
      <c r="G126" t="str">
        <f>VLOOKUP($F126,VLOOKUP_spp!$A$2:$E$102,5,1)</f>
        <v>Hymenoptera</v>
      </c>
      <c r="H126" t="str">
        <f t="shared" si="1"/>
        <v>Jul</v>
      </c>
      <c r="I126">
        <v>1</v>
      </c>
    </row>
    <row r="127" spans="1:9" x14ac:dyDescent="0.35">
      <c r="A127">
        <v>126</v>
      </c>
      <c r="B127" s="2">
        <v>43677</v>
      </c>
      <c r="C127" t="s">
        <v>128</v>
      </c>
      <c r="D127" t="s">
        <v>147</v>
      </c>
      <c r="E127">
        <v>18</v>
      </c>
      <c r="F127" t="str">
        <f>VLOOKUP($C127,VLOOKUP_spp!$A$2:$D$103,4,1)</f>
        <v>Wasp</v>
      </c>
      <c r="G127" t="str">
        <f>VLOOKUP($F127,VLOOKUP_spp!$A$2:$E$102,5,1)</f>
        <v>Hymenoptera</v>
      </c>
      <c r="H127" t="str">
        <f t="shared" si="1"/>
        <v>Jul</v>
      </c>
      <c r="I127">
        <v>1</v>
      </c>
    </row>
    <row r="128" spans="1:9" x14ac:dyDescent="0.35">
      <c r="A128">
        <v>127</v>
      </c>
      <c r="B128" s="2">
        <v>43677</v>
      </c>
      <c r="C128" t="s">
        <v>128</v>
      </c>
      <c r="D128" t="s">
        <v>152</v>
      </c>
      <c r="E128">
        <v>1</v>
      </c>
      <c r="F128" t="str">
        <f>VLOOKUP($C128,VLOOKUP_spp!$A$2:$D$103,4,1)</f>
        <v>Wasp</v>
      </c>
      <c r="G128" t="str">
        <f>VLOOKUP($F128,VLOOKUP_spp!$A$2:$E$102,5,1)</f>
        <v>Hymenoptera</v>
      </c>
      <c r="H128" t="str">
        <f t="shared" si="1"/>
        <v>Jul</v>
      </c>
      <c r="I128">
        <v>1</v>
      </c>
    </row>
    <row r="129" spans="1:9" x14ac:dyDescent="0.35">
      <c r="A129">
        <v>128</v>
      </c>
      <c r="B129" s="2">
        <v>43677</v>
      </c>
      <c r="C129" t="s">
        <v>128</v>
      </c>
      <c r="D129" t="s">
        <v>151</v>
      </c>
      <c r="E129">
        <v>1</v>
      </c>
      <c r="F129" t="str">
        <f>VLOOKUP($C129,VLOOKUP_spp!$A$2:$D$103,4,1)</f>
        <v>Wasp</v>
      </c>
      <c r="G129" t="str">
        <f>VLOOKUP($F129,VLOOKUP_spp!$A$2:$E$102,5,1)</f>
        <v>Hymenoptera</v>
      </c>
      <c r="H129" t="str">
        <f t="shared" si="1"/>
        <v>Jul</v>
      </c>
      <c r="I129">
        <v>1</v>
      </c>
    </row>
    <row r="130" spans="1:9" x14ac:dyDescent="0.35">
      <c r="A130">
        <v>129</v>
      </c>
      <c r="B130" s="2">
        <v>43679</v>
      </c>
      <c r="C130" t="s">
        <v>50</v>
      </c>
      <c r="D130" t="s">
        <v>146</v>
      </c>
      <c r="E130">
        <v>8</v>
      </c>
      <c r="F130" t="str">
        <f>VLOOKUP($C130,VLOOKUP_spp!$A$2:$D$103,4,1)</f>
        <v>Apis_mellifera</v>
      </c>
      <c r="G130" t="str">
        <f>VLOOKUP($F130,VLOOKUP_spp!$A$2:$E$102,5,1)</f>
        <v>Hymenoptera</v>
      </c>
      <c r="H130" t="str">
        <f t="shared" si="1"/>
        <v>Aug</v>
      </c>
      <c r="I130">
        <v>1</v>
      </c>
    </row>
    <row r="131" spans="1:9" x14ac:dyDescent="0.35">
      <c r="A131">
        <v>130</v>
      </c>
      <c r="B131" s="2">
        <v>43679</v>
      </c>
      <c r="C131" t="s">
        <v>50</v>
      </c>
      <c r="D131" t="s">
        <v>153</v>
      </c>
      <c r="E131">
        <v>9</v>
      </c>
      <c r="F131" t="str">
        <f>VLOOKUP($C131,VLOOKUP_spp!$A$2:$D$103,4,1)</f>
        <v>Apis_mellifera</v>
      </c>
      <c r="G131" t="str">
        <f>VLOOKUP($F131,VLOOKUP_spp!$A$2:$E$102,5,1)</f>
        <v>Hymenoptera</v>
      </c>
      <c r="H131" t="str">
        <f t="shared" ref="H131:H194" si="2">TEXT(B131, "mmm")</f>
        <v>Aug</v>
      </c>
      <c r="I131">
        <v>1</v>
      </c>
    </row>
    <row r="132" spans="1:9" x14ac:dyDescent="0.35">
      <c r="A132">
        <v>131</v>
      </c>
      <c r="B132" s="2">
        <v>43679</v>
      </c>
      <c r="C132" t="s">
        <v>50</v>
      </c>
      <c r="D132" t="s">
        <v>149</v>
      </c>
      <c r="E132">
        <v>32</v>
      </c>
      <c r="F132" t="str">
        <f>VLOOKUP($C132,VLOOKUP_spp!$A$2:$D$103,4,1)</f>
        <v>Apis_mellifera</v>
      </c>
      <c r="G132" t="str">
        <f>VLOOKUP($F132,VLOOKUP_spp!$A$2:$E$102,5,1)</f>
        <v>Hymenoptera</v>
      </c>
      <c r="H132" t="str">
        <f t="shared" si="2"/>
        <v>Aug</v>
      </c>
      <c r="I132">
        <v>1</v>
      </c>
    </row>
    <row r="133" spans="1:9" x14ac:dyDescent="0.35">
      <c r="A133">
        <v>132</v>
      </c>
      <c r="B133" s="2">
        <v>43679</v>
      </c>
      <c r="C133" t="s">
        <v>50</v>
      </c>
      <c r="D133" t="s">
        <v>147</v>
      </c>
      <c r="E133">
        <v>46</v>
      </c>
      <c r="F133" t="str">
        <f>VLOOKUP($C133,VLOOKUP_spp!$A$2:$D$103,4,1)</f>
        <v>Apis_mellifera</v>
      </c>
      <c r="G133" t="str">
        <f>VLOOKUP($F133,VLOOKUP_spp!$A$2:$E$102,5,1)</f>
        <v>Hymenoptera</v>
      </c>
      <c r="H133" t="str">
        <f t="shared" si="2"/>
        <v>Aug</v>
      </c>
      <c r="I133">
        <v>1</v>
      </c>
    </row>
    <row r="134" spans="1:9" x14ac:dyDescent="0.35">
      <c r="A134">
        <v>133</v>
      </c>
      <c r="B134" s="2">
        <v>43679</v>
      </c>
      <c r="C134" t="s">
        <v>50</v>
      </c>
      <c r="D134" t="s">
        <v>151</v>
      </c>
      <c r="E134">
        <v>8</v>
      </c>
      <c r="F134" t="str">
        <f>VLOOKUP($C134,VLOOKUP_spp!$A$2:$D$103,4,1)</f>
        <v>Apis_mellifera</v>
      </c>
      <c r="G134" t="str">
        <f>VLOOKUP($F134,VLOOKUP_spp!$A$2:$E$102,5,1)</f>
        <v>Hymenoptera</v>
      </c>
      <c r="H134" t="str">
        <f t="shared" si="2"/>
        <v>Aug</v>
      </c>
      <c r="I134">
        <v>1</v>
      </c>
    </row>
    <row r="135" spans="1:9" x14ac:dyDescent="0.35">
      <c r="A135">
        <v>134</v>
      </c>
      <c r="B135" s="2">
        <v>43679</v>
      </c>
      <c r="C135" t="s">
        <v>6</v>
      </c>
      <c r="D135" t="s">
        <v>153</v>
      </c>
      <c r="E135">
        <v>2</v>
      </c>
      <c r="F135" t="str">
        <f>VLOOKUP($C135,VLOOKUP_spp!$A$2:$D$103,4,1)</f>
        <v>Diptera</v>
      </c>
      <c r="G135" t="str">
        <f>VLOOKUP($F135,VLOOKUP_spp!$A$2:$E$102,5,1)</f>
        <v>Diptera</v>
      </c>
      <c r="H135" t="str">
        <f t="shared" si="2"/>
        <v>Aug</v>
      </c>
      <c r="I135">
        <v>1</v>
      </c>
    </row>
    <row r="136" spans="1:9" x14ac:dyDescent="0.35">
      <c r="A136">
        <v>135</v>
      </c>
      <c r="B136" s="2">
        <v>43679</v>
      </c>
      <c r="C136" t="s">
        <v>8</v>
      </c>
      <c r="D136" t="s">
        <v>149</v>
      </c>
      <c r="E136">
        <v>1</v>
      </c>
      <c r="F136" t="str">
        <f>VLOOKUP($C136,VLOOKUP_spp!$A$2:$D$103,4,1)</f>
        <v>Lepidoptera</v>
      </c>
      <c r="G136" t="str">
        <f>VLOOKUP($F136,VLOOKUP_spp!$A$2:$E$102,5,1)</f>
        <v>Lepidoptera</v>
      </c>
      <c r="H136" t="str">
        <f t="shared" si="2"/>
        <v>Aug</v>
      </c>
      <c r="I136">
        <v>1</v>
      </c>
    </row>
    <row r="137" spans="1:9" x14ac:dyDescent="0.35">
      <c r="A137">
        <v>136</v>
      </c>
      <c r="B137" s="2">
        <v>43679</v>
      </c>
      <c r="C137" t="s">
        <v>128</v>
      </c>
      <c r="D137" t="s">
        <v>148</v>
      </c>
      <c r="E137">
        <v>7</v>
      </c>
      <c r="F137" t="str">
        <f>VLOOKUP($C137,VLOOKUP_spp!$A$2:$D$103,4,1)</f>
        <v>Wasp</v>
      </c>
      <c r="G137" t="str">
        <f>VLOOKUP($F137,VLOOKUP_spp!$A$2:$E$102,5,1)</f>
        <v>Hymenoptera</v>
      </c>
      <c r="H137" t="str">
        <f t="shared" si="2"/>
        <v>Aug</v>
      </c>
      <c r="I137">
        <v>1</v>
      </c>
    </row>
    <row r="138" spans="1:9" x14ac:dyDescent="0.35">
      <c r="A138">
        <v>137</v>
      </c>
      <c r="B138" s="2">
        <v>43679</v>
      </c>
      <c r="C138" t="s">
        <v>128</v>
      </c>
      <c r="D138" t="s">
        <v>147</v>
      </c>
      <c r="E138">
        <v>5</v>
      </c>
      <c r="F138" t="str">
        <f>VLOOKUP($C138,VLOOKUP_spp!$A$2:$D$103,4,1)</f>
        <v>Wasp</v>
      </c>
      <c r="G138" t="str">
        <f>VLOOKUP($F138,VLOOKUP_spp!$A$2:$E$102,5,1)</f>
        <v>Hymenoptera</v>
      </c>
      <c r="H138" t="str">
        <f t="shared" si="2"/>
        <v>Aug</v>
      </c>
      <c r="I138">
        <v>1</v>
      </c>
    </row>
    <row r="139" spans="1:9" x14ac:dyDescent="0.35">
      <c r="A139">
        <v>138</v>
      </c>
      <c r="B139" s="2">
        <v>43684</v>
      </c>
      <c r="C139" t="s">
        <v>50</v>
      </c>
      <c r="D139" t="s">
        <v>148</v>
      </c>
      <c r="E139">
        <v>5</v>
      </c>
      <c r="F139" t="str">
        <f>VLOOKUP($C139,VLOOKUP_spp!$A$2:$D$103,4,1)</f>
        <v>Apis_mellifera</v>
      </c>
      <c r="G139" t="str">
        <f>VLOOKUP($F139,VLOOKUP_spp!$A$2:$E$102,5,1)</f>
        <v>Hymenoptera</v>
      </c>
      <c r="H139" t="str">
        <f t="shared" si="2"/>
        <v>Aug</v>
      </c>
      <c r="I139">
        <v>1</v>
      </c>
    </row>
    <row r="140" spans="1:9" x14ac:dyDescent="0.35">
      <c r="A140">
        <v>139</v>
      </c>
      <c r="B140" s="2">
        <v>43684</v>
      </c>
      <c r="C140" t="s">
        <v>50</v>
      </c>
      <c r="D140" t="s">
        <v>149</v>
      </c>
      <c r="E140">
        <v>11</v>
      </c>
      <c r="F140" t="str">
        <f>VLOOKUP($C140,VLOOKUP_spp!$A$2:$D$103,4,1)</f>
        <v>Apis_mellifera</v>
      </c>
      <c r="G140" t="str">
        <f>VLOOKUP($F140,VLOOKUP_spp!$A$2:$E$102,5,1)</f>
        <v>Hymenoptera</v>
      </c>
      <c r="H140" t="str">
        <f t="shared" si="2"/>
        <v>Aug</v>
      </c>
      <c r="I140">
        <v>1</v>
      </c>
    </row>
    <row r="141" spans="1:9" x14ac:dyDescent="0.35">
      <c r="A141">
        <v>140</v>
      </c>
      <c r="B141" s="2">
        <v>43684</v>
      </c>
      <c r="C141" t="s">
        <v>50</v>
      </c>
      <c r="D141" t="s">
        <v>147</v>
      </c>
      <c r="E141">
        <v>38</v>
      </c>
      <c r="F141" t="str">
        <f>VLOOKUP($C141,VLOOKUP_spp!$A$2:$D$103,4,1)</f>
        <v>Apis_mellifera</v>
      </c>
      <c r="G141" t="str">
        <f>VLOOKUP($F141,VLOOKUP_spp!$A$2:$E$102,5,1)</f>
        <v>Hymenoptera</v>
      </c>
      <c r="H141" t="str">
        <f t="shared" si="2"/>
        <v>Aug</v>
      </c>
      <c r="I141">
        <v>1</v>
      </c>
    </row>
    <row r="142" spans="1:9" x14ac:dyDescent="0.35">
      <c r="A142">
        <v>141</v>
      </c>
      <c r="B142" s="2">
        <v>43684</v>
      </c>
      <c r="C142" t="s">
        <v>54</v>
      </c>
      <c r="D142" t="s">
        <v>151</v>
      </c>
      <c r="E142">
        <v>5</v>
      </c>
      <c r="F142" t="str">
        <f>VLOOKUP($C142,VLOOKUP_spp!$A$2:$D$103,4,1)</f>
        <v>Bombus_affinis</v>
      </c>
      <c r="G142" t="str">
        <f>VLOOKUP($F142,VLOOKUP_spp!$A$2:$E$102,5,1)</f>
        <v>Hymenoptera</v>
      </c>
      <c r="H142" t="str">
        <f t="shared" si="2"/>
        <v>Aug</v>
      </c>
      <c r="I142">
        <v>1</v>
      </c>
    </row>
    <row r="143" spans="1:9" x14ac:dyDescent="0.35">
      <c r="A143">
        <v>142</v>
      </c>
      <c r="B143" s="2">
        <v>43684</v>
      </c>
      <c r="C143" t="s">
        <v>57</v>
      </c>
      <c r="D143" t="s">
        <v>147</v>
      </c>
      <c r="E143">
        <v>1</v>
      </c>
      <c r="F143" t="str">
        <f>VLOOKUP($C143,VLOOKUP_spp!$A$2:$D$103,4,1)</f>
        <v>Bombus_bimaculatus</v>
      </c>
      <c r="G143" t="str">
        <f>VLOOKUP($F143,VLOOKUP_spp!$A$2:$E$102,5,1)</f>
        <v>Hymenoptera</v>
      </c>
      <c r="H143" t="str">
        <f t="shared" si="2"/>
        <v>Aug</v>
      </c>
      <c r="I143">
        <v>1</v>
      </c>
    </row>
    <row r="144" spans="1:9" x14ac:dyDescent="0.35">
      <c r="A144">
        <v>143</v>
      </c>
      <c r="B144" s="2">
        <v>43684</v>
      </c>
      <c r="C144" t="s">
        <v>67</v>
      </c>
      <c r="D144" t="s">
        <v>147</v>
      </c>
      <c r="E144">
        <v>8</v>
      </c>
      <c r="F144" t="str">
        <f>VLOOKUP($C144,VLOOKUP_spp!$A$2:$D$103,4,1)</f>
        <v>Bombus_impatiens</v>
      </c>
      <c r="G144" t="str">
        <f>VLOOKUP($F144,VLOOKUP_spp!$A$2:$E$102,5,1)</f>
        <v>Hymenoptera</v>
      </c>
      <c r="H144" t="str">
        <f t="shared" si="2"/>
        <v>Aug</v>
      </c>
      <c r="I144">
        <v>1</v>
      </c>
    </row>
    <row r="145" spans="1:9" x14ac:dyDescent="0.35">
      <c r="A145">
        <v>144</v>
      </c>
      <c r="B145" s="2">
        <v>43684</v>
      </c>
      <c r="C145" t="s">
        <v>7</v>
      </c>
      <c r="D145" t="s">
        <v>147</v>
      </c>
      <c r="E145">
        <v>2</v>
      </c>
      <c r="F145" t="str">
        <f>VLOOKUP($C145,VLOOKUP_spp!$A$2:$D$103,4,1)</f>
        <v>Coleoptera</v>
      </c>
      <c r="G145" t="str">
        <f>VLOOKUP($F145,VLOOKUP_spp!$A$2:$E$102,5,1)</f>
        <v>Coleoptera</v>
      </c>
      <c r="H145" t="str">
        <f t="shared" si="2"/>
        <v>Aug</v>
      </c>
      <c r="I145">
        <v>1</v>
      </c>
    </row>
    <row r="146" spans="1:9" x14ac:dyDescent="0.35">
      <c r="A146">
        <v>145</v>
      </c>
      <c r="B146" s="2">
        <v>43684</v>
      </c>
      <c r="C146" t="s">
        <v>95</v>
      </c>
      <c r="D146" t="s">
        <v>147</v>
      </c>
      <c r="E146">
        <v>1</v>
      </c>
      <c r="F146" t="str">
        <f>VLOOKUP($C146,VLOOKUP_spp!$A$2:$D$103,4,1)</f>
        <v>Florilegus</v>
      </c>
      <c r="G146" t="str">
        <f>VLOOKUP($F146,VLOOKUP_spp!$A$2:$E$102,5,1)</f>
        <v>Hymenoptera</v>
      </c>
      <c r="H146" t="str">
        <f t="shared" si="2"/>
        <v>Aug</v>
      </c>
      <c r="I146">
        <v>1</v>
      </c>
    </row>
    <row r="147" spans="1:9" x14ac:dyDescent="0.35">
      <c r="A147">
        <v>146</v>
      </c>
      <c r="B147" s="2">
        <v>43684</v>
      </c>
      <c r="C147" t="s">
        <v>106</v>
      </c>
      <c r="D147" t="s">
        <v>147</v>
      </c>
      <c r="E147">
        <v>1</v>
      </c>
      <c r="F147" t="str">
        <f>VLOOKUP($C147,VLOOKUP_spp!$A$2:$D$103,4,1)</f>
        <v>Lasioglossum</v>
      </c>
      <c r="G147" t="str">
        <f>VLOOKUP($F147,VLOOKUP_spp!$A$2:$E$102,5,1)</f>
        <v>Hymenoptera</v>
      </c>
      <c r="H147" t="str">
        <f t="shared" si="2"/>
        <v>Aug</v>
      </c>
      <c r="I147">
        <v>1</v>
      </c>
    </row>
    <row r="148" spans="1:9" x14ac:dyDescent="0.35">
      <c r="A148">
        <v>147</v>
      </c>
      <c r="B148" s="2">
        <v>43684</v>
      </c>
      <c r="C148" t="s">
        <v>8</v>
      </c>
      <c r="D148" t="s">
        <v>149</v>
      </c>
      <c r="E148">
        <v>5</v>
      </c>
      <c r="F148" t="str">
        <f>VLOOKUP($C148,VLOOKUP_spp!$A$2:$D$103,4,1)</f>
        <v>Lepidoptera</v>
      </c>
      <c r="G148" t="str">
        <f>VLOOKUP($F148,VLOOKUP_spp!$A$2:$E$102,5,1)</f>
        <v>Lepidoptera</v>
      </c>
      <c r="H148" t="str">
        <f t="shared" si="2"/>
        <v>Aug</v>
      </c>
      <c r="I148">
        <v>1</v>
      </c>
    </row>
    <row r="149" spans="1:9" x14ac:dyDescent="0.35">
      <c r="A149">
        <v>148</v>
      </c>
      <c r="B149" s="2">
        <v>43684</v>
      </c>
      <c r="C149" t="s">
        <v>8</v>
      </c>
      <c r="D149" t="s">
        <v>152</v>
      </c>
      <c r="E149">
        <v>13</v>
      </c>
      <c r="F149" t="str">
        <f>VLOOKUP($C149,VLOOKUP_spp!$A$2:$D$103,4,1)</f>
        <v>Lepidoptera</v>
      </c>
      <c r="G149" t="str">
        <f>VLOOKUP($F149,VLOOKUP_spp!$A$2:$E$102,5,1)</f>
        <v>Lepidoptera</v>
      </c>
      <c r="H149" t="str">
        <f t="shared" si="2"/>
        <v>Aug</v>
      </c>
      <c r="I149">
        <v>1</v>
      </c>
    </row>
    <row r="150" spans="1:9" x14ac:dyDescent="0.35">
      <c r="A150">
        <v>149</v>
      </c>
      <c r="B150" s="2">
        <v>43684</v>
      </c>
      <c r="C150" t="s">
        <v>126</v>
      </c>
      <c r="D150" t="s">
        <v>147</v>
      </c>
      <c r="E150">
        <v>1</v>
      </c>
      <c r="F150" t="str">
        <f>VLOOKUP($C150,VLOOKUP_spp!$A$2:$D$103,4,1)</f>
        <v>Syrphidae</v>
      </c>
      <c r="G150" t="str">
        <f>VLOOKUP($F150,VLOOKUP_spp!$A$2:$E$102,5,1)</f>
        <v>Diptera</v>
      </c>
      <c r="H150" t="str">
        <f t="shared" si="2"/>
        <v>Aug</v>
      </c>
      <c r="I150">
        <v>1</v>
      </c>
    </row>
    <row r="151" spans="1:9" x14ac:dyDescent="0.35">
      <c r="A151">
        <v>150</v>
      </c>
      <c r="B151" s="2">
        <v>43684</v>
      </c>
      <c r="C151" t="s">
        <v>128</v>
      </c>
      <c r="D151" t="s">
        <v>147</v>
      </c>
      <c r="E151">
        <v>40</v>
      </c>
      <c r="F151" t="str">
        <f>VLOOKUP($C151,VLOOKUP_spp!$A$2:$D$103,4,1)</f>
        <v>Wasp</v>
      </c>
      <c r="G151" t="str">
        <f>VLOOKUP($F151,VLOOKUP_spp!$A$2:$E$102,5,1)</f>
        <v>Hymenoptera</v>
      </c>
      <c r="H151" t="str">
        <f t="shared" si="2"/>
        <v>Aug</v>
      </c>
      <c r="I151">
        <v>1</v>
      </c>
    </row>
    <row r="152" spans="1:9" x14ac:dyDescent="0.35">
      <c r="A152">
        <v>151</v>
      </c>
      <c r="B152" s="2">
        <v>43684</v>
      </c>
      <c r="C152" t="s">
        <v>128</v>
      </c>
      <c r="D152" t="s">
        <v>151</v>
      </c>
      <c r="E152">
        <v>1</v>
      </c>
      <c r="F152" t="str">
        <f>VLOOKUP($C152,VLOOKUP_spp!$A$2:$D$103,4,1)</f>
        <v>Wasp</v>
      </c>
      <c r="G152" t="str">
        <f>VLOOKUP($F152,VLOOKUP_spp!$A$2:$E$102,5,1)</f>
        <v>Hymenoptera</v>
      </c>
      <c r="H152" t="str">
        <f t="shared" si="2"/>
        <v>Aug</v>
      </c>
      <c r="I152">
        <v>1</v>
      </c>
    </row>
    <row r="153" spans="1:9" x14ac:dyDescent="0.35">
      <c r="A153">
        <v>152</v>
      </c>
      <c r="B153" s="2">
        <v>43684</v>
      </c>
      <c r="C153" t="s">
        <v>129</v>
      </c>
      <c r="D153" t="s">
        <v>147</v>
      </c>
      <c r="E153">
        <v>1</v>
      </c>
      <c r="F153" t="str">
        <f>VLOOKUP($C153,VLOOKUP_spp!$A$2:$D$103,4,1)</f>
        <v>Xylocopa</v>
      </c>
      <c r="G153" t="str">
        <f>VLOOKUP($F153,VLOOKUP_spp!$A$2:$E$102,5,1)</f>
        <v>Hymenoptera</v>
      </c>
      <c r="H153" t="str">
        <f t="shared" si="2"/>
        <v>Aug</v>
      </c>
      <c r="I153">
        <v>1</v>
      </c>
    </row>
    <row r="154" spans="1:9" x14ac:dyDescent="0.35">
      <c r="A154">
        <v>153</v>
      </c>
      <c r="B154" s="2">
        <v>43696</v>
      </c>
      <c r="C154" t="s">
        <v>50</v>
      </c>
      <c r="D154" t="s">
        <v>147</v>
      </c>
      <c r="E154">
        <v>30</v>
      </c>
      <c r="F154" t="str">
        <f>VLOOKUP($C154,VLOOKUP_spp!$A$2:$D$103,4,1)</f>
        <v>Apis_mellifera</v>
      </c>
      <c r="G154" t="str">
        <f>VLOOKUP($F154,VLOOKUP_spp!$A$2:$E$102,5,1)</f>
        <v>Hymenoptera</v>
      </c>
      <c r="H154" t="str">
        <f t="shared" si="2"/>
        <v>Aug</v>
      </c>
      <c r="I154">
        <v>1</v>
      </c>
    </row>
    <row r="155" spans="1:9" x14ac:dyDescent="0.35">
      <c r="A155">
        <v>154</v>
      </c>
      <c r="B155" s="2">
        <v>43696</v>
      </c>
      <c r="C155" t="s">
        <v>7</v>
      </c>
      <c r="D155" t="s">
        <v>154</v>
      </c>
      <c r="E155">
        <v>2</v>
      </c>
      <c r="F155" t="str">
        <f>VLOOKUP($C155,VLOOKUP_spp!$A$2:$D$103,4,1)</f>
        <v>Coleoptera</v>
      </c>
      <c r="G155" t="str">
        <f>VLOOKUP($F155,VLOOKUP_spp!$A$2:$E$102,5,1)</f>
        <v>Coleoptera</v>
      </c>
      <c r="H155" t="str">
        <f t="shared" si="2"/>
        <v>Aug</v>
      </c>
      <c r="I155">
        <v>1</v>
      </c>
    </row>
    <row r="156" spans="1:9" x14ac:dyDescent="0.35">
      <c r="A156">
        <v>155</v>
      </c>
      <c r="B156" s="2">
        <v>43696</v>
      </c>
      <c r="C156" t="s">
        <v>7</v>
      </c>
      <c r="D156" t="s">
        <v>147</v>
      </c>
      <c r="E156">
        <v>5</v>
      </c>
      <c r="F156" t="str">
        <f>VLOOKUP($C156,VLOOKUP_spp!$A$2:$D$103,4,1)</f>
        <v>Coleoptera</v>
      </c>
      <c r="G156" t="str">
        <f>VLOOKUP($F156,VLOOKUP_spp!$A$2:$E$102,5,1)</f>
        <v>Coleoptera</v>
      </c>
      <c r="H156" t="str">
        <f t="shared" si="2"/>
        <v>Aug</v>
      </c>
      <c r="I156">
        <v>1</v>
      </c>
    </row>
    <row r="157" spans="1:9" x14ac:dyDescent="0.35">
      <c r="A157">
        <v>156</v>
      </c>
      <c r="B157" s="2">
        <v>43696</v>
      </c>
      <c r="C157" t="s">
        <v>100</v>
      </c>
      <c r="D157" t="s">
        <v>147</v>
      </c>
      <c r="E157">
        <v>1</v>
      </c>
      <c r="F157" t="str">
        <f>VLOOKUP($C157,VLOOKUP_spp!$A$2:$D$103,4,1)</f>
        <v>Halictus</v>
      </c>
      <c r="G157" t="str">
        <f>VLOOKUP($F157,VLOOKUP_spp!$A$2:$E$102,5,1)</f>
        <v>Hymenoptera</v>
      </c>
      <c r="H157" t="str">
        <f t="shared" si="2"/>
        <v>Aug</v>
      </c>
      <c r="I157">
        <v>1</v>
      </c>
    </row>
    <row r="158" spans="1:9" x14ac:dyDescent="0.35">
      <c r="A158">
        <v>157</v>
      </c>
      <c r="B158" s="2">
        <v>43696</v>
      </c>
      <c r="C158" t="s">
        <v>128</v>
      </c>
      <c r="D158" t="s">
        <v>147</v>
      </c>
      <c r="E158">
        <v>23</v>
      </c>
      <c r="F158" t="str">
        <f>VLOOKUP($C158,VLOOKUP_spp!$A$2:$D$103,4,1)</f>
        <v>Wasp</v>
      </c>
      <c r="G158" t="str">
        <f>VLOOKUP($F158,VLOOKUP_spp!$A$2:$E$102,5,1)</f>
        <v>Hymenoptera</v>
      </c>
      <c r="H158" t="str">
        <f t="shared" si="2"/>
        <v>Aug</v>
      </c>
      <c r="I158">
        <v>1</v>
      </c>
    </row>
    <row r="159" spans="1:9" x14ac:dyDescent="0.35">
      <c r="A159">
        <v>158</v>
      </c>
      <c r="B159" s="2">
        <v>43700</v>
      </c>
      <c r="C159" t="s">
        <v>45</v>
      </c>
      <c r="D159" t="s">
        <v>155</v>
      </c>
      <c r="E159">
        <v>1</v>
      </c>
      <c r="F159" t="str">
        <f>VLOOKUP($C159,VLOOKUP_spp!$A$2:$D$103,4,1)</f>
        <v>Anthophora</v>
      </c>
      <c r="G159" t="str">
        <f>VLOOKUP($F159,VLOOKUP_spp!$A$2:$E$102,5,1)</f>
        <v>Hymenoptera</v>
      </c>
      <c r="H159" t="str">
        <f t="shared" si="2"/>
        <v>Aug</v>
      </c>
      <c r="I159">
        <v>1</v>
      </c>
    </row>
    <row r="160" spans="1:9" x14ac:dyDescent="0.35">
      <c r="A160">
        <v>159</v>
      </c>
      <c r="B160" s="2">
        <v>43700</v>
      </c>
      <c r="C160" t="s">
        <v>49</v>
      </c>
      <c r="D160" t="s">
        <v>156</v>
      </c>
      <c r="E160">
        <v>1</v>
      </c>
      <c r="F160" t="str">
        <f>VLOOKUP($C160,VLOOKUP_spp!$A$2:$D$103,4,1)</f>
        <v>Apis_mellifera</v>
      </c>
      <c r="G160" t="str">
        <f>VLOOKUP($F160,VLOOKUP_spp!$A$2:$E$102,5,1)</f>
        <v>Hymenoptera</v>
      </c>
      <c r="H160" t="str">
        <f t="shared" si="2"/>
        <v>Aug</v>
      </c>
      <c r="I160">
        <v>1</v>
      </c>
    </row>
    <row r="161" spans="1:9" x14ac:dyDescent="0.35">
      <c r="A161">
        <v>160</v>
      </c>
      <c r="B161" s="2">
        <v>43700</v>
      </c>
      <c r="C161" t="s">
        <v>50</v>
      </c>
      <c r="D161" t="s">
        <v>157</v>
      </c>
      <c r="E161">
        <v>1</v>
      </c>
      <c r="F161" t="str">
        <f>VLOOKUP($C161,VLOOKUP_spp!$A$2:$D$103,4,1)</f>
        <v>Apis_mellifera</v>
      </c>
      <c r="G161" t="str">
        <f>VLOOKUP($F161,VLOOKUP_spp!$A$2:$E$102,5,1)</f>
        <v>Hymenoptera</v>
      </c>
      <c r="H161" t="str">
        <f t="shared" si="2"/>
        <v>Aug</v>
      </c>
      <c r="I161">
        <v>1</v>
      </c>
    </row>
    <row r="162" spans="1:9" x14ac:dyDescent="0.35">
      <c r="A162">
        <v>161</v>
      </c>
      <c r="B162" s="2">
        <v>43700</v>
      </c>
      <c r="C162" t="s">
        <v>50</v>
      </c>
      <c r="D162" t="s">
        <v>158</v>
      </c>
      <c r="E162">
        <v>7</v>
      </c>
      <c r="F162" t="str">
        <f>VLOOKUP($C162,VLOOKUP_spp!$A$2:$D$103,4,1)</f>
        <v>Apis_mellifera</v>
      </c>
      <c r="G162" t="str">
        <f>VLOOKUP($F162,VLOOKUP_spp!$A$2:$E$102,5,1)</f>
        <v>Hymenoptera</v>
      </c>
      <c r="H162" t="str">
        <f t="shared" si="2"/>
        <v>Aug</v>
      </c>
      <c r="I162">
        <v>1</v>
      </c>
    </row>
    <row r="163" spans="1:9" x14ac:dyDescent="0.35">
      <c r="A163">
        <v>162</v>
      </c>
      <c r="B163" s="2">
        <v>43700</v>
      </c>
      <c r="C163" t="s">
        <v>50</v>
      </c>
      <c r="D163" t="s">
        <v>154</v>
      </c>
      <c r="E163">
        <v>10</v>
      </c>
      <c r="F163" t="str">
        <f>VLOOKUP($C163,VLOOKUP_spp!$A$2:$D$103,4,1)</f>
        <v>Apis_mellifera</v>
      </c>
      <c r="G163" t="str">
        <f>VLOOKUP($F163,VLOOKUP_spp!$A$2:$E$102,5,1)</f>
        <v>Hymenoptera</v>
      </c>
      <c r="H163" t="str">
        <f t="shared" si="2"/>
        <v>Aug</v>
      </c>
      <c r="I163">
        <v>1</v>
      </c>
    </row>
    <row r="164" spans="1:9" x14ac:dyDescent="0.35">
      <c r="A164">
        <v>163</v>
      </c>
      <c r="B164" s="2">
        <v>43700</v>
      </c>
      <c r="C164" t="s">
        <v>50</v>
      </c>
      <c r="D164" t="s">
        <v>159</v>
      </c>
      <c r="E164">
        <v>2</v>
      </c>
      <c r="F164" t="str">
        <f>VLOOKUP($C164,VLOOKUP_spp!$A$2:$D$103,4,1)</f>
        <v>Apis_mellifera</v>
      </c>
      <c r="G164" t="str">
        <f>VLOOKUP($F164,VLOOKUP_spp!$A$2:$E$102,5,1)</f>
        <v>Hymenoptera</v>
      </c>
      <c r="H164" t="str">
        <f t="shared" si="2"/>
        <v>Aug</v>
      </c>
      <c r="I164">
        <v>1</v>
      </c>
    </row>
    <row r="165" spans="1:9" x14ac:dyDescent="0.35">
      <c r="A165">
        <v>164</v>
      </c>
      <c r="B165" s="2">
        <v>43700</v>
      </c>
      <c r="C165" t="s">
        <v>50</v>
      </c>
      <c r="D165" t="s">
        <v>160</v>
      </c>
      <c r="E165">
        <v>1</v>
      </c>
      <c r="F165" t="str">
        <f>VLOOKUP($C165,VLOOKUP_spp!$A$2:$D$103,4,1)</f>
        <v>Apis_mellifera</v>
      </c>
      <c r="G165" t="str">
        <f>VLOOKUP($F165,VLOOKUP_spp!$A$2:$E$102,5,1)</f>
        <v>Hymenoptera</v>
      </c>
      <c r="H165" t="str">
        <f t="shared" si="2"/>
        <v>Aug</v>
      </c>
      <c r="I165">
        <v>1</v>
      </c>
    </row>
    <row r="166" spans="1:9" x14ac:dyDescent="0.35">
      <c r="A166">
        <v>165</v>
      </c>
      <c r="B166" s="2">
        <v>43700</v>
      </c>
      <c r="C166" t="s">
        <v>50</v>
      </c>
      <c r="D166" t="s">
        <v>161</v>
      </c>
      <c r="E166">
        <v>8</v>
      </c>
      <c r="F166" t="str">
        <f>VLOOKUP($C166,VLOOKUP_spp!$A$2:$D$103,4,1)</f>
        <v>Apis_mellifera</v>
      </c>
      <c r="G166" t="str">
        <f>VLOOKUP($F166,VLOOKUP_spp!$A$2:$E$102,5,1)</f>
        <v>Hymenoptera</v>
      </c>
      <c r="H166" t="str">
        <f t="shared" si="2"/>
        <v>Aug</v>
      </c>
      <c r="I166">
        <v>1</v>
      </c>
    </row>
    <row r="167" spans="1:9" x14ac:dyDescent="0.35">
      <c r="A167">
        <v>166</v>
      </c>
      <c r="B167" s="2">
        <v>43700</v>
      </c>
      <c r="C167" t="s">
        <v>50</v>
      </c>
      <c r="D167" t="s">
        <v>162</v>
      </c>
      <c r="E167">
        <v>13</v>
      </c>
      <c r="F167" t="str">
        <f>VLOOKUP($C167,VLOOKUP_spp!$A$2:$D$103,4,1)</f>
        <v>Apis_mellifera</v>
      </c>
      <c r="G167" t="str">
        <f>VLOOKUP($F167,VLOOKUP_spp!$A$2:$E$102,5,1)</f>
        <v>Hymenoptera</v>
      </c>
      <c r="H167" t="str">
        <f t="shared" si="2"/>
        <v>Aug</v>
      </c>
      <c r="I167">
        <v>1</v>
      </c>
    </row>
    <row r="168" spans="1:9" x14ac:dyDescent="0.35">
      <c r="A168">
        <v>167</v>
      </c>
      <c r="B168" s="2">
        <v>43700</v>
      </c>
      <c r="C168" t="s">
        <v>53</v>
      </c>
      <c r="D168" t="s">
        <v>155</v>
      </c>
      <c r="E168">
        <v>2</v>
      </c>
      <c r="F168" t="str">
        <f>VLOOKUP($C168,VLOOKUP_spp!$A$2:$D$103,4,1)</f>
        <v>Augochloropsis</v>
      </c>
      <c r="G168" t="str">
        <f>VLOOKUP($F168,VLOOKUP_spp!$A$2:$E$102,5,1)</f>
        <v>Hymenoptera</v>
      </c>
      <c r="H168" t="str">
        <f t="shared" si="2"/>
        <v>Aug</v>
      </c>
      <c r="I168">
        <v>1</v>
      </c>
    </row>
    <row r="169" spans="1:9" x14ac:dyDescent="0.35">
      <c r="A169">
        <v>168</v>
      </c>
      <c r="B169" s="2">
        <v>43700</v>
      </c>
      <c r="C169" t="s">
        <v>54</v>
      </c>
      <c r="D169" t="s">
        <v>150</v>
      </c>
      <c r="E169">
        <v>7</v>
      </c>
      <c r="F169" t="str">
        <f>VLOOKUP($C169,VLOOKUP_spp!$A$2:$D$103,4,1)</f>
        <v>Bombus_affinis</v>
      </c>
      <c r="G169" t="str">
        <f>VLOOKUP($F169,VLOOKUP_spp!$A$2:$E$102,5,1)</f>
        <v>Hymenoptera</v>
      </c>
      <c r="H169" t="str">
        <f t="shared" si="2"/>
        <v>Aug</v>
      </c>
      <c r="I169">
        <v>1</v>
      </c>
    </row>
    <row r="170" spans="1:9" x14ac:dyDescent="0.35">
      <c r="A170">
        <v>169</v>
      </c>
      <c r="B170" s="2">
        <v>43700</v>
      </c>
      <c r="C170" t="s">
        <v>57</v>
      </c>
      <c r="D170" t="s">
        <v>163</v>
      </c>
      <c r="E170">
        <v>1</v>
      </c>
      <c r="F170" t="str">
        <f>VLOOKUP($C170,VLOOKUP_spp!$A$2:$D$103,4,1)</f>
        <v>Bombus_bimaculatus</v>
      </c>
      <c r="G170" t="str">
        <f>VLOOKUP($F170,VLOOKUP_spp!$A$2:$E$102,5,1)</f>
        <v>Hymenoptera</v>
      </c>
      <c r="H170" t="str">
        <f t="shared" si="2"/>
        <v>Aug</v>
      </c>
      <c r="I170">
        <v>1</v>
      </c>
    </row>
    <row r="171" spans="1:9" x14ac:dyDescent="0.35">
      <c r="A171">
        <v>170</v>
      </c>
      <c r="B171" s="2">
        <v>43700</v>
      </c>
      <c r="C171" t="s">
        <v>57</v>
      </c>
      <c r="D171" t="s">
        <v>161</v>
      </c>
      <c r="E171">
        <v>1</v>
      </c>
      <c r="F171" t="str">
        <f>VLOOKUP($C171,VLOOKUP_spp!$A$2:$D$103,4,1)</f>
        <v>Bombus_bimaculatus</v>
      </c>
      <c r="G171" t="str">
        <f>VLOOKUP($F171,VLOOKUP_spp!$A$2:$E$102,5,1)</f>
        <v>Hymenoptera</v>
      </c>
      <c r="H171" t="str">
        <f t="shared" si="2"/>
        <v>Aug</v>
      </c>
      <c r="I171">
        <v>1</v>
      </c>
    </row>
    <row r="172" spans="1:9" x14ac:dyDescent="0.35">
      <c r="A172">
        <v>171</v>
      </c>
      <c r="B172" s="2">
        <v>43700</v>
      </c>
      <c r="C172" t="s">
        <v>65</v>
      </c>
      <c r="D172" t="s">
        <v>162</v>
      </c>
      <c r="E172">
        <v>1</v>
      </c>
      <c r="F172" t="str">
        <f>VLOOKUP($C172,VLOOKUP_spp!$A$2:$D$103,4,1)</f>
        <v>Bombus_griseocollis</v>
      </c>
      <c r="G172" t="str">
        <f>VLOOKUP($F172,VLOOKUP_spp!$A$2:$E$102,5,1)</f>
        <v>Hymenoptera</v>
      </c>
      <c r="H172" t="str">
        <f t="shared" si="2"/>
        <v>Aug</v>
      </c>
      <c r="I172">
        <v>1</v>
      </c>
    </row>
    <row r="173" spans="1:9" x14ac:dyDescent="0.35">
      <c r="A173">
        <v>172</v>
      </c>
      <c r="B173" s="2">
        <v>43700</v>
      </c>
      <c r="C173" t="s">
        <v>67</v>
      </c>
      <c r="D173" t="s">
        <v>157</v>
      </c>
      <c r="E173">
        <v>21</v>
      </c>
      <c r="F173" t="str">
        <f>VLOOKUP($C173,VLOOKUP_spp!$A$2:$D$103,4,1)</f>
        <v>Bombus_impatiens</v>
      </c>
      <c r="G173" t="str">
        <f>VLOOKUP($F173,VLOOKUP_spp!$A$2:$E$102,5,1)</f>
        <v>Hymenoptera</v>
      </c>
      <c r="H173" t="str">
        <f t="shared" si="2"/>
        <v>Aug</v>
      </c>
      <c r="I173">
        <v>1</v>
      </c>
    </row>
    <row r="174" spans="1:9" x14ac:dyDescent="0.35">
      <c r="A174">
        <v>173</v>
      </c>
      <c r="B174" s="2">
        <v>43700</v>
      </c>
      <c r="C174" t="s">
        <v>67</v>
      </c>
      <c r="D174" t="s">
        <v>154</v>
      </c>
      <c r="E174">
        <v>17</v>
      </c>
      <c r="F174" t="str">
        <f>VLOOKUP($C174,VLOOKUP_spp!$A$2:$D$103,4,1)</f>
        <v>Bombus_impatiens</v>
      </c>
      <c r="G174" t="str">
        <f>VLOOKUP($F174,VLOOKUP_spp!$A$2:$E$102,5,1)</f>
        <v>Hymenoptera</v>
      </c>
      <c r="H174" t="str">
        <f t="shared" si="2"/>
        <v>Aug</v>
      </c>
      <c r="I174">
        <v>1</v>
      </c>
    </row>
    <row r="175" spans="1:9" x14ac:dyDescent="0.35">
      <c r="A175">
        <v>174</v>
      </c>
      <c r="B175" s="2">
        <v>43700</v>
      </c>
      <c r="C175" t="s">
        <v>67</v>
      </c>
      <c r="D175" t="s">
        <v>163</v>
      </c>
      <c r="E175">
        <v>13</v>
      </c>
      <c r="F175" t="str">
        <f>VLOOKUP($C175,VLOOKUP_spp!$A$2:$D$103,4,1)</f>
        <v>Bombus_impatiens</v>
      </c>
      <c r="G175" t="str">
        <f>VLOOKUP($F175,VLOOKUP_spp!$A$2:$E$102,5,1)</f>
        <v>Hymenoptera</v>
      </c>
      <c r="H175" t="str">
        <f t="shared" si="2"/>
        <v>Aug</v>
      </c>
      <c r="I175">
        <v>1</v>
      </c>
    </row>
    <row r="176" spans="1:9" x14ac:dyDescent="0.35">
      <c r="A176">
        <v>175</v>
      </c>
      <c r="B176" s="2">
        <v>43700</v>
      </c>
      <c r="C176" t="s">
        <v>67</v>
      </c>
      <c r="D176" t="s">
        <v>159</v>
      </c>
      <c r="E176">
        <v>2</v>
      </c>
      <c r="F176" t="str">
        <f>VLOOKUP($C176,VLOOKUP_spp!$A$2:$D$103,4,1)</f>
        <v>Bombus_impatiens</v>
      </c>
      <c r="G176" t="str">
        <f>VLOOKUP($F176,VLOOKUP_spp!$A$2:$E$102,5,1)</f>
        <v>Hymenoptera</v>
      </c>
      <c r="H176" t="str">
        <f t="shared" si="2"/>
        <v>Aug</v>
      </c>
      <c r="I176">
        <v>1</v>
      </c>
    </row>
    <row r="177" spans="1:9" x14ac:dyDescent="0.35">
      <c r="A177">
        <v>176</v>
      </c>
      <c r="B177" s="2">
        <v>43700</v>
      </c>
      <c r="C177" t="s">
        <v>67</v>
      </c>
      <c r="D177" t="s">
        <v>160</v>
      </c>
      <c r="E177">
        <v>14</v>
      </c>
      <c r="F177" t="str">
        <f>VLOOKUP($C177,VLOOKUP_spp!$A$2:$D$103,4,1)</f>
        <v>Bombus_impatiens</v>
      </c>
      <c r="G177" t="str">
        <f>VLOOKUP($F177,VLOOKUP_spp!$A$2:$E$102,5,1)</f>
        <v>Hymenoptera</v>
      </c>
      <c r="H177" t="str">
        <f t="shared" si="2"/>
        <v>Aug</v>
      </c>
      <c r="I177">
        <v>1</v>
      </c>
    </row>
    <row r="178" spans="1:9" x14ac:dyDescent="0.35">
      <c r="A178">
        <v>177</v>
      </c>
      <c r="B178" s="2">
        <v>43700</v>
      </c>
      <c r="C178" t="s">
        <v>67</v>
      </c>
      <c r="D178" t="s">
        <v>161</v>
      </c>
      <c r="E178">
        <v>14</v>
      </c>
      <c r="F178" t="str">
        <f>VLOOKUP($C178,VLOOKUP_spp!$A$2:$D$103,4,1)</f>
        <v>Bombus_impatiens</v>
      </c>
      <c r="G178" t="str">
        <f>VLOOKUP($F178,VLOOKUP_spp!$A$2:$E$102,5,1)</f>
        <v>Hymenoptera</v>
      </c>
      <c r="H178" t="str">
        <f t="shared" si="2"/>
        <v>Aug</v>
      </c>
      <c r="I178">
        <v>1</v>
      </c>
    </row>
    <row r="179" spans="1:9" x14ac:dyDescent="0.35">
      <c r="A179">
        <v>178</v>
      </c>
      <c r="B179" s="2">
        <v>43700</v>
      </c>
      <c r="C179" t="s">
        <v>67</v>
      </c>
      <c r="D179" t="s">
        <v>162</v>
      </c>
      <c r="E179">
        <v>5</v>
      </c>
      <c r="F179" t="str">
        <f>VLOOKUP($C179,VLOOKUP_spp!$A$2:$D$103,4,1)</f>
        <v>Bombus_impatiens</v>
      </c>
      <c r="G179" t="str">
        <f>VLOOKUP($F179,VLOOKUP_spp!$A$2:$E$102,5,1)</f>
        <v>Hymenoptera</v>
      </c>
      <c r="H179" t="str">
        <f t="shared" si="2"/>
        <v>Aug</v>
      </c>
      <c r="I179">
        <v>1</v>
      </c>
    </row>
    <row r="180" spans="1:9" x14ac:dyDescent="0.35">
      <c r="A180">
        <v>179</v>
      </c>
      <c r="B180" s="2">
        <v>43700</v>
      </c>
      <c r="C180" t="s">
        <v>67</v>
      </c>
      <c r="D180" t="s">
        <v>164</v>
      </c>
      <c r="E180">
        <v>6</v>
      </c>
      <c r="F180" t="str">
        <f>VLOOKUP($C180,VLOOKUP_spp!$A$2:$D$103,4,1)</f>
        <v>Bombus_impatiens</v>
      </c>
      <c r="G180" t="str">
        <f>VLOOKUP($F180,VLOOKUP_spp!$A$2:$E$102,5,1)</f>
        <v>Hymenoptera</v>
      </c>
      <c r="H180" t="str">
        <f t="shared" si="2"/>
        <v>Aug</v>
      </c>
      <c r="I180">
        <v>1</v>
      </c>
    </row>
    <row r="181" spans="1:9" x14ac:dyDescent="0.35">
      <c r="A181">
        <v>180</v>
      </c>
      <c r="B181" s="2">
        <v>43700</v>
      </c>
      <c r="C181" t="s">
        <v>67</v>
      </c>
      <c r="D181" t="s">
        <v>155</v>
      </c>
      <c r="E181">
        <v>4</v>
      </c>
      <c r="F181" t="str">
        <f>VLOOKUP($C181,VLOOKUP_spp!$A$2:$D$103,4,1)</f>
        <v>Bombus_impatiens</v>
      </c>
      <c r="G181" t="str">
        <f>VLOOKUP($F181,VLOOKUP_spp!$A$2:$E$102,5,1)</f>
        <v>Hymenoptera</v>
      </c>
      <c r="H181" t="str">
        <f t="shared" si="2"/>
        <v>Aug</v>
      </c>
      <c r="I181">
        <v>1</v>
      </c>
    </row>
    <row r="182" spans="1:9" x14ac:dyDescent="0.35">
      <c r="A182">
        <v>181</v>
      </c>
      <c r="B182" s="2">
        <v>43700</v>
      </c>
      <c r="C182" t="s">
        <v>76</v>
      </c>
      <c r="D182" t="s">
        <v>155</v>
      </c>
      <c r="E182">
        <v>1</v>
      </c>
      <c r="F182" t="str">
        <f>VLOOKUP($C182,VLOOKUP_spp!$A$2:$D$103,4,1)</f>
        <v>Bombus_rufocinctus</v>
      </c>
      <c r="G182" t="str">
        <f>VLOOKUP($F182,VLOOKUP_spp!$A$2:$E$102,5,1)</f>
        <v>Hymenoptera</v>
      </c>
      <c r="H182" t="str">
        <f t="shared" si="2"/>
        <v>Aug</v>
      </c>
      <c r="I182">
        <v>1</v>
      </c>
    </row>
    <row r="183" spans="1:9" x14ac:dyDescent="0.35">
      <c r="A183">
        <v>182</v>
      </c>
      <c r="B183" s="2">
        <v>43700</v>
      </c>
      <c r="C183" t="s">
        <v>7</v>
      </c>
      <c r="D183" t="s">
        <v>165</v>
      </c>
      <c r="E183">
        <v>5</v>
      </c>
      <c r="F183" t="str">
        <f>VLOOKUP($C183,VLOOKUP_spp!$A$2:$D$103,4,1)</f>
        <v>Coleoptera</v>
      </c>
      <c r="G183" t="str">
        <f>VLOOKUP($F183,VLOOKUP_spp!$A$2:$E$102,5,1)</f>
        <v>Coleoptera</v>
      </c>
      <c r="H183" t="str">
        <f t="shared" si="2"/>
        <v>Aug</v>
      </c>
      <c r="I183">
        <v>1</v>
      </c>
    </row>
    <row r="184" spans="1:9" x14ac:dyDescent="0.35">
      <c r="A184">
        <v>183</v>
      </c>
      <c r="B184" s="2">
        <v>43700</v>
      </c>
      <c r="C184" t="s">
        <v>7</v>
      </c>
      <c r="D184" t="s">
        <v>147</v>
      </c>
      <c r="E184">
        <v>1</v>
      </c>
      <c r="F184" t="str">
        <f>VLOOKUP($C184,VLOOKUP_spp!$A$2:$D$103,4,1)</f>
        <v>Coleoptera</v>
      </c>
      <c r="G184" t="str">
        <f>VLOOKUP($F184,VLOOKUP_spp!$A$2:$E$102,5,1)</f>
        <v>Coleoptera</v>
      </c>
      <c r="H184" t="str">
        <f t="shared" si="2"/>
        <v>Aug</v>
      </c>
      <c r="I184">
        <v>1</v>
      </c>
    </row>
    <row r="185" spans="1:9" x14ac:dyDescent="0.35">
      <c r="A185">
        <v>184</v>
      </c>
      <c r="B185" s="2">
        <v>43700</v>
      </c>
      <c r="C185" t="s">
        <v>8</v>
      </c>
      <c r="D185" t="s">
        <v>162</v>
      </c>
      <c r="E185">
        <v>1</v>
      </c>
      <c r="F185" t="str">
        <f>VLOOKUP($C185,VLOOKUP_spp!$A$2:$D$103,4,1)</f>
        <v>Lepidoptera</v>
      </c>
      <c r="G185" t="str">
        <f>VLOOKUP($F185,VLOOKUP_spp!$A$2:$E$102,5,1)</f>
        <v>Lepidoptera</v>
      </c>
      <c r="H185" t="str">
        <f t="shared" si="2"/>
        <v>Aug</v>
      </c>
      <c r="I185">
        <v>1</v>
      </c>
    </row>
    <row r="186" spans="1:9" x14ac:dyDescent="0.35">
      <c r="A186">
        <v>185</v>
      </c>
      <c r="B186" s="2">
        <v>43700</v>
      </c>
      <c r="C186" t="s">
        <v>111</v>
      </c>
      <c r="D186" t="s">
        <v>163</v>
      </c>
      <c r="E186">
        <v>1</v>
      </c>
      <c r="F186">
        <f>VLOOKUP($C186,VLOOKUP_spp!$A$2:$D$103,4,1)</f>
        <v>0</v>
      </c>
      <c r="G186" t="e">
        <f>VLOOKUP($F186,VLOOKUP_spp!$A$2:$E$102,5,1)</f>
        <v>#N/A</v>
      </c>
      <c r="H186" t="str">
        <f t="shared" si="2"/>
        <v>Aug</v>
      </c>
      <c r="I186">
        <v>1</v>
      </c>
    </row>
    <row r="187" spans="1:9" x14ac:dyDescent="0.35">
      <c r="A187">
        <v>186</v>
      </c>
      <c r="B187" s="2">
        <v>43700</v>
      </c>
      <c r="C187" t="s">
        <v>128</v>
      </c>
      <c r="D187" t="s">
        <v>154</v>
      </c>
      <c r="E187">
        <v>1</v>
      </c>
      <c r="F187" t="str">
        <f>VLOOKUP($C187,VLOOKUP_spp!$A$2:$D$103,4,1)</f>
        <v>Wasp</v>
      </c>
      <c r="G187" t="str">
        <f>VLOOKUP($F187,VLOOKUP_spp!$A$2:$E$102,5,1)</f>
        <v>Hymenoptera</v>
      </c>
      <c r="H187" t="str">
        <f t="shared" si="2"/>
        <v>Aug</v>
      </c>
      <c r="I187">
        <v>1</v>
      </c>
    </row>
    <row r="188" spans="1:9" x14ac:dyDescent="0.35">
      <c r="A188">
        <v>187</v>
      </c>
      <c r="B188" s="2">
        <v>43700</v>
      </c>
      <c r="C188" t="s">
        <v>128</v>
      </c>
      <c r="D188" t="s">
        <v>163</v>
      </c>
      <c r="E188">
        <v>3</v>
      </c>
      <c r="F188" t="str">
        <f>VLOOKUP($C188,VLOOKUP_spp!$A$2:$D$103,4,1)</f>
        <v>Wasp</v>
      </c>
      <c r="G188" t="str">
        <f>VLOOKUP($F188,VLOOKUP_spp!$A$2:$E$102,5,1)</f>
        <v>Hymenoptera</v>
      </c>
      <c r="H188" t="str">
        <f t="shared" si="2"/>
        <v>Aug</v>
      </c>
      <c r="I188">
        <v>1</v>
      </c>
    </row>
    <row r="189" spans="1:9" x14ac:dyDescent="0.35">
      <c r="A189">
        <v>188</v>
      </c>
      <c r="B189" s="2">
        <v>43700</v>
      </c>
      <c r="C189" t="s">
        <v>128</v>
      </c>
      <c r="D189" t="s">
        <v>160</v>
      </c>
      <c r="E189">
        <v>3</v>
      </c>
      <c r="F189" t="str">
        <f>VLOOKUP($C189,VLOOKUP_spp!$A$2:$D$103,4,1)</f>
        <v>Wasp</v>
      </c>
      <c r="G189" t="str">
        <f>VLOOKUP($F189,VLOOKUP_spp!$A$2:$E$102,5,1)</f>
        <v>Hymenoptera</v>
      </c>
      <c r="H189" t="str">
        <f t="shared" si="2"/>
        <v>Aug</v>
      </c>
      <c r="I189">
        <v>1</v>
      </c>
    </row>
    <row r="190" spans="1:9" x14ac:dyDescent="0.35">
      <c r="A190">
        <v>189</v>
      </c>
      <c r="B190" s="2">
        <v>43700</v>
      </c>
      <c r="C190" t="s">
        <v>128</v>
      </c>
      <c r="D190" t="s">
        <v>147</v>
      </c>
      <c r="E190">
        <v>6</v>
      </c>
      <c r="F190" t="str">
        <f>VLOOKUP($C190,VLOOKUP_spp!$A$2:$D$103,4,1)</f>
        <v>Wasp</v>
      </c>
      <c r="G190" t="str">
        <f>VLOOKUP($F190,VLOOKUP_spp!$A$2:$E$102,5,1)</f>
        <v>Hymenoptera</v>
      </c>
      <c r="H190" t="str">
        <f t="shared" si="2"/>
        <v>Aug</v>
      </c>
      <c r="I190">
        <v>1</v>
      </c>
    </row>
    <row r="191" spans="1:9" x14ac:dyDescent="0.35">
      <c r="A191">
        <v>190</v>
      </c>
      <c r="B191" s="2">
        <v>43700</v>
      </c>
      <c r="C191" t="s">
        <v>128</v>
      </c>
      <c r="D191" t="s">
        <v>156</v>
      </c>
      <c r="E191">
        <v>1</v>
      </c>
      <c r="F191" t="str">
        <f>VLOOKUP($C191,VLOOKUP_spp!$A$2:$D$103,4,1)</f>
        <v>Wasp</v>
      </c>
      <c r="G191" t="str">
        <f>VLOOKUP($F191,VLOOKUP_spp!$A$2:$E$102,5,1)</f>
        <v>Hymenoptera</v>
      </c>
      <c r="H191" t="str">
        <f t="shared" si="2"/>
        <v>Aug</v>
      </c>
      <c r="I191">
        <v>1</v>
      </c>
    </row>
    <row r="192" spans="1:9" x14ac:dyDescent="0.35">
      <c r="A192">
        <v>191</v>
      </c>
      <c r="B192" s="2">
        <v>43705</v>
      </c>
      <c r="C192" t="s">
        <v>49</v>
      </c>
      <c r="D192" t="s">
        <v>155</v>
      </c>
      <c r="E192">
        <v>1</v>
      </c>
      <c r="F192" t="str">
        <f>VLOOKUP($C192,VLOOKUP_spp!$A$2:$D$103,4,1)</f>
        <v>Apis_mellifera</v>
      </c>
      <c r="G192" t="str">
        <f>VLOOKUP($F192,VLOOKUP_spp!$A$2:$E$102,5,1)</f>
        <v>Hymenoptera</v>
      </c>
      <c r="H192" t="str">
        <f t="shared" si="2"/>
        <v>Aug</v>
      </c>
      <c r="I192">
        <v>1</v>
      </c>
    </row>
    <row r="193" spans="1:9" x14ac:dyDescent="0.35">
      <c r="A193">
        <v>192</v>
      </c>
      <c r="B193" s="2">
        <v>43705</v>
      </c>
      <c r="C193" t="s">
        <v>50</v>
      </c>
      <c r="D193" t="s">
        <v>154</v>
      </c>
      <c r="E193">
        <v>12</v>
      </c>
      <c r="F193" t="str">
        <f>VLOOKUP($C193,VLOOKUP_spp!$A$2:$D$103,4,1)</f>
        <v>Apis_mellifera</v>
      </c>
      <c r="G193" t="str">
        <f>VLOOKUP($F193,VLOOKUP_spp!$A$2:$E$102,5,1)</f>
        <v>Hymenoptera</v>
      </c>
      <c r="H193" t="str">
        <f t="shared" si="2"/>
        <v>Aug</v>
      </c>
      <c r="I193">
        <v>1</v>
      </c>
    </row>
    <row r="194" spans="1:9" x14ac:dyDescent="0.35">
      <c r="A194">
        <v>193</v>
      </c>
      <c r="B194" s="2">
        <v>43705</v>
      </c>
      <c r="C194" t="s">
        <v>50</v>
      </c>
      <c r="D194" t="s">
        <v>160</v>
      </c>
      <c r="E194">
        <v>1</v>
      </c>
      <c r="F194" t="str">
        <f>VLOOKUP($C194,VLOOKUP_spp!$A$2:$D$103,4,1)</f>
        <v>Apis_mellifera</v>
      </c>
      <c r="G194" t="str">
        <f>VLOOKUP($F194,VLOOKUP_spp!$A$2:$E$102,5,1)</f>
        <v>Hymenoptera</v>
      </c>
      <c r="H194" t="str">
        <f t="shared" si="2"/>
        <v>Aug</v>
      </c>
      <c r="I194">
        <v>1</v>
      </c>
    </row>
    <row r="195" spans="1:9" x14ac:dyDescent="0.35">
      <c r="A195">
        <v>194</v>
      </c>
      <c r="B195" s="2">
        <v>43705</v>
      </c>
      <c r="C195" t="s">
        <v>50</v>
      </c>
      <c r="D195" t="s">
        <v>162</v>
      </c>
      <c r="E195">
        <v>20</v>
      </c>
      <c r="F195" t="str">
        <f>VLOOKUP($C195,VLOOKUP_spp!$A$2:$D$103,4,1)</f>
        <v>Apis_mellifera</v>
      </c>
      <c r="G195" t="str">
        <f>VLOOKUP($F195,VLOOKUP_spp!$A$2:$E$102,5,1)</f>
        <v>Hymenoptera</v>
      </c>
      <c r="H195" t="str">
        <f t="shared" ref="H195:H258" si="3">TEXT(B195, "mmm")</f>
        <v>Aug</v>
      </c>
      <c r="I195">
        <v>1</v>
      </c>
    </row>
    <row r="196" spans="1:9" x14ac:dyDescent="0.35">
      <c r="A196">
        <v>195</v>
      </c>
      <c r="B196" s="2">
        <v>43705</v>
      </c>
      <c r="C196" t="s">
        <v>50</v>
      </c>
      <c r="D196" t="s">
        <v>155</v>
      </c>
      <c r="E196">
        <v>19</v>
      </c>
      <c r="F196" t="str">
        <f>VLOOKUP($C196,VLOOKUP_spp!$A$2:$D$103,4,1)</f>
        <v>Apis_mellifera</v>
      </c>
      <c r="G196" t="str">
        <f>VLOOKUP($F196,VLOOKUP_spp!$A$2:$E$102,5,1)</f>
        <v>Hymenoptera</v>
      </c>
      <c r="H196" t="str">
        <f t="shared" si="3"/>
        <v>Aug</v>
      </c>
      <c r="I196">
        <v>1</v>
      </c>
    </row>
    <row r="197" spans="1:9" x14ac:dyDescent="0.35">
      <c r="A197">
        <v>196</v>
      </c>
      <c r="B197" s="2">
        <v>43705</v>
      </c>
      <c r="C197" t="s">
        <v>57</v>
      </c>
      <c r="D197" t="s">
        <v>155</v>
      </c>
      <c r="E197">
        <v>1</v>
      </c>
      <c r="F197" t="str">
        <f>VLOOKUP($C197,VLOOKUP_spp!$A$2:$D$103,4,1)</f>
        <v>Bombus_bimaculatus</v>
      </c>
      <c r="G197" t="str">
        <f>VLOOKUP($F197,VLOOKUP_spp!$A$2:$E$102,5,1)</f>
        <v>Hymenoptera</v>
      </c>
      <c r="H197" t="str">
        <f t="shared" si="3"/>
        <v>Aug</v>
      </c>
      <c r="I197">
        <v>1</v>
      </c>
    </row>
    <row r="198" spans="1:9" x14ac:dyDescent="0.35">
      <c r="A198">
        <v>197</v>
      </c>
      <c r="B198" s="2">
        <v>43705</v>
      </c>
      <c r="C198" t="s">
        <v>67</v>
      </c>
      <c r="D198" t="s">
        <v>154</v>
      </c>
      <c r="E198">
        <v>16</v>
      </c>
      <c r="F198" t="str">
        <f>VLOOKUP($C198,VLOOKUP_spp!$A$2:$D$103,4,1)</f>
        <v>Bombus_impatiens</v>
      </c>
      <c r="G198" t="str">
        <f>VLOOKUP($F198,VLOOKUP_spp!$A$2:$E$102,5,1)</f>
        <v>Hymenoptera</v>
      </c>
      <c r="H198" t="str">
        <f t="shared" si="3"/>
        <v>Aug</v>
      </c>
      <c r="I198">
        <v>1</v>
      </c>
    </row>
    <row r="199" spans="1:9" x14ac:dyDescent="0.35">
      <c r="A199">
        <v>198</v>
      </c>
      <c r="B199" s="2">
        <v>43705</v>
      </c>
      <c r="C199" t="s">
        <v>67</v>
      </c>
      <c r="D199" t="s">
        <v>163</v>
      </c>
      <c r="E199">
        <v>2</v>
      </c>
      <c r="F199" t="str">
        <f>VLOOKUP($C199,VLOOKUP_spp!$A$2:$D$103,4,1)</f>
        <v>Bombus_impatiens</v>
      </c>
      <c r="G199" t="str">
        <f>VLOOKUP($F199,VLOOKUP_spp!$A$2:$E$102,5,1)</f>
        <v>Hymenoptera</v>
      </c>
      <c r="H199" t="str">
        <f t="shared" si="3"/>
        <v>Aug</v>
      </c>
      <c r="I199">
        <v>1</v>
      </c>
    </row>
    <row r="200" spans="1:9" x14ac:dyDescent="0.35">
      <c r="A200">
        <v>199</v>
      </c>
      <c r="B200" s="2">
        <v>43705</v>
      </c>
      <c r="C200" t="s">
        <v>67</v>
      </c>
      <c r="D200" t="s">
        <v>160</v>
      </c>
      <c r="E200">
        <v>13</v>
      </c>
      <c r="F200" t="str">
        <f>VLOOKUP($C200,VLOOKUP_spp!$A$2:$D$103,4,1)</f>
        <v>Bombus_impatiens</v>
      </c>
      <c r="G200" t="str">
        <f>VLOOKUP($F200,VLOOKUP_spp!$A$2:$E$102,5,1)</f>
        <v>Hymenoptera</v>
      </c>
      <c r="H200" t="str">
        <f t="shared" si="3"/>
        <v>Aug</v>
      </c>
      <c r="I200">
        <v>1</v>
      </c>
    </row>
    <row r="201" spans="1:9" x14ac:dyDescent="0.35">
      <c r="A201">
        <v>200</v>
      </c>
      <c r="B201" s="2">
        <v>43705</v>
      </c>
      <c r="C201" t="s">
        <v>67</v>
      </c>
      <c r="D201" t="s">
        <v>162</v>
      </c>
      <c r="E201">
        <v>15</v>
      </c>
      <c r="F201" t="str">
        <f>VLOOKUP($C201,VLOOKUP_spp!$A$2:$D$103,4,1)</f>
        <v>Bombus_impatiens</v>
      </c>
      <c r="G201" t="str">
        <f>VLOOKUP($F201,VLOOKUP_spp!$A$2:$E$102,5,1)</f>
        <v>Hymenoptera</v>
      </c>
      <c r="H201" t="str">
        <f t="shared" si="3"/>
        <v>Aug</v>
      </c>
      <c r="I201">
        <v>1</v>
      </c>
    </row>
    <row r="202" spans="1:9" x14ac:dyDescent="0.35">
      <c r="A202">
        <v>201</v>
      </c>
      <c r="B202" s="2">
        <v>43705</v>
      </c>
      <c r="C202" t="s">
        <v>67</v>
      </c>
      <c r="D202" t="s">
        <v>155</v>
      </c>
      <c r="E202">
        <v>18</v>
      </c>
      <c r="F202" t="str">
        <f>VLOOKUP($C202,VLOOKUP_spp!$A$2:$D$103,4,1)</f>
        <v>Bombus_impatiens</v>
      </c>
      <c r="G202" t="str">
        <f>VLOOKUP($F202,VLOOKUP_spp!$A$2:$E$102,5,1)</f>
        <v>Hymenoptera</v>
      </c>
      <c r="H202" t="str">
        <f t="shared" si="3"/>
        <v>Aug</v>
      </c>
      <c r="I202">
        <v>1</v>
      </c>
    </row>
    <row r="203" spans="1:9" x14ac:dyDescent="0.35">
      <c r="A203">
        <v>202</v>
      </c>
      <c r="B203" s="2">
        <v>43705</v>
      </c>
      <c r="C203" t="s">
        <v>7</v>
      </c>
      <c r="D203" t="s">
        <v>163</v>
      </c>
      <c r="E203">
        <v>7</v>
      </c>
      <c r="F203" t="str">
        <f>VLOOKUP($C203,VLOOKUP_spp!$A$2:$D$103,4,1)</f>
        <v>Coleoptera</v>
      </c>
      <c r="G203" t="str">
        <f>VLOOKUP($F203,VLOOKUP_spp!$A$2:$E$102,5,1)</f>
        <v>Coleoptera</v>
      </c>
      <c r="H203" t="str">
        <f t="shared" si="3"/>
        <v>Aug</v>
      </c>
      <c r="I203">
        <v>1</v>
      </c>
    </row>
    <row r="204" spans="1:9" x14ac:dyDescent="0.35">
      <c r="A204">
        <v>203</v>
      </c>
      <c r="B204" s="2">
        <v>43705</v>
      </c>
      <c r="C204" t="s">
        <v>97</v>
      </c>
      <c r="D204" t="s">
        <v>162</v>
      </c>
      <c r="E204">
        <v>5</v>
      </c>
      <c r="F204" t="str">
        <f>VLOOKUP($C204,VLOOKUP_spp!$A$2:$D$103,4,1)</f>
        <v>Halictus</v>
      </c>
      <c r="G204" t="str">
        <f>VLOOKUP($F204,VLOOKUP_spp!$A$2:$E$102,5,1)</f>
        <v>Hymenoptera</v>
      </c>
      <c r="H204" t="str">
        <f t="shared" si="3"/>
        <v>Aug</v>
      </c>
      <c r="I204">
        <v>1</v>
      </c>
    </row>
    <row r="205" spans="1:9" x14ac:dyDescent="0.35">
      <c r="A205">
        <v>204</v>
      </c>
      <c r="B205" s="2">
        <v>43705</v>
      </c>
      <c r="C205" t="s">
        <v>101</v>
      </c>
      <c r="D205" t="s">
        <v>162</v>
      </c>
      <c r="E205">
        <v>1</v>
      </c>
      <c r="F205" t="str">
        <f>VLOOKUP($C205,VLOOKUP_spp!$A$2:$D$103,4,1)</f>
        <v>Halictus_tripartitus</v>
      </c>
      <c r="G205" t="str">
        <f>VLOOKUP($F205,VLOOKUP_spp!$A$2:$E$102,5,1)</f>
        <v>Hymenoptera</v>
      </c>
      <c r="H205" t="str">
        <f t="shared" si="3"/>
        <v>Aug</v>
      </c>
      <c r="I205">
        <v>1</v>
      </c>
    </row>
    <row r="206" spans="1:9" x14ac:dyDescent="0.35">
      <c r="A206">
        <v>205</v>
      </c>
      <c r="B206" s="2">
        <v>43705</v>
      </c>
      <c r="C206" t="s">
        <v>8</v>
      </c>
      <c r="D206" t="s">
        <v>166</v>
      </c>
      <c r="E206">
        <v>4</v>
      </c>
      <c r="F206" t="str">
        <f>VLOOKUP($C206,VLOOKUP_spp!$A$2:$D$103,4,1)</f>
        <v>Lepidoptera</v>
      </c>
      <c r="G206" t="str">
        <f>VLOOKUP($F206,VLOOKUP_spp!$A$2:$E$102,5,1)</f>
        <v>Lepidoptera</v>
      </c>
      <c r="H206" t="str">
        <f t="shared" si="3"/>
        <v>Aug</v>
      </c>
      <c r="I206">
        <v>1</v>
      </c>
    </row>
    <row r="207" spans="1:9" x14ac:dyDescent="0.35">
      <c r="A207">
        <v>206</v>
      </c>
      <c r="B207" s="2">
        <v>43705</v>
      </c>
      <c r="C207" t="s">
        <v>8</v>
      </c>
      <c r="D207" t="s">
        <v>154</v>
      </c>
      <c r="E207">
        <v>16</v>
      </c>
      <c r="F207" t="str">
        <f>VLOOKUP($C207,VLOOKUP_spp!$A$2:$D$103,4,1)</f>
        <v>Lepidoptera</v>
      </c>
      <c r="G207" t="str">
        <f>VLOOKUP($F207,VLOOKUP_spp!$A$2:$E$102,5,1)</f>
        <v>Lepidoptera</v>
      </c>
      <c r="H207" t="str">
        <f t="shared" si="3"/>
        <v>Aug</v>
      </c>
      <c r="I207">
        <v>1</v>
      </c>
    </row>
    <row r="208" spans="1:9" x14ac:dyDescent="0.35">
      <c r="A208">
        <v>207</v>
      </c>
      <c r="B208" s="2">
        <v>43705</v>
      </c>
      <c r="C208" t="s">
        <v>8</v>
      </c>
      <c r="D208" t="s">
        <v>162</v>
      </c>
      <c r="E208">
        <v>4</v>
      </c>
      <c r="F208" t="str">
        <f>VLOOKUP($C208,VLOOKUP_spp!$A$2:$D$103,4,1)</f>
        <v>Lepidoptera</v>
      </c>
      <c r="G208" t="str">
        <f>VLOOKUP($F208,VLOOKUP_spp!$A$2:$E$102,5,1)</f>
        <v>Lepidoptera</v>
      </c>
      <c r="H208" t="str">
        <f t="shared" si="3"/>
        <v>Aug</v>
      </c>
      <c r="I208">
        <v>1</v>
      </c>
    </row>
    <row r="209" spans="1:9" x14ac:dyDescent="0.35">
      <c r="A209">
        <v>208</v>
      </c>
      <c r="B209" s="2">
        <v>43705</v>
      </c>
      <c r="C209" t="s">
        <v>121</v>
      </c>
      <c r="D209" t="s">
        <v>160</v>
      </c>
      <c r="E209">
        <v>1</v>
      </c>
      <c r="F209" t="str">
        <f>VLOOKUP($C209,VLOOKUP_spp!$A$2:$D$103,4,1)</f>
        <v>Pseudopanurgus</v>
      </c>
      <c r="G209" t="str">
        <f>VLOOKUP($F209,VLOOKUP_spp!$A$2:$E$102,5,1)</f>
        <v>Hymenoptera</v>
      </c>
      <c r="H209" t="str">
        <f t="shared" si="3"/>
        <v>Aug</v>
      </c>
      <c r="I209">
        <v>1</v>
      </c>
    </row>
    <row r="210" spans="1:9" x14ac:dyDescent="0.35">
      <c r="A210">
        <v>209</v>
      </c>
      <c r="B210" s="2">
        <v>43705</v>
      </c>
      <c r="C210" t="s">
        <v>128</v>
      </c>
      <c r="D210" t="s">
        <v>166</v>
      </c>
      <c r="E210">
        <v>1</v>
      </c>
      <c r="F210" t="str">
        <f>VLOOKUP($C210,VLOOKUP_spp!$A$2:$D$103,4,1)</f>
        <v>Wasp</v>
      </c>
      <c r="G210" t="str">
        <f>VLOOKUP($F210,VLOOKUP_spp!$A$2:$E$102,5,1)</f>
        <v>Hymenoptera</v>
      </c>
      <c r="H210" t="str">
        <f t="shared" si="3"/>
        <v>Aug</v>
      </c>
      <c r="I210">
        <v>1</v>
      </c>
    </row>
    <row r="211" spans="1:9" x14ac:dyDescent="0.35">
      <c r="A211">
        <v>210</v>
      </c>
      <c r="B211" s="2">
        <v>43705</v>
      </c>
      <c r="C211" t="s">
        <v>128</v>
      </c>
      <c r="D211" t="s">
        <v>154</v>
      </c>
      <c r="E211">
        <v>3</v>
      </c>
      <c r="F211" t="str">
        <f>VLOOKUP($C211,VLOOKUP_spp!$A$2:$D$103,4,1)</f>
        <v>Wasp</v>
      </c>
      <c r="G211" t="str">
        <f>VLOOKUP($F211,VLOOKUP_spp!$A$2:$E$102,5,1)</f>
        <v>Hymenoptera</v>
      </c>
      <c r="H211" t="str">
        <f t="shared" si="3"/>
        <v>Aug</v>
      </c>
      <c r="I211">
        <v>1</v>
      </c>
    </row>
    <row r="212" spans="1:9" x14ac:dyDescent="0.35">
      <c r="A212">
        <v>211</v>
      </c>
      <c r="B212" s="2">
        <v>43705</v>
      </c>
      <c r="C212" t="s">
        <v>128</v>
      </c>
      <c r="D212" t="s">
        <v>160</v>
      </c>
      <c r="E212">
        <v>1</v>
      </c>
      <c r="F212" t="str">
        <f>VLOOKUP($C212,VLOOKUP_spp!$A$2:$D$103,4,1)</f>
        <v>Wasp</v>
      </c>
      <c r="G212" t="str">
        <f>VLOOKUP($F212,VLOOKUP_spp!$A$2:$E$102,5,1)</f>
        <v>Hymenoptera</v>
      </c>
      <c r="H212" t="str">
        <f t="shared" si="3"/>
        <v>Aug</v>
      </c>
      <c r="I212">
        <v>1</v>
      </c>
    </row>
    <row r="213" spans="1:9" x14ac:dyDescent="0.35">
      <c r="A213">
        <v>212</v>
      </c>
      <c r="B213" s="2">
        <v>43705</v>
      </c>
      <c r="C213" t="s">
        <v>128</v>
      </c>
      <c r="D213" t="s">
        <v>162</v>
      </c>
      <c r="E213">
        <v>4</v>
      </c>
      <c r="F213" t="str">
        <f>VLOOKUP($C213,VLOOKUP_spp!$A$2:$D$103,4,1)</f>
        <v>Wasp</v>
      </c>
      <c r="G213" t="str">
        <f>VLOOKUP($F213,VLOOKUP_spp!$A$2:$E$102,5,1)</f>
        <v>Hymenoptera</v>
      </c>
      <c r="H213" t="str">
        <f t="shared" si="3"/>
        <v>Aug</v>
      </c>
      <c r="I213">
        <v>1</v>
      </c>
    </row>
    <row r="214" spans="1:9" x14ac:dyDescent="0.35">
      <c r="A214">
        <v>213</v>
      </c>
      <c r="B214" s="2">
        <v>43706</v>
      </c>
      <c r="C214" t="s">
        <v>43</v>
      </c>
      <c r="D214" t="s">
        <v>160</v>
      </c>
      <c r="E214">
        <v>1</v>
      </c>
      <c r="F214" t="str">
        <f>VLOOKUP($C214,VLOOKUP_spp!$A$2:$D$103,4,1)</f>
        <v>Anthophora_abrupta</v>
      </c>
      <c r="G214" t="str">
        <f>VLOOKUP($F214,VLOOKUP_spp!$A$2:$E$102,5,1)</f>
        <v>Hymenoptera</v>
      </c>
      <c r="H214" t="str">
        <f t="shared" si="3"/>
        <v>Aug</v>
      </c>
      <c r="I214">
        <v>1</v>
      </c>
    </row>
    <row r="215" spans="1:9" x14ac:dyDescent="0.35">
      <c r="A215">
        <v>214</v>
      </c>
      <c r="B215" s="2">
        <v>43706</v>
      </c>
      <c r="C215" t="s">
        <v>50</v>
      </c>
      <c r="D215" t="s">
        <v>157</v>
      </c>
      <c r="E215">
        <v>8</v>
      </c>
      <c r="F215" t="str">
        <f>VLOOKUP($C215,VLOOKUP_spp!$A$2:$D$103,4,1)</f>
        <v>Apis_mellifera</v>
      </c>
      <c r="G215" t="str">
        <f>VLOOKUP($F215,VLOOKUP_spp!$A$2:$E$102,5,1)</f>
        <v>Hymenoptera</v>
      </c>
      <c r="H215" t="str">
        <f t="shared" si="3"/>
        <v>Aug</v>
      </c>
      <c r="I215">
        <v>1</v>
      </c>
    </row>
    <row r="216" spans="1:9" x14ac:dyDescent="0.35">
      <c r="A216">
        <v>215</v>
      </c>
      <c r="B216" s="2">
        <v>43706</v>
      </c>
      <c r="C216" t="s">
        <v>50</v>
      </c>
      <c r="D216" t="s">
        <v>158</v>
      </c>
      <c r="E216">
        <v>1</v>
      </c>
      <c r="F216" t="str">
        <f>VLOOKUP($C216,VLOOKUP_spp!$A$2:$D$103,4,1)</f>
        <v>Apis_mellifera</v>
      </c>
      <c r="G216" t="str">
        <f>VLOOKUP($F216,VLOOKUP_spp!$A$2:$E$102,5,1)</f>
        <v>Hymenoptera</v>
      </c>
      <c r="H216" t="str">
        <f t="shared" si="3"/>
        <v>Aug</v>
      </c>
      <c r="I216">
        <v>1</v>
      </c>
    </row>
    <row r="217" spans="1:9" x14ac:dyDescent="0.35">
      <c r="A217">
        <v>216</v>
      </c>
      <c r="B217" s="2">
        <v>43706</v>
      </c>
      <c r="C217" t="s">
        <v>50</v>
      </c>
      <c r="D217" t="s">
        <v>154</v>
      </c>
      <c r="E217">
        <v>1</v>
      </c>
      <c r="F217" t="str">
        <f>VLOOKUP($C217,VLOOKUP_spp!$A$2:$D$103,4,1)</f>
        <v>Apis_mellifera</v>
      </c>
      <c r="G217" t="str">
        <f>VLOOKUP($F217,VLOOKUP_spp!$A$2:$E$102,5,1)</f>
        <v>Hymenoptera</v>
      </c>
      <c r="H217" t="str">
        <f t="shared" si="3"/>
        <v>Aug</v>
      </c>
      <c r="I217">
        <v>1</v>
      </c>
    </row>
    <row r="218" spans="1:9" x14ac:dyDescent="0.35">
      <c r="A218">
        <v>217</v>
      </c>
      <c r="B218" s="2">
        <v>43706</v>
      </c>
      <c r="C218" t="s">
        <v>50</v>
      </c>
      <c r="D218" t="s">
        <v>167</v>
      </c>
      <c r="E218">
        <v>1</v>
      </c>
      <c r="F218" t="str">
        <f>VLOOKUP($C218,VLOOKUP_spp!$A$2:$D$103,4,1)</f>
        <v>Apis_mellifera</v>
      </c>
      <c r="G218" t="str">
        <f>VLOOKUP($F218,VLOOKUP_spp!$A$2:$E$102,5,1)</f>
        <v>Hymenoptera</v>
      </c>
      <c r="H218" t="str">
        <f t="shared" si="3"/>
        <v>Aug</v>
      </c>
      <c r="I218">
        <v>1</v>
      </c>
    </row>
    <row r="219" spans="1:9" x14ac:dyDescent="0.35">
      <c r="A219">
        <v>218</v>
      </c>
      <c r="B219" s="2">
        <v>43706</v>
      </c>
      <c r="C219" t="s">
        <v>50</v>
      </c>
      <c r="D219" t="s">
        <v>163</v>
      </c>
      <c r="E219">
        <v>5</v>
      </c>
      <c r="F219" t="str">
        <f>VLOOKUP($C219,VLOOKUP_spp!$A$2:$D$103,4,1)</f>
        <v>Apis_mellifera</v>
      </c>
      <c r="G219" t="str">
        <f>VLOOKUP($F219,VLOOKUP_spp!$A$2:$E$102,5,1)</f>
        <v>Hymenoptera</v>
      </c>
      <c r="H219" t="str">
        <f t="shared" si="3"/>
        <v>Aug</v>
      </c>
      <c r="I219">
        <v>1</v>
      </c>
    </row>
    <row r="220" spans="1:9" x14ac:dyDescent="0.35">
      <c r="A220">
        <v>219</v>
      </c>
      <c r="B220" s="2">
        <v>43706</v>
      </c>
      <c r="C220" t="s">
        <v>50</v>
      </c>
      <c r="D220" t="s">
        <v>150</v>
      </c>
      <c r="E220">
        <v>2</v>
      </c>
      <c r="F220" t="str">
        <f>VLOOKUP($C220,VLOOKUP_spp!$A$2:$D$103,4,1)</f>
        <v>Apis_mellifera</v>
      </c>
      <c r="G220" t="str">
        <f>VLOOKUP($F220,VLOOKUP_spp!$A$2:$E$102,5,1)</f>
        <v>Hymenoptera</v>
      </c>
      <c r="H220" t="str">
        <f t="shared" si="3"/>
        <v>Aug</v>
      </c>
      <c r="I220">
        <v>1</v>
      </c>
    </row>
    <row r="221" spans="1:9" x14ac:dyDescent="0.35">
      <c r="A221">
        <v>220</v>
      </c>
      <c r="B221" s="2">
        <v>43706</v>
      </c>
      <c r="C221" t="s">
        <v>50</v>
      </c>
      <c r="D221" t="s">
        <v>161</v>
      </c>
      <c r="E221">
        <v>3</v>
      </c>
      <c r="F221" t="str">
        <f>VLOOKUP($C221,VLOOKUP_spp!$A$2:$D$103,4,1)</f>
        <v>Apis_mellifera</v>
      </c>
      <c r="G221" t="str">
        <f>VLOOKUP($F221,VLOOKUP_spp!$A$2:$E$102,5,1)</f>
        <v>Hymenoptera</v>
      </c>
      <c r="H221" t="str">
        <f t="shared" si="3"/>
        <v>Aug</v>
      </c>
      <c r="I221">
        <v>1</v>
      </c>
    </row>
    <row r="222" spans="1:9" x14ac:dyDescent="0.35">
      <c r="A222">
        <v>221</v>
      </c>
      <c r="B222" s="2">
        <v>43706</v>
      </c>
      <c r="C222" t="s">
        <v>50</v>
      </c>
      <c r="D222" t="s">
        <v>162</v>
      </c>
      <c r="E222">
        <v>25</v>
      </c>
      <c r="F222" t="str">
        <f>VLOOKUP($C222,VLOOKUP_spp!$A$2:$D$103,4,1)</f>
        <v>Apis_mellifera</v>
      </c>
      <c r="G222" t="str">
        <f>VLOOKUP($F222,VLOOKUP_spp!$A$2:$E$102,5,1)</f>
        <v>Hymenoptera</v>
      </c>
      <c r="H222" t="str">
        <f t="shared" si="3"/>
        <v>Aug</v>
      </c>
      <c r="I222">
        <v>1</v>
      </c>
    </row>
    <row r="223" spans="1:9" x14ac:dyDescent="0.35">
      <c r="A223">
        <v>222</v>
      </c>
      <c r="B223" s="2">
        <v>43706</v>
      </c>
      <c r="C223" t="s">
        <v>57</v>
      </c>
      <c r="D223" t="s">
        <v>157</v>
      </c>
      <c r="E223">
        <v>1</v>
      </c>
      <c r="F223" t="str">
        <f>VLOOKUP($C223,VLOOKUP_spp!$A$2:$D$103,4,1)</f>
        <v>Bombus_bimaculatus</v>
      </c>
      <c r="G223" t="str">
        <f>VLOOKUP($F223,VLOOKUP_spp!$A$2:$E$102,5,1)</f>
        <v>Hymenoptera</v>
      </c>
      <c r="H223" t="str">
        <f t="shared" si="3"/>
        <v>Aug</v>
      </c>
      <c r="I223">
        <v>1</v>
      </c>
    </row>
    <row r="224" spans="1:9" x14ac:dyDescent="0.35">
      <c r="A224">
        <v>223</v>
      </c>
      <c r="B224" s="2">
        <v>43706</v>
      </c>
      <c r="C224" t="s">
        <v>57</v>
      </c>
      <c r="D224" t="s">
        <v>168</v>
      </c>
      <c r="E224">
        <v>1</v>
      </c>
      <c r="F224" t="str">
        <f>VLOOKUP($C224,VLOOKUP_spp!$A$2:$D$103,4,1)</f>
        <v>Bombus_bimaculatus</v>
      </c>
      <c r="G224" t="str">
        <f>VLOOKUP($F224,VLOOKUP_spp!$A$2:$E$102,5,1)</f>
        <v>Hymenoptera</v>
      </c>
      <c r="H224" t="str">
        <f t="shared" si="3"/>
        <v>Aug</v>
      </c>
      <c r="I224">
        <v>1</v>
      </c>
    </row>
    <row r="225" spans="1:9" x14ac:dyDescent="0.35">
      <c r="A225">
        <v>224</v>
      </c>
      <c r="B225" s="2">
        <v>43706</v>
      </c>
      <c r="C225" t="s">
        <v>67</v>
      </c>
      <c r="D225" t="s">
        <v>157</v>
      </c>
      <c r="E225">
        <v>11</v>
      </c>
      <c r="F225" t="str">
        <f>VLOOKUP($C225,VLOOKUP_spp!$A$2:$D$103,4,1)</f>
        <v>Bombus_impatiens</v>
      </c>
      <c r="G225" t="str">
        <f>VLOOKUP($F225,VLOOKUP_spp!$A$2:$E$102,5,1)</f>
        <v>Hymenoptera</v>
      </c>
      <c r="H225" t="str">
        <f t="shared" si="3"/>
        <v>Aug</v>
      </c>
      <c r="I225">
        <v>1</v>
      </c>
    </row>
    <row r="226" spans="1:9" x14ac:dyDescent="0.35">
      <c r="A226">
        <v>225</v>
      </c>
      <c r="B226" s="2">
        <v>43706</v>
      </c>
      <c r="C226" t="s">
        <v>67</v>
      </c>
      <c r="D226" t="s">
        <v>166</v>
      </c>
      <c r="E226">
        <v>3</v>
      </c>
      <c r="F226" t="str">
        <f>VLOOKUP($C226,VLOOKUP_spp!$A$2:$D$103,4,1)</f>
        <v>Bombus_impatiens</v>
      </c>
      <c r="G226" t="str">
        <f>VLOOKUP($F226,VLOOKUP_spp!$A$2:$E$102,5,1)</f>
        <v>Hymenoptera</v>
      </c>
      <c r="H226" t="str">
        <f t="shared" si="3"/>
        <v>Aug</v>
      </c>
      <c r="I226">
        <v>1</v>
      </c>
    </row>
    <row r="227" spans="1:9" x14ac:dyDescent="0.35">
      <c r="A227">
        <v>226</v>
      </c>
      <c r="B227" s="2">
        <v>43706</v>
      </c>
      <c r="C227" t="s">
        <v>67</v>
      </c>
      <c r="D227" t="s">
        <v>154</v>
      </c>
      <c r="E227">
        <v>6</v>
      </c>
      <c r="F227" t="str">
        <f>VLOOKUP($C227,VLOOKUP_spp!$A$2:$D$103,4,1)</f>
        <v>Bombus_impatiens</v>
      </c>
      <c r="G227" t="str">
        <f>VLOOKUP($F227,VLOOKUP_spp!$A$2:$E$102,5,1)</f>
        <v>Hymenoptera</v>
      </c>
      <c r="H227" t="str">
        <f t="shared" si="3"/>
        <v>Aug</v>
      </c>
      <c r="I227">
        <v>1</v>
      </c>
    </row>
    <row r="228" spans="1:9" x14ac:dyDescent="0.35">
      <c r="A228">
        <v>227</v>
      </c>
      <c r="B228" s="2">
        <v>43706</v>
      </c>
      <c r="C228" t="s">
        <v>67</v>
      </c>
      <c r="D228" t="s">
        <v>167</v>
      </c>
      <c r="E228">
        <v>1</v>
      </c>
      <c r="F228" t="str">
        <f>VLOOKUP($C228,VLOOKUP_spp!$A$2:$D$103,4,1)</f>
        <v>Bombus_impatiens</v>
      </c>
      <c r="G228" t="str">
        <f>VLOOKUP($F228,VLOOKUP_spp!$A$2:$E$102,5,1)</f>
        <v>Hymenoptera</v>
      </c>
      <c r="H228" t="str">
        <f t="shared" si="3"/>
        <v>Aug</v>
      </c>
      <c r="I228">
        <v>1</v>
      </c>
    </row>
    <row r="229" spans="1:9" x14ac:dyDescent="0.35">
      <c r="A229">
        <v>228</v>
      </c>
      <c r="B229" s="2">
        <v>43706</v>
      </c>
      <c r="C229" t="s">
        <v>67</v>
      </c>
      <c r="D229" t="s">
        <v>163</v>
      </c>
      <c r="E229">
        <v>2</v>
      </c>
      <c r="F229" t="str">
        <f>VLOOKUP($C229,VLOOKUP_spp!$A$2:$D$103,4,1)</f>
        <v>Bombus_impatiens</v>
      </c>
      <c r="G229" t="str">
        <f>VLOOKUP($F229,VLOOKUP_spp!$A$2:$E$102,5,1)</f>
        <v>Hymenoptera</v>
      </c>
      <c r="H229" t="str">
        <f t="shared" si="3"/>
        <v>Aug</v>
      </c>
      <c r="I229">
        <v>1</v>
      </c>
    </row>
    <row r="230" spans="1:9" x14ac:dyDescent="0.35">
      <c r="A230">
        <v>229</v>
      </c>
      <c r="B230" s="2">
        <v>43706</v>
      </c>
      <c r="C230" t="s">
        <v>67</v>
      </c>
      <c r="D230" t="s">
        <v>160</v>
      </c>
      <c r="E230">
        <v>10</v>
      </c>
      <c r="F230" t="str">
        <f>VLOOKUP($C230,VLOOKUP_spp!$A$2:$D$103,4,1)</f>
        <v>Bombus_impatiens</v>
      </c>
      <c r="G230" t="str">
        <f>VLOOKUP($F230,VLOOKUP_spp!$A$2:$E$102,5,1)</f>
        <v>Hymenoptera</v>
      </c>
      <c r="H230" t="str">
        <f t="shared" si="3"/>
        <v>Aug</v>
      </c>
      <c r="I230">
        <v>1</v>
      </c>
    </row>
    <row r="231" spans="1:9" x14ac:dyDescent="0.35">
      <c r="A231">
        <v>230</v>
      </c>
      <c r="B231" s="2">
        <v>43706</v>
      </c>
      <c r="C231" t="s">
        <v>67</v>
      </c>
      <c r="D231" t="s">
        <v>161</v>
      </c>
      <c r="E231">
        <v>2</v>
      </c>
      <c r="F231" t="str">
        <f>VLOOKUP($C231,VLOOKUP_spp!$A$2:$D$103,4,1)</f>
        <v>Bombus_impatiens</v>
      </c>
      <c r="G231" t="str">
        <f>VLOOKUP($F231,VLOOKUP_spp!$A$2:$E$102,5,1)</f>
        <v>Hymenoptera</v>
      </c>
      <c r="H231" t="str">
        <f t="shared" si="3"/>
        <v>Aug</v>
      </c>
      <c r="I231">
        <v>1</v>
      </c>
    </row>
    <row r="232" spans="1:9" x14ac:dyDescent="0.35">
      <c r="A232">
        <v>231</v>
      </c>
      <c r="B232" s="2">
        <v>43706</v>
      </c>
      <c r="C232" t="s">
        <v>67</v>
      </c>
      <c r="D232" t="s">
        <v>147</v>
      </c>
      <c r="E232">
        <v>1</v>
      </c>
      <c r="F232" t="str">
        <f>VLOOKUP($C232,VLOOKUP_spp!$A$2:$D$103,4,1)</f>
        <v>Bombus_impatiens</v>
      </c>
      <c r="G232" t="str">
        <f>VLOOKUP($F232,VLOOKUP_spp!$A$2:$E$102,5,1)</f>
        <v>Hymenoptera</v>
      </c>
      <c r="H232" t="str">
        <f t="shared" si="3"/>
        <v>Aug</v>
      </c>
      <c r="I232">
        <v>1</v>
      </c>
    </row>
    <row r="233" spans="1:9" x14ac:dyDescent="0.35">
      <c r="A233">
        <v>232</v>
      </c>
      <c r="B233" s="2">
        <v>43706</v>
      </c>
      <c r="C233" t="s">
        <v>67</v>
      </c>
      <c r="D233" t="s">
        <v>168</v>
      </c>
      <c r="E233">
        <v>10</v>
      </c>
      <c r="F233" t="str">
        <f>VLOOKUP($C233,VLOOKUP_spp!$A$2:$D$103,4,1)</f>
        <v>Bombus_impatiens</v>
      </c>
      <c r="G233" t="str">
        <f>VLOOKUP($F233,VLOOKUP_spp!$A$2:$E$102,5,1)</f>
        <v>Hymenoptera</v>
      </c>
      <c r="H233" t="str">
        <f t="shared" si="3"/>
        <v>Aug</v>
      </c>
      <c r="I233">
        <v>1</v>
      </c>
    </row>
    <row r="234" spans="1:9" x14ac:dyDescent="0.35">
      <c r="A234">
        <v>233</v>
      </c>
      <c r="B234" s="2">
        <v>43706</v>
      </c>
      <c r="C234" t="s">
        <v>7</v>
      </c>
      <c r="D234" t="s">
        <v>166</v>
      </c>
      <c r="E234">
        <v>1</v>
      </c>
      <c r="F234" t="str">
        <f>VLOOKUP($C234,VLOOKUP_spp!$A$2:$D$103,4,1)</f>
        <v>Coleoptera</v>
      </c>
      <c r="G234" t="str">
        <f>VLOOKUP($F234,VLOOKUP_spp!$A$2:$E$102,5,1)</f>
        <v>Coleoptera</v>
      </c>
      <c r="H234" t="str">
        <f t="shared" si="3"/>
        <v>Aug</v>
      </c>
      <c r="I234">
        <v>1</v>
      </c>
    </row>
    <row r="235" spans="1:9" x14ac:dyDescent="0.35">
      <c r="A235">
        <v>234</v>
      </c>
      <c r="B235" s="2">
        <v>43706</v>
      </c>
      <c r="C235" t="s">
        <v>7</v>
      </c>
      <c r="D235" t="s">
        <v>163</v>
      </c>
      <c r="E235">
        <v>8</v>
      </c>
      <c r="F235" t="str">
        <f>VLOOKUP($C235,VLOOKUP_spp!$A$2:$D$103,4,1)</f>
        <v>Coleoptera</v>
      </c>
      <c r="G235" t="str">
        <f>VLOOKUP($F235,VLOOKUP_spp!$A$2:$E$102,5,1)</f>
        <v>Coleoptera</v>
      </c>
      <c r="H235" t="str">
        <f t="shared" si="3"/>
        <v>Aug</v>
      </c>
      <c r="I235">
        <v>1</v>
      </c>
    </row>
    <row r="236" spans="1:9" x14ac:dyDescent="0.35">
      <c r="A236">
        <v>235</v>
      </c>
      <c r="B236" s="2">
        <v>43706</v>
      </c>
      <c r="C236" t="s">
        <v>7</v>
      </c>
      <c r="D236" t="s">
        <v>150</v>
      </c>
      <c r="E236">
        <v>1</v>
      </c>
      <c r="F236" t="str">
        <f>VLOOKUP($C236,VLOOKUP_spp!$A$2:$D$103,4,1)</f>
        <v>Coleoptera</v>
      </c>
      <c r="G236" t="str">
        <f>VLOOKUP($F236,VLOOKUP_spp!$A$2:$E$102,5,1)</f>
        <v>Coleoptera</v>
      </c>
      <c r="H236" t="str">
        <f t="shared" si="3"/>
        <v>Aug</v>
      </c>
      <c r="I236">
        <v>1</v>
      </c>
    </row>
    <row r="237" spans="1:9" x14ac:dyDescent="0.35">
      <c r="A237">
        <v>236</v>
      </c>
      <c r="B237" s="2">
        <v>43706</v>
      </c>
      <c r="C237" t="s">
        <v>7</v>
      </c>
      <c r="D237" t="s">
        <v>147</v>
      </c>
      <c r="E237">
        <v>2</v>
      </c>
      <c r="F237" t="str">
        <f>VLOOKUP($C237,VLOOKUP_spp!$A$2:$D$103,4,1)</f>
        <v>Coleoptera</v>
      </c>
      <c r="G237" t="str">
        <f>VLOOKUP($F237,VLOOKUP_spp!$A$2:$E$102,5,1)</f>
        <v>Coleoptera</v>
      </c>
      <c r="H237" t="str">
        <f t="shared" si="3"/>
        <v>Aug</v>
      </c>
      <c r="I237">
        <v>1</v>
      </c>
    </row>
    <row r="238" spans="1:9" x14ac:dyDescent="0.35">
      <c r="A238">
        <v>237</v>
      </c>
      <c r="B238" s="2">
        <v>43706</v>
      </c>
      <c r="C238" t="s">
        <v>8</v>
      </c>
      <c r="D238" t="s">
        <v>157</v>
      </c>
      <c r="E238">
        <v>4</v>
      </c>
      <c r="F238" t="str">
        <f>VLOOKUP($C238,VLOOKUP_spp!$A$2:$D$103,4,1)</f>
        <v>Lepidoptera</v>
      </c>
      <c r="G238" t="str">
        <f>VLOOKUP($F238,VLOOKUP_spp!$A$2:$E$102,5,1)</f>
        <v>Lepidoptera</v>
      </c>
      <c r="H238" t="str">
        <f t="shared" si="3"/>
        <v>Aug</v>
      </c>
      <c r="I238">
        <v>1</v>
      </c>
    </row>
    <row r="239" spans="1:9" x14ac:dyDescent="0.35">
      <c r="A239">
        <v>238</v>
      </c>
      <c r="B239" s="2">
        <v>43706</v>
      </c>
      <c r="C239" t="s">
        <v>8</v>
      </c>
      <c r="D239" t="s">
        <v>158</v>
      </c>
      <c r="E239">
        <v>1</v>
      </c>
      <c r="F239" t="str">
        <f>VLOOKUP($C239,VLOOKUP_spp!$A$2:$D$103,4,1)</f>
        <v>Lepidoptera</v>
      </c>
      <c r="G239" t="str">
        <f>VLOOKUP($F239,VLOOKUP_spp!$A$2:$E$102,5,1)</f>
        <v>Lepidoptera</v>
      </c>
      <c r="H239" t="str">
        <f t="shared" si="3"/>
        <v>Aug</v>
      </c>
      <c r="I239">
        <v>1</v>
      </c>
    </row>
    <row r="240" spans="1:9" x14ac:dyDescent="0.35">
      <c r="A240">
        <v>239</v>
      </c>
      <c r="B240" s="2">
        <v>43706</v>
      </c>
      <c r="C240" t="s">
        <v>8</v>
      </c>
      <c r="D240" t="s">
        <v>166</v>
      </c>
      <c r="E240">
        <v>3</v>
      </c>
      <c r="F240" t="str">
        <f>VLOOKUP($C240,VLOOKUP_spp!$A$2:$D$103,4,1)</f>
        <v>Lepidoptera</v>
      </c>
      <c r="G240" t="str">
        <f>VLOOKUP($F240,VLOOKUP_spp!$A$2:$E$102,5,1)</f>
        <v>Lepidoptera</v>
      </c>
      <c r="H240" t="str">
        <f t="shared" si="3"/>
        <v>Aug</v>
      </c>
      <c r="I240">
        <v>1</v>
      </c>
    </row>
    <row r="241" spans="1:9" x14ac:dyDescent="0.35">
      <c r="A241">
        <v>240</v>
      </c>
      <c r="B241" s="2">
        <v>43706</v>
      </c>
      <c r="C241" t="s">
        <v>8</v>
      </c>
      <c r="D241" t="s">
        <v>150</v>
      </c>
      <c r="E241">
        <v>2</v>
      </c>
      <c r="F241" t="str">
        <f>VLOOKUP($C241,VLOOKUP_spp!$A$2:$D$103,4,1)</f>
        <v>Lepidoptera</v>
      </c>
      <c r="G241" t="str">
        <f>VLOOKUP($F241,VLOOKUP_spp!$A$2:$E$102,5,1)</f>
        <v>Lepidoptera</v>
      </c>
      <c r="H241" t="str">
        <f t="shared" si="3"/>
        <v>Aug</v>
      </c>
      <c r="I241">
        <v>1</v>
      </c>
    </row>
    <row r="242" spans="1:9" x14ac:dyDescent="0.35">
      <c r="A242">
        <v>241</v>
      </c>
      <c r="B242" s="2">
        <v>43706</v>
      </c>
      <c r="C242" t="s">
        <v>8</v>
      </c>
      <c r="D242" t="s">
        <v>161</v>
      </c>
      <c r="E242">
        <v>2</v>
      </c>
      <c r="F242" t="str">
        <f>VLOOKUP($C242,VLOOKUP_spp!$A$2:$D$103,4,1)</f>
        <v>Lepidoptera</v>
      </c>
      <c r="G242" t="str">
        <f>VLOOKUP($F242,VLOOKUP_spp!$A$2:$E$102,5,1)</f>
        <v>Lepidoptera</v>
      </c>
      <c r="H242" t="str">
        <f t="shared" si="3"/>
        <v>Aug</v>
      </c>
      <c r="I242">
        <v>1</v>
      </c>
    </row>
    <row r="243" spans="1:9" x14ac:dyDescent="0.35">
      <c r="A243">
        <v>242</v>
      </c>
      <c r="B243" s="2">
        <v>43706</v>
      </c>
      <c r="C243" t="s">
        <v>117</v>
      </c>
      <c r="D243" t="s">
        <v>154</v>
      </c>
      <c r="E243">
        <v>1</v>
      </c>
      <c r="F243" t="str">
        <f>VLOOKUP($C243,VLOOKUP_spp!$A$2:$D$103,4,1)</f>
        <v>Osmia</v>
      </c>
      <c r="G243" t="str">
        <f>VLOOKUP($F243,VLOOKUP_spp!$A$2:$E$102,5,1)</f>
        <v>Hymenoptera</v>
      </c>
      <c r="H243" t="str">
        <f t="shared" si="3"/>
        <v>Aug</v>
      </c>
      <c r="I243">
        <v>1</v>
      </c>
    </row>
    <row r="244" spans="1:9" x14ac:dyDescent="0.35">
      <c r="A244">
        <v>243</v>
      </c>
      <c r="B244" s="2">
        <v>43706</v>
      </c>
      <c r="C244" t="s">
        <v>126</v>
      </c>
      <c r="D244" t="s">
        <v>161</v>
      </c>
      <c r="E244">
        <v>1</v>
      </c>
      <c r="F244" t="str">
        <f>VLOOKUP($C244,VLOOKUP_spp!$A$2:$D$103,4,1)</f>
        <v>Syrphidae</v>
      </c>
      <c r="G244" t="str">
        <f>VLOOKUP($F244,VLOOKUP_spp!$A$2:$E$102,5,1)</f>
        <v>Diptera</v>
      </c>
      <c r="H244" t="str">
        <f t="shared" si="3"/>
        <v>Aug</v>
      </c>
      <c r="I244">
        <v>1</v>
      </c>
    </row>
    <row r="245" spans="1:9" x14ac:dyDescent="0.35">
      <c r="A245">
        <v>244</v>
      </c>
      <c r="B245" s="2">
        <v>43706</v>
      </c>
      <c r="C245" t="s">
        <v>128</v>
      </c>
      <c r="D245" t="s">
        <v>158</v>
      </c>
      <c r="E245">
        <v>2</v>
      </c>
      <c r="F245" t="str">
        <f>VLOOKUP($C245,VLOOKUP_spp!$A$2:$D$103,4,1)</f>
        <v>Wasp</v>
      </c>
      <c r="G245" t="str">
        <f>VLOOKUP($F245,VLOOKUP_spp!$A$2:$E$102,5,1)</f>
        <v>Hymenoptera</v>
      </c>
      <c r="H245" t="str">
        <f t="shared" si="3"/>
        <v>Aug</v>
      </c>
      <c r="I245">
        <v>1</v>
      </c>
    </row>
    <row r="246" spans="1:9" x14ac:dyDescent="0.35">
      <c r="A246">
        <v>245</v>
      </c>
      <c r="B246" s="2">
        <v>43706</v>
      </c>
      <c r="C246" t="s">
        <v>128</v>
      </c>
      <c r="D246" t="s">
        <v>166</v>
      </c>
      <c r="E246">
        <v>5</v>
      </c>
      <c r="F246" t="str">
        <f>VLOOKUP($C246,VLOOKUP_spp!$A$2:$D$103,4,1)</f>
        <v>Wasp</v>
      </c>
      <c r="G246" t="str">
        <f>VLOOKUP($F246,VLOOKUP_spp!$A$2:$E$102,5,1)</f>
        <v>Hymenoptera</v>
      </c>
      <c r="H246" t="str">
        <f t="shared" si="3"/>
        <v>Aug</v>
      </c>
      <c r="I246">
        <v>1</v>
      </c>
    </row>
    <row r="247" spans="1:9" x14ac:dyDescent="0.35">
      <c r="A247">
        <v>246</v>
      </c>
      <c r="B247" s="2">
        <v>43706</v>
      </c>
      <c r="C247" t="s">
        <v>128</v>
      </c>
      <c r="D247" t="s">
        <v>154</v>
      </c>
      <c r="E247">
        <v>3</v>
      </c>
      <c r="F247" t="str">
        <f>VLOOKUP($C247,VLOOKUP_spp!$A$2:$D$103,4,1)</f>
        <v>Wasp</v>
      </c>
      <c r="G247" t="str">
        <f>VLOOKUP($F247,VLOOKUP_spp!$A$2:$E$102,5,1)</f>
        <v>Hymenoptera</v>
      </c>
      <c r="H247" t="str">
        <f t="shared" si="3"/>
        <v>Aug</v>
      </c>
      <c r="I247">
        <v>1</v>
      </c>
    </row>
    <row r="248" spans="1:9" x14ac:dyDescent="0.35">
      <c r="A248">
        <v>247</v>
      </c>
      <c r="B248" s="2">
        <v>43706</v>
      </c>
      <c r="C248" t="s">
        <v>128</v>
      </c>
      <c r="D248" t="s">
        <v>150</v>
      </c>
      <c r="E248">
        <v>3</v>
      </c>
      <c r="F248" t="str">
        <f>VLOOKUP($C248,VLOOKUP_spp!$A$2:$D$103,4,1)</f>
        <v>Wasp</v>
      </c>
      <c r="G248" t="str">
        <f>VLOOKUP($F248,VLOOKUP_spp!$A$2:$E$102,5,1)</f>
        <v>Hymenoptera</v>
      </c>
      <c r="H248" t="str">
        <f t="shared" si="3"/>
        <v>Aug</v>
      </c>
      <c r="I248">
        <v>1</v>
      </c>
    </row>
    <row r="249" spans="1:9" x14ac:dyDescent="0.35">
      <c r="A249">
        <v>248</v>
      </c>
      <c r="B249" s="2">
        <v>43706</v>
      </c>
      <c r="C249" t="s">
        <v>128</v>
      </c>
      <c r="D249" t="s">
        <v>162</v>
      </c>
      <c r="E249">
        <v>5</v>
      </c>
      <c r="F249" t="str">
        <f>VLOOKUP($C249,VLOOKUP_spp!$A$2:$D$103,4,1)</f>
        <v>Wasp</v>
      </c>
      <c r="G249" t="str">
        <f>VLOOKUP($F249,VLOOKUP_spp!$A$2:$E$102,5,1)</f>
        <v>Hymenoptera</v>
      </c>
      <c r="H249" t="str">
        <f t="shared" si="3"/>
        <v>Aug</v>
      </c>
      <c r="I249">
        <v>1</v>
      </c>
    </row>
    <row r="250" spans="1:9" x14ac:dyDescent="0.35">
      <c r="A250">
        <v>249</v>
      </c>
      <c r="B250" s="2">
        <v>43707</v>
      </c>
      <c r="C250" t="s">
        <v>50</v>
      </c>
      <c r="D250" t="s">
        <v>154</v>
      </c>
      <c r="E250">
        <v>13</v>
      </c>
      <c r="F250" t="str">
        <f>VLOOKUP($C250,VLOOKUP_spp!$A$2:$D$103,4,1)</f>
        <v>Apis_mellifera</v>
      </c>
      <c r="G250" t="str">
        <f>VLOOKUP($F250,VLOOKUP_spp!$A$2:$E$102,5,1)</f>
        <v>Hymenoptera</v>
      </c>
      <c r="H250" t="str">
        <f t="shared" si="3"/>
        <v>Aug</v>
      </c>
      <c r="I250">
        <v>1</v>
      </c>
    </row>
    <row r="251" spans="1:9" x14ac:dyDescent="0.35">
      <c r="A251">
        <v>250</v>
      </c>
      <c r="B251" s="2">
        <v>43707</v>
      </c>
      <c r="C251" t="s">
        <v>50</v>
      </c>
      <c r="D251" t="s">
        <v>161</v>
      </c>
      <c r="E251">
        <v>7</v>
      </c>
      <c r="F251" t="str">
        <f>VLOOKUP($C251,VLOOKUP_spp!$A$2:$D$103,4,1)</f>
        <v>Apis_mellifera</v>
      </c>
      <c r="G251" t="str">
        <f>VLOOKUP($F251,VLOOKUP_spp!$A$2:$E$102,5,1)</f>
        <v>Hymenoptera</v>
      </c>
      <c r="H251" t="str">
        <f t="shared" si="3"/>
        <v>Aug</v>
      </c>
      <c r="I251">
        <v>1</v>
      </c>
    </row>
    <row r="252" spans="1:9" x14ac:dyDescent="0.35">
      <c r="A252">
        <v>251</v>
      </c>
      <c r="B252" s="2">
        <v>43707</v>
      </c>
      <c r="C252" t="s">
        <v>50</v>
      </c>
      <c r="D252" t="s">
        <v>162</v>
      </c>
      <c r="E252">
        <v>46</v>
      </c>
      <c r="F252" t="str">
        <f>VLOOKUP($C252,VLOOKUP_spp!$A$2:$D$103,4,1)</f>
        <v>Apis_mellifera</v>
      </c>
      <c r="G252" t="str">
        <f>VLOOKUP($F252,VLOOKUP_spp!$A$2:$E$102,5,1)</f>
        <v>Hymenoptera</v>
      </c>
      <c r="H252" t="str">
        <f t="shared" si="3"/>
        <v>Aug</v>
      </c>
      <c r="I252">
        <v>1</v>
      </c>
    </row>
    <row r="253" spans="1:9" x14ac:dyDescent="0.35">
      <c r="A253">
        <v>252</v>
      </c>
      <c r="B253" s="2">
        <v>43707</v>
      </c>
      <c r="C253" t="s">
        <v>65</v>
      </c>
      <c r="D253" t="s">
        <v>154</v>
      </c>
      <c r="E253">
        <v>3</v>
      </c>
      <c r="F253" t="str">
        <f>VLOOKUP($C253,VLOOKUP_spp!$A$2:$D$103,4,1)</f>
        <v>Bombus_griseocollis</v>
      </c>
      <c r="G253" t="str">
        <f>VLOOKUP($F253,VLOOKUP_spp!$A$2:$E$102,5,1)</f>
        <v>Hymenoptera</v>
      </c>
      <c r="H253" t="str">
        <f t="shared" si="3"/>
        <v>Aug</v>
      </c>
      <c r="I253">
        <v>1</v>
      </c>
    </row>
    <row r="254" spans="1:9" x14ac:dyDescent="0.35">
      <c r="A254">
        <v>253</v>
      </c>
      <c r="B254" s="2">
        <v>43707</v>
      </c>
      <c r="C254" t="s">
        <v>67</v>
      </c>
      <c r="D254" t="s">
        <v>154</v>
      </c>
      <c r="E254">
        <v>90</v>
      </c>
      <c r="F254" t="str">
        <f>VLOOKUP($C254,VLOOKUP_spp!$A$2:$D$103,4,1)</f>
        <v>Bombus_impatiens</v>
      </c>
      <c r="G254" t="str">
        <f>VLOOKUP($F254,VLOOKUP_spp!$A$2:$E$102,5,1)</f>
        <v>Hymenoptera</v>
      </c>
      <c r="H254" t="str">
        <f t="shared" si="3"/>
        <v>Aug</v>
      </c>
      <c r="I254">
        <v>1</v>
      </c>
    </row>
    <row r="255" spans="1:9" x14ac:dyDescent="0.35">
      <c r="A255">
        <v>254</v>
      </c>
      <c r="B255" s="2">
        <v>43707</v>
      </c>
      <c r="C255" t="s">
        <v>67</v>
      </c>
      <c r="D255" t="s">
        <v>161</v>
      </c>
      <c r="E255">
        <v>5</v>
      </c>
      <c r="F255" t="str">
        <f>VLOOKUP($C255,VLOOKUP_spp!$A$2:$D$103,4,1)</f>
        <v>Bombus_impatiens</v>
      </c>
      <c r="G255" t="str">
        <f>VLOOKUP($F255,VLOOKUP_spp!$A$2:$E$102,5,1)</f>
        <v>Hymenoptera</v>
      </c>
      <c r="H255" t="str">
        <f t="shared" si="3"/>
        <v>Aug</v>
      </c>
      <c r="I255">
        <v>1</v>
      </c>
    </row>
    <row r="256" spans="1:9" x14ac:dyDescent="0.35">
      <c r="A256">
        <v>255</v>
      </c>
      <c r="B256" s="2">
        <v>43707</v>
      </c>
      <c r="C256" t="s">
        <v>67</v>
      </c>
      <c r="D256" t="s">
        <v>162</v>
      </c>
      <c r="E256">
        <v>6</v>
      </c>
      <c r="F256" t="str">
        <f>VLOOKUP($C256,VLOOKUP_spp!$A$2:$D$103,4,1)</f>
        <v>Bombus_impatiens</v>
      </c>
      <c r="G256" t="str">
        <f>VLOOKUP($F256,VLOOKUP_spp!$A$2:$E$102,5,1)</f>
        <v>Hymenoptera</v>
      </c>
      <c r="H256" t="str">
        <f t="shared" si="3"/>
        <v>Aug</v>
      </c>
      <c r="I256">
        <v>1</v>
      </c>
    </row>
    <row r="257" spans="1:9" x14ac:dyDescent="0.35">
      <c r="A257">
        <v>256</v>
      </c>
      <c r="B257" s="2">
        <v>43707</v>
      </c>
      <c r="C257" t="s">
        <v>76</v>
      </c>
      <c r="D257" t="s">
        <v>161</v>
      </c>
      <c r="E257">
        <v>1</v>
      </c>
      <c r="F257" t="str">
        <f>VLOOKUP($C257,VLOOKUP_spp!$A$2:$D$103,4,1)</f>
        <v>Bombus_rufocinctus</v>
      </c>
      <c r="G257" t="str">
        <f>VLOOKUP($F257,VLOOKUP_spp!$A$2:$E$102,5,1)</f>
        <v>Hymenoptera</v>
      </c>
      <c r="H257" t="str">
        <f t="shared" si="3"/>
        <v>Aug</v>
      </c>
      <c r="I257">
        <v>1</v>
      </c>
    </row>
    <row r="258" spans="1:9" x14ac:dyDescent="0.35">
      <c r="A258">
        <v>257</v>
      </c>
      <c r="B258" s="2">
        <v>43707</v>
      </c>
      <c r="C258" t="s">
        <v>88</v>
      </c>
      <c r="D258" t="s">
        <v>162</v>
      </c>
      <c r="E258">
        <v>1</v>
      </c>
      <c r="F258">
        <f>VLOOKUP($C258,VLOOKUP_spp!$A$2:$D$103,4,1)</f>
        <v>0</v>
      </c>
      <c r="G258" t="e">
        <f>VLOOKUP($F258,VLOOKUP_spp!$A$2:$E$102,5,1)</f>
        <v>#N/A</v>
      </c>
      <c r="H258" t="str">
        <f t="shared" si="3"/>
        <v>Aug</v>
      </c>
      <c r="I258">
        <v>1</v>
      </c>
    </row>
    <row r="259" spans="1:9" x14ac:dyDescent="0.35">
      <c r="A259">
        <v>258</v>
      </c>
      <c r="B259" s="2">
        <v>43707</v>
      </c>
      <c r="C259" t="s">
        <v>115</v>
      </c>
      <c r="D259" t="s">
        <v>162</v>
      </c>
      <c r="E259">
        <v>1</v>
      </c>
      <c r="F259" t="str">
        <f>VLOOKUP($C259,VLOOKUP_spp!$A$2:$D$103,4,1)</f>
        <v>Nomada</v>
      </c>
      <c r="G259" t="str">
        <f>VLOOKUP($F259,VLOOKUP_spp!$A$2:$E$102,5,1)</f>
        <v>Hymenoptera</v>
      </c>
      <c r="H259" t="str">
        <f t="shared" ref="H259:H322" si="4">TEXT(B259, "mmm")</f>
        <v>Aug</v>
      </c>
      <c r="I259">
        <v>1</v>
      </c>
    </row>
    <row r="260" spans="1:9" x14ac:dyDescent="0.35">
      <c r="A260">
        <v>259</v>
      </c>
      <c r="B260" s="2">
        <v>43707</v>
      </c>
      <c r="C260" t="s">
        <v>128</v>
      </c>
      <c r="D260" t="s">
        <v>154</v>
      </c>
      <c r="E260">
        <v>2</v>
      </c>
      <c r="F260" t="str">
        <f>VLOOKUP($C260,VLOOKUP_spp!$A$2:$D$103,4,1)</f>
        <v>Wasp</v>
      </c>
      <c r="G260" t="str">
        <f>VLOOKUP($F260,VLOOKUP_spp!$A$2:$E$102,5,1)</f>
        <v>Hymenoptera</v>
      </c>
      <c r="H260" t="str">
        <f t="shared" si="4"/>
        <v>Aug</v>
      </c>
      <c r="I260">
        <v>1</v>
      </c>
    </row>
    <row r="261" spans="1:9" x14ac:dyDescent="0.35">
      <c r="A261">
        <v>260</v>
      </c>
      <c r="B261" s="2">
        <v>43707</v>
      </c>
      <c r="C261" t="s">
        <v>128</v>
      </c>
      <c r="D261" t="s">
        <v>161</v>
      </c>
      <c r="E261">
        <v>3</v>
      </c>
      <c r="F261" t="str">
        <f>VLOOKUP($C261,VLOOKUP_spp!$A$2:$D$103,4,1)</f>
        <v>Wasp</v>
      </c>
      <c r="G261" t="str">
        <f>VLOOKUP($F261,VLOOKUP_spp!$A$2:$E$102,5,1)</f>
        <v>Hymenoptera</v>
      </c>
      <c r="H261" t="str">
        <f t="shared" si="4"/>
        <v>Aug</v>
      </c>
      <c r="I261">
        <v>1</v>
      </c>
    </row>
    <row r="262" spans="1:9" x14ac:dyDescent="0.35">
      <c r="A262">
        <v>261</v>
      </c>
      <c r="B262" s="2">
        <v>43707</v>
      </c>
      <c r="C262" t="s">
        <v>128</v>
      </c>
      <c r="D262" t="s">
        <v>162</v>
      </c>
      <c r="E262">
        <v>8</v>
      </c>
      <c r="F262" t="str">
        <f>VLOOKUP($C262,VLOOKUP_spp!$A$2:$D$103,4,1)</f>
        <v>Wasp</v>
      </c>
      <c r="G262" t="str">
        <f>VLOOKUP($F262,VLOOKUP_spp!$A$2:$E$102,5,1)</f>
        <v>Hymenoptera</v>
      </c>
      <c r="H262" t="str">
        <f t="shared" si="4"/>
        <v>Aug</v>
      </c>
      <c r="I262">
        <v>1</v>
      </c>
    </row>
    <row r="263" spans="1:9" x14ac:dyDescent="0.35">
      <c r="A263">
        <v>262</v>
      </c>
      <c r="B263" s="2">
        <v>43713</v>
      </c>
      <c r="C263" t="s">
        <v>43</v>
      </c>
      <c r="D263" t="s">
        <v>162</v>
      </c>
      <c r="E263">
        <v>1</v>
      </c>
      <c r="F263" t="str">
        <f>VLOOKUP($C263,VLOOKUP_spp!$A$2:$D$103,4,1)</f>
        <v>Anthophora_abrupta</v>
      </c>
      <c r="G263" t="str">
        <f>VLOOKUP($F263,VLOOKUP_spp!$A$2:$E$102,5,1)</f>
        <v>Hymenoptera</v>
      </c>
      <c r="H263" t="str">
        <f t="shared" si="4"/>
        <v>Sep</v>
      </c>
      <c r="I263">
        <v>1</v>
      </c>
    </row>
    <row r="264" spans="1:9" x14ac:dyDescent="0.35">
      <c r="A264">
        <v>263</v>
      </c>
      <c r="B264" s="2">
        <v>43713</v>
      </c>
      <c r="C264" t="s">
        <v>50</v>
      </c>
      <c r="D264" t="s">
        <v>169</v>
      </c>
      <c r="E264">
        <v>1</v>
      </c>
      <c r="F264" t="str">
        <f>VLOOKUP($C264,VLOOKUP_spp!$A$2:$D$103,4,1)</f>
        <v>Apis_mellifera</v>
      </c>
      <c r="G264" t="str">
        <f>VLOOKUP($F264,VLOOKUP_spp!$A$2:$E$102,5,1)</f>
        <v>Hymenoptera</v>
      </c>
      <c r="H264" t="str">
        <f t="shared" si="4"/>
        <v>Sep</v>
      </c>
      <c r="I264">
        <v>1</v>
      </c>
    </row>
    <row r="265" spans="1:9" x14ac:dyDescent="0.35">
      <c r="A265">
        <v>264</v>
      </c>
      <c r="B265" s="2">
        <v>43713</v>
      </c>
      <c r="C265" t="s">
        <v>50</v>
      </c>
      <c r="D265" t="s">
        <v>162</v>
      </c>
      <c r="E265">
        <v>7</v>
      </c>
      <c r="F265" t="str">
        <f>VLOOKUP($C265,VLOOKUP_spp!$A$2:$D$103,4,1)</f>
        <v>Apis_mellifera</v>
      </c>
      <c r="G265" t="str">
        <f>VLOOKUP($F265,VLOOKUP_spp!$A$2:$E$102,5,1)</f>
        <v>Hymenoptera</v>
      </c>
      <c r="H265" t="str">
        <f t="shared" si="4"/>
        <v>Sep</v>
      </c>
      <c r="I265">
        <v>1</v>
      </c>
    </row>
    <row r="266" spans="1:9" x14ac:dyDescent="0.35">
      <c r="A266">
        <v>265</v>
      </c>
      <c r="B266" s="2">
        <v>43713</v>
      </c>
      <c r="C266" t="s">
        <v>50</v>
      </c>
      <c r="D266" t="s">
        <v>147</v>
      </c>
      <c r="E266">
        <v>1</v>
      </c>
      <c r="F266" t="str">
        <f>VLOOKUP($C266,VLOOKUP_spp!$A$2:$D$103,4,1)</f>
        <v>Apis_mellifera</v>
      </c>
      <c r="G266" t="str">
        <f>VLOOKUP($F266,VLOOKUP_spp!$A$2:$E$102,5,1)</f>
        <v>Hymenoptera</v>
      </c>
      <c r="H266" t="str">
        <f t="shared" si="4"/>
        <v>Sep</v>
      </c>
      <c r="I266">
        <v>1</v>
      </c>
    </row>
    <row r="267" spans="1:9" x14ac:dyDescent="0.35">
      <c r="A267">
        <v>266</v>
      </c>
      <c r="B267" s="2">
        <v>43713</v>
      </c>
      <c r="C267" t="s">
        <v>50</v>
      </c>
      <c r="D267" t="s">
        <v>156</v>
      </c>
      <c r="E267">
        <v>1</v>
      </c>
      <c r="F267" t="str">
        <f>VLOOKUP($C267,VLOOKUP_spp!$A$2:$D$103,4,1)</f>
        <v>Apis_mellifera</v>
      </c>
      <c r="G267" t="str">
        <f>VLOOKUP($F267,VLOOKUP_spp!$A$2:$E$102,5,1)</f>
        <v>Hymenoptera</v>
      </c>
      <c r="H267" t="str">
        <f t="shared" si="4"/>
        <v>Sep</v>
      </c>
      <c r="I267">
        <v>1</v>
      </c>
    </row>
    <row r="268" spans="1:9" x14ac:dyDescent="0.35">
      <c r="A268">
        <v>267</v>
      </c>
      <c r="B268" s="2">
        <v>43713</v>
      </c>
      <c r="C268" t="s">
        <v>57</v>
      </c>
      <c r="D268" t="s">
        <v>166</v>
      </c>
      <c r="E268">
        <v>1</v>
      </c>
      <c r="F268" t="str">
        <f>VLOOKUP($C268,VLOOKUP_spp!$A$2:$D$103,4,1)</f>
        <v>Bombus_bimaculatus</v>
      </c>
      <c r="G268" t="str">
        <f>VLOOKUP($F268,VLOOKUP_spp!$A$2:$E$102,5,1)</f>
        <v>Hymenoptera</v>
      </c>
      <c r="H268" t="str">
        <f t="shared" si="4"/>
        <v>Sep</v>
      </c>
      <c r="I268">
        <v>1</v>
      </c>
    </row>
    <row r="269" spans="1:9" x14ac:dyDescent="0.35">
      <c r="A269">
        <v>268</v>
      </c>
      <c r="B269" s="2">
        <v>43713</v>
      </c>
      <c r="C269" t="s">
        <v>57</v>
      </c>
      <c r="D269" t="s">
        <v>162</v>
      </c>
      <c r="E269">
        <v>1</v>
      </c>
      <c r="F269" t="str">
        <f>VLOOKUP($C269,VLOOKUP_spp!$A$2:$D$103,4,1)</f>
        <v>Bombus_bimaculatus</v>
      </c>
      <c r="G269" t="str">
        <f>VLOOKUP($F269,VLOOKUP_spp!$A$2:$E$102,5,1)</f>
        <v>Hymenoptera</v>
      </c>
      <c r="H269" t="str">
        <f t="shared" si="4"/>
        <v>Sep</v>
      </c>
      <c r="I269">
        <v>1</v>
      </c>
    </row>
    <row r="270" spans="1:9" x14ac:dyDescent="0.35">
      <c r="A270">
        <v>269</v>
      </c>
      <c r="B270" s="2">
        <v>43713</v>
      </c>
      <c r="C270" t="s">
        <v>67</v>
      </c>
      <c r="D270" t="s">
        <v>169</v>
      </c>
      <c r="E270">
        <v>3</v>
      </c>
      <c r="F270" t="str">
        <f>VLOOKUP($C270,VLOOKUP_spp!$A$2:$D$103,4,1)</f>
        <v>Bombus_impatiens</v>
      </c>
      <c r="G270" t="str">
        <f>VLOOKUP($F270,VLOOKUP_spp!$A$2:$E$102,5,1)</f>
        <v>Hymenoptera</v>
      </c>
      <c r="H270" t="str">
        <f t="shared" si="4"/>
        <v>Sep</v>
      </c>
      <c r="I270">
        <v>1</v>
      </c>
    </row>
    <row r="271" spans="1:9" x14ac:dyDescent="0.35">
      <c r="A271">
        <v>270</v>
      </c>
      <c r="B271" s="2">
        <v>43713</v>
      </c>
      <c r="C271" t="s">
        <v>67</v>
      </c>
      <c r="D271" t="s">
        <v>158</v>
      </c>
      <c r="E271">
        <v>4</v>
      </c>
      <c r="F271" t="str">
        <f>VLOOKUP($C271,VLOOKUP_spp!$A$2:$D$103,4,1)</f>
        <v>Bombus_impatiens</v>
      </c>
      <c r="G271" t="str">
        <f>VLOOKUP($F271,VLOOKUP_spp!$A$2:$E$102,5,1)</f>
        <v>Hymenoptera</v>
      </c>
      <c r="H271" t="str">
        <f t="shared" si="4"/>
        <v>Sep</v>
      </c>
      <c r="I271">
        <v>1</v>
      </c>
    </row>
    <row r="272" spans="1:9" x14ac:dyDescent="0.35">
      <c r="A272">
        <v>271</v>
      </c>
      <c r="B272" s="2">
        <v>43713</v>
      </c>
      <c r="C272" t="s">
        <v>67</v>
      </c>
      <c r="D272" t="s">
        <v>166</v>
      </c>
      <c r="E272">
        <v>5</v>
      </c>
      <c r="F272" t="str">
        <f>VLOOKUP($C272,VLOOKUP_spp!$A$2:$D$103,4,1)</f>
        <v>Bombus_impatiens</v>
      </c>
      <c r="G272" t="str">
        <f>VLOOKUP($F272,VLOOKUP_spp!$A$2:$E$102,5,1)</f>
        <v>Hymenoptera</v>
      </c>
      <c r="H272" t="str">
        <f t="shared" si="4"/>
        <v>Sep</v>
      </c>
      <c r="I272">
        <v>1</v>
      </c>
    </row>
    <row r="273" spans="1:9" x14ac:dyDescent="0.35">
      <c r="A273">
        <v>272</v>
      </c>
      <c r="B273" s="2">
        <v>43713</v>
      </c>
      <c r="C273" t="s">
        <v>67</v>
      </c>
      <c r="D273" t="s">
        <v>154</v>
      </c>
      <c r="E273">
        <v>3</v>
      </c>
      <c r="F273" t="str">
        <f>VLOOKUP($C273,VLOOKUP_spp!$A$2:$D$103,4,1)</f>
        <v>Bombus_impatiens</v>
      </c>
      <c r="G273" t="str">
        <f>VLOOKUP($F273,VLOOKUP_spp!$A$2:$E$102,5,1)</f>
        <v>Hymenoptera</v>
      </c>
      <c r="H273" t="str">
        <f t="shared" si="4"/>
        <v>Sep</v>
      </c>
      <c r="I273">
        <v>1</v>
      </c>
    </row>
    <row r="274" spans="1:9" x14ac:dyDescent="0.35">
      <c r="A274">
        <v>273</v>
      </c>
      <c r="B274" s="2">
        <v>43713</v>
      </c>
      <c r="C274" t="s">
        <v>67</v>
      </c>
      <c r="D274" t="s">
        <v>159</v>
      </c>
      <c r="E274">
        <v>2</v>
      </c>
      <c r="F274" t="str">
        <f>VLOOKUP($C274,VLOOKUP_spp!$A$2:$D$103,4,1)</f>
        <v>Bombus_impatiens</v>
      </c>
      <c r="G274" t="str">
        <f>VLOOKUP($F274,VLOOKUP_spp!$A$2:$E$102,5,1)</f>
        <v>Hymenoptera</v>
      </c>
      <c r="H274" t="str">
        <f t="shared" si="4"/>
        <v>Sep</v>
      </c>
      <c r="I274">
        <v>1</v>
      </c>
    </row>
    <row r="275" spans="1:9" x14ac:dyDescent="0.35">
      <c r="A275">
        <v>274</v>
      </c>
      <c r="B275" s="2">
        <v>43713</v>
      </c>
      <c r="C275" t="s">
        <v>67</v>
      </c>
      <c r="D275" t="s">
        <v>160</v>
      </c>
      <c r="E275">
        <v>9</v>
      </c>
      <c r="F275" t="str">
        <f>VLOOKUP($C275,VLOOKUP_spp!$A$2:$D$103,4,1)</f>
        <v>Bombus_impatiens</v>
      </c>
      <c r="G275" t="str">
        <f>VLOOKUP($F275,VLOOKUP_spp!$A$2:$E$102,5,1)</f>
        <v>Hymenoptera</v>
      </c>
      <c r="H275" t="str">
        <f t="shared" si="4"/>
        <v>Sep</v>
      </c>
      <c r="I275">
        <v>1</v>
      </c>
    </row>
    <row r="276" spans="1:9" x14ac:dyDescent="0.35">
      <c r="A276">
        <v>275</v>
      </c>
      <c r="B276" s="2">
        <v>43713</v>
      </c>
      <c r="C276" t="s">
        <v>67</v>
      </c>
      <c r="D276" t="s">
        <v>170</v>
      </c>
      <c r="E276">
        <v>8</v>
      </c>
      <c r="F276" t="str">
        <f>VLOOKUP($C276,VLOOKUP_spp!$A$2:$D$103,4,1)</f>
        <v>Bombus_impatiens</v>
      </c>
      <c r="G276" t="str">
        <f>VLOOKUP($F276,VLOOKUP_spp!$A$2:$E$102,5,1)</f>
        <v>Hymenoptera</v>
      </c>
      <c r="H276" t="str">
        <f t="shared" si="4"/>
        <v>Sep</v>
      </c>
      <c r="I276">
        <v>1</v>
      </c>
    </row>
    <row r="277" spans="1:9" x14ac:dyDescent="0.35">
      <c r="A277">
        <v>276</v>
      </c>
      <c r="B277" s="2">
        <v>43713</v>
      </c>
      <c r="C277" t="s">
        <v>67</v>
      </c>
      <c r="D277" t="s">
        <v>162</v>
      </c>
      <c r="E277">
        <v>59</v>
      </c>
      <c r="F277" t="str">
        <f>VLOOKUP($C277,VLOOKUP_spp!$A$2:$D$103,4,1)</f>
        <v>Bombus_impatiens</v>
      </c>
      <c r="G277" t="str">
        <f>VLOOKUP($F277,VLOOKUP_spp!$A$2:$E$102,5,1)</f>
        <v>Hymenoptera</v>
      </c>
      <c r="H277" t="str">
        <f t="shared" si="4"/>
        <v>Sep</v>
      </c>
      <c r="I277">
        <v>1</v>
      </c>
    </row>
    <row r="278" spans="1:9" x14ac:dyDescent="0.35">
      <c r="A278">
        <v>277</v>
      </c>
      <c r="B278" s="2">
        <v>43713</v>
      </c>
      <c r="C278" t="s">
        <v>67</v>
      </c>
      <c r="D278" t="s">
        <v>147</v>
      </c>
      <c r="E278">
        <v>6</v>
      </c>
      <c r="F278" t="str">
        <f>VLOOKUP($C278,VLOOKUP_spp!$A$2:$D$103,4,1)</f>
        <v>Bombus_impatiens</v>
      </c>
      <c r="G278" t="str">
        <f>VLOOKUP($F278,VLOOKUP_spp!$A$2:$E$102,5,1)</f>
        <v>Hymenoptera</v>
      </c>
      <c r="H278" t="str">
        <f t="shared" si="4"/>
        <v>Sep</v>
      </c>
      <c r="I278">
        <v>1</v>
      </c>
    </row>
    <row r="279" spans="1:9" x14ac:dyDescent="0.35">
      <c r="A279">
        <v>278</v>
      </c>
      <c r="B279" s="2">
        <v>43713</v>
      </c>
      <c r="C279" t="s">
        <v>67</v>
      </c>
      <c r="D279" t="s">
        <v>156</v>
      </c>
      <c r="E279">
        <v>4</v>
      </c>
      <c r="F279" t="str">
        <f>VLOOKUP($C279,VLOOKUP_spp!$A$2:$D$103,4,1)</f>
        <v>Bombus_impatiens</v>
      </c>
      <c r="G279" t="str">
        <f>VLOOKUP($F279,VLOOKUP_spp!$A$2:$E$102,5,1)</f>
        <v>Hymenoptera</v>
      </c>
      <c r="H279" t="str">
        <f t="shared" si="4"/>
        <v>Sep</v>
      </c>
      <c r="I279">
        <v>1</v>
      </c>
    </row>
    <row r="280" spans="1:9" x14ac:dyDescent="0.35">
      <c r="A280">
        <v>279</v>
      </c>
      <c r="B280" s="2">
        <v>43713</v>
      </c>
      <c r="C280" t="s">
        <v>76</v>
      </c>
      <c r="D280" t="s">
        <v>158</v>
      </c>
      <c r="E280">
        <v>1</v>
      </c>
      <c r="F280" t="str">
        <f>VLOOKUP($C280,VLOOKUP_spp!$A$2:$D$103,4,1)</f>
        <v>Bombus_rufocinctus</v>
      </c>
      <c r="G280" t="str">
        <f>VLOOKUP($F280,VLOOKUP_spp!$A$2:$E$102,5,1)</f>
        <v>Hymenoptera</v>
      </c>
      <c r="H280" t="str">
        <f t="shared" si="4"/>
        <v>Sep</v>
      </c>
      <c r="I280">
        <v>1</v>
      </c>
    </row>
    <row r="281" spans="1:9" x14ac:dyDescent="0.35">
      <c r="A281">
        <v>280</v>
      </c>
      <c r="B281" s="2">
        <v>43713</v>
      </c>
      <c r="C281" t="s">
        <v>7</v>
      </c>
      <c r="D281" t="s">
        <v>158</v>
      </c>
      <c r="E281">
        <v>3</v>
      </c>
      <c r="F281" t="str">
        <f>VLOOKUP($C281,VLOOKUP_spp!$A$2:$D$103,4,1)</f>
        <v>Coleoptera</v>
      </c>
      <c r="G281" t="str">
        <f>VLOOKUP($F281,VLOOKUP_spp!$A$2:$E$102,5,1)</f>
        <v>Coleoptera</v>
      </c>
      <c r="H281" t="str">
        <f t="shared" si="4"/>
        <v>Sep</v>
      </c>
      <c r="I281">
        <v>1</v>
      </c>
    </row>
    <row r="282" spans="1:9" x14ac:dyDescent="0.35">
      <c r="A282">
        <v>281</v>
      </c>
      <c r="B282" s="2">
        <v>43713</v>
      </c>
      <c r="C282" t="s">
        <v>7</v>
      </c>
      <c r="D282" t="s">
        <v>147</v>
      </c>
      <c r="E282">
        <v>2</v>
      </c>
      <c r="F282" t="str">
        <f>VLOOKUP($C282,VLOOKUP_spp!$A$2:$D$103,4,1)</f>
        <v>Coleoptera</v>
      </c>
      <c r="G282" t="str">
        <f>VLOOKUP($F282,VLOOKUP_spp!$A$2:$E$102,5,1)</f>
        <v>Coleoptera</v>
      </c>
      <c r="H282" t="str">
        <f t="shared" si="4"/>
        <v>Sep</v>
      </c>
      <c r="I282">
        <v>1</v>
      </c>
    </row>
    <row r="283" spans="1:9" x14ac:dyDescent="0.35">
      <c r="A283">
        <v>282</v>
      </c>
      <c r="B283" s="2">
        <v>43713</v>
      </c>
      <c r="C283" t="s">
        <v>6</v>
      </c>
      <c r="D283" t="s">
        <v>162</v>
      </c>
      <c r="E283">
        <v>1</v>
      </c>
      <c r="F283" t="str">
        <f>VLOOKUP($C283,VLOOKUP_spp!$A$2:$D$103,4,1)</f>
        <v>Diptera</v>
      </c>
      <c r="G283" t="str">
        <f>VLOOKUP($F283,VLOOKUP_spp!$A$2:$E$102,5,1)</f>
        <v>Diptera</v>
      </c>
      <c r="H283" t="str">
        <f t="shared" si="4"/>
        <v>Sep</v>
      </c>
      <c r="I283">
        <v>1</v>
      </c>
    </row>
    <row r="284" spans="1:9" x14ac:dyDescent="0.35">
      <c r="A284">
        <v>283</v>
      </c>
      <c r="B284" s="2">
        <v>43713</v>
      </c>
      <c r="C284" t="s">
        <v>103</v>
      </c>
      <c r="D284" t="s">
        <v>166</v>
      </c>
      <c r="E284">
        <v>1</v>
      </c>
      <c r="F284" t="str">
        <f>VLOOKUP($C284,VLOOKUP_spp!$A$2:$D$103,4,1)</f>
        <v>Hylaeus</v>
      </c>
      <c r="G284" t="str">
        <f>VLOOKUP($F284,VLOOKUP_spp!$A$2:$E$102,5,1)</f>
        <v>Hymenoptera</v>
      </c>
      <c r="H284" t="str">
        <f t="shared" si="4"/>
        <v>Sep</v>
      </c>
      <c r="I284">
        <v>1</v>
      </c>
    </row>
    <row r="285" spans="1:9" x14ac:dyDescent="0.35">
      <c r="A285">
        <v>284</v>
      </c>
      <c r="B285" s="2">
        <v>43713</v>
      </c>
      <c r="C285" t="s">
        <v>107</v>
      </c>
      <c r="D285" t="s">
        <v>154</v>
      </c>
      <c r="E285">
        <v>1</v>
      </c>
      <c r="F285">
        <f>VLOOKUP($C285,VLOOKUP_spp!$A$2:$D$103,4,1)</f>
        <v>0</v>
      </c>
      <c r="G285" t="e">
        <f>VLOOKUP($F285,VLOOKUP_spp!$A$2:$E$102,5,1)</f>
        <v>#N/A</v>
      </c>
      <c r="H285" t="str">
        <f t="shared" si="4"/>
        <v>Sep</v>
      </c>
      <c r="I285">
        <v>1</v>
      </c>
    </row>
    <row r="286" spans="1:9" x14ac:dyDescent="0.35">
      <c r="A286">
        <v>285</v>
      </c>
      <c r="B286" s="2">
        <v>43713</v>
      </c>
      <c r="C286" t="s">
        <v>8</v>
      </c>
      <c r="D286" t="s">
        <v>169</v>
      </c>
      <c r="E286">
        <v>3</v>
      </c>
      <c r="F286" t="str">
        <f>VLOOKUP($C286,VLOOKUP_spp!$A$2:$D$103,4,1)</f>
        <v>Lepidoptera</v>
      </c>
      <c r="G286" t="str">
        <f>VLOOKUP($F286,VLOOKUP_spp!$A$2:$E$102,5,1)</f>
        <v>Lepidoptera</v>
      </c>
      <c r="H286" t="str">
        <f t="shared" si="4"/>
        <v>Sep</v>
      </c>
      <c r="I286">
        <v>1</v>
      </c>
    </row>
    <row r="287" spans="1:9" x14ac:dyDescent="0.35">
      <c r="A287">
        <v>286</v>
      </c>
      <c r="B287" s="2">
        <v>43713</v>
      </c>
      <c r="C287" t="s">
        <v>8</v>
      </c>
      <c r="D287" t="s">
        <v>158</v>
      </c>
      <c r="E287">
        <v>1</v>
      </c>
      <c r="F287" t="str">
        <f>VLOOKUP($C287,VLOOKUP_spp!$A$2:$D$103,4,1)</f>
        <v>Lepidoptera</v>
      </c>
      <c r="G287" t="str">
        <f>VLOOKUP($F287,VLOOKUP_spp!$A$2:$E$102,5,1)</f>
        <v>Lepidoptera</v>
      </c>
      <c r="H287" t="str">
        <f t="shared" si="4"/>
        <v>Sep</v>
      </c>
      <c r="I287">
        <v>1</v>
      </c>
    </row>
    <row r="288" spans="1:9" x14ac:dyDescent="0.35">
      <c r="A288">
        <v>287</v>
      </c>
      <c r="B288" s="2">
        <v>43713</v>
      </c>
      <c r="C288" t="s">
        <v>8</v>
      </c>
      <c r="D288" t="s">
        <v>170</v>
      </c>
      <c r="E288">
        <v>1</v>
      </c>
      <c r="F288" t="str">
        <f>VLOOKUP($C288,VLOOKUP_spp!$A$2:$D$103,4,1)</f>
        <v>Lepidoptera</v>
      </c>
      <c r="G288" t="str">
        <f>VLOOKUP($F288,VLOOKUP_spp!$A$2:$E$102,5,1)</f>
        <v>Lepidoptera</v>
      </c>
      <c r="H288" t="str">
        <f t="shared" si="4"/>
        <v>Sep</v>
      </c>
      <c r="I288">
        <v>1</v>
      </c>
    </row>
    <row r="289" spans="1:9" x14ac:dyDescent="0.35">
      <c r="A289">
        <v>288</v>
      </c>
      <c r="B289" s="2">
        <v>43713</v>
      </c>
      <c r="C289" t="s">
        <v>122</v>
      </c>
      <c r="D289" t="s">
        <v>162</v>
      </c>
      <c r="E289">
        <v>1</v>
      </c>
      <c r="F289" t="str">
        <f>VLOOKUP($C289,VLOOKUP_spp!$A$2:$D$103,4,1)</f>
        <v>Ptilothrix</v>
      </c>
      <c r="G289" t="str">
        <f>VLOOKUP($F289,VLOOKUP_spp!$A$2:$E$102,5,1)</f>
        <v>Hymenoptera</v>
      </c>
      <c r="H289" t="str">
        <f t="shared" si="4"/>
        <v>Sep</v>
      </c>
      <c r="I289">
        <v>1</v>
      </c>
    </row>
    <row r="290" spans="1:9" x14ac:dyDescent="0.35">
      <c r="A290">
        <v>289</v>
      </c>
      <c r="B290" s="2">
        <v>43713</v>
      </c>
      <c r="C290" t="s">
        <v>126</v>
      </c>
      <c r="D290" t="s">
        <v>154</v>
      </c>
      <c r="E290">
        <v>1</v>
      </c>
      <c r="F290" t="str">
        <f>VLOOKUP($C290,VLOOKUP_spp!$A$2:$D$103,4,1)</f>
        <v>Syrphidae</v>
      </c>
      <c r="G290" t="str">
        <f>VLOOKUP($F290,VLOOKUP_spp!$A$2:$E$102,5,1)</f>
        <v>Diptera</v>
      </c>
      <c r="H290" t="str">
        <f t="shared" si="4"/>
        <v>Sep</v>
      </c>
      <c r="I290">
        <v>1</v>
      </c>
    </row>
    <row r="291" spans="1:9" x14ac:dyDescent="0.35">
      <c r="A291">
        <v>290</v>
      </c>
      <c r="B291" s="2">
        <v>43713</v>
      </c>
      <c r="C291" t="s">
        <v>128</v>
      </c>
      <c r="D291" t="s">
        <v>169</v>
      </c>
      <c r="E291">
        <v>9</v>
      </c>
      <c r="F291" t="str">
        <f>VLOOKUP($C291,VLOOKUP_spp!$A$2:$D$103,4,1)</f>
        <v>Wasp</v>
      </c>
      <c r="G291" t="str">
        <f>VLOOKUP($F291,VLOOKUP_spp!$A$2:$E$102,5,1)</f>
        <v>Hymenoptera</v>
      </c>
      <c r="H291" t="str">
        <f t="shared" si="4"/>
        <v>Sep</v>
      </c>
      <c r="I291">
        <v>1</v>
      </c>
    </row>
    <row r="292" spans="1:9" x14ac:dyDescent="0.35">
      <c r="A292">
        <v>291</v>
      </c>
      <c r="B292" s="2">
        <v>43713</v>
      </c>
      <c r="C292" t="s">
        <v>128</v>
      </c>
      <c r="D292" t="s">
        <v>157</v>
      </c>
      <c r="E292">
        <v>2</v>
      </c>
      <c r="F292" t="str">
        <f>VLOOKUP($C292,VLOOKUP_spp!$A$2:$D$103,4,1)</f>
        <v>Wasp</v>
      </c>
      <c r="G292" t="str">
        <f>VLOOKUP($F292,VLOOKUP_spp!$A$2:$E$102,5,1)</f>
        <v>Hymenoptera</v>
      </c>
      <c r="H292" t="str">
        <f t="shared" si="4"/>
        <v>Sep</v>
      </c>
      <c r="I292">
        <v>1</v>
      </c>
    </row>
    <row r="293" spans="1:9" x14ac:dyDescent="0.35">
      <c r="A293">
        <v>292</v>
      </c>
      <c r="B293" s="2">
        <v>43713</v>
      </c>
      <c r="C293" t="s">
        <v>128</v>
      </c>
      <c r="D293" t="s">
        <v>158</v>
      </c>
      <c r="E293">
        <v>12</v>
      </c>
      <c r="F293" t="str">
        <f>VLOOKUP($C293,VLOOKUP_spp!$A$2:$D$103,4,1)</f>
        <v>Wasp</v>
      </c>
      <c r="G293" t="str">
        <f>VLOOKUP($F293,VLOOKUP_spp!$A$2:$E$102,5,1)</f>
        <v>Hymenoptera</v>
      </c>
      <c r="H293" t="str">
        <f t="shared" si="4"/>
        <v>Sep</v>
      </c>
      <c r="I293">
        <v>1</v>
      </c>
    </row>
    <row r="294" spans="1:9" x14ac:dyDescent="0.35">
      <c r="A294">
        <v>293</v>
      </c>
      <c r="B294" s="2">
        <v>43713</v>
      </c>
      <c r="C294" t="s">
        <v>128</v>
      </c>
      <c r="D294" t="s">
        <v>166</v>
      </c>
      <c r="E294">
        <v>1</v>
      </c>
      <c r="F294" t="str">
        <f>VLOOKUP($C294,VLOOKUP_spp!$A$2:$D$103,4,1)</f>
        <v>Wasp</v>
      </c>
      <c r="G294" t="str">
        <f>VLOOKUP($F294,VLOOKUP_spp!$A$2:$E$102,5,1)</f>
        <v>Hymenoptera</v>
      </c>
      <c r="H294" t="str">
        <f t="shared" si="4"/>
        <v>Sep</v>
      </c>
      <c r="I294">
        <v>1</v>
      </c>
    </row>
    <row r="295" spans="1:9" x14ac:dyDescent="0.35">
      <c r="A295">
        <v>294</v>
      </c>
      <c r="B295" s="2">
        <v>43713</v>
      </c>
      <c r="C295" t="s">
        <v>128</v>
      </c>
      <c r="D295" t="s">
        <v>154</v>
      </c>
      <c r="E295">
        <v>4</v>
      </c>
      <c r="F295" t="str">
        <f>VLOOKUP($C295,VLOOKUP_spp!$A$2:$D$103,4,1)</f>
        <v>Wasp</v>
      </c>
      <c r="G295" t="str">
        <f>VLOOKUP($F295,VLOOKUP_spp!$A$2:$E$102,5,1)</f>
        <v>Hymenoptera</v>
      </c>
      <c r="H295" t="str">
        <f t="shared" si="4"/>
        <v>Sep</v>
      </c>
      <c r="I295">
        <v>1</v>
      </c>
    </row>
    <row r="296" spans="1:9" x14ac:dyDescent="0.35">
      <c r="A296">
        <v>295</v>
      </c>
      <c r="B296" s="2">
        <v>43713</v>
      </c>
      <c r="C296" t="s">
        <v>128</v>
      </c>
      <c r="D296" t="s">
        <v>161</v>
      </c>
      <c r="E296">
        <v>6</v>
      </c>
      <c r="F296" t="str">
        <f>VLOOKUP($C296,VLOOKUP_spp!$A$2:$D$103,4,1)</f>
        <v>Wasp</v>
      </c>
      <c r="G296" t="str">
        <f>VLOOKUP($F296,VLOOKUP_spp!$A$2:$E$102,5,1)</f>
        <v>Hymenoptera</v>
      </c>
      <c r="H296" t="str">
        <f t="shared" si="4"/>
        <v>Sep</v>
      </c>
      <c r="I296">
        <v>1</v>
      </c>
    </row>
    <row r="297" spans="1:9" x14ac:dyDescent="0.35">
      <c r="A297">
        <v>296</v>
      </c>
      <c r="B297" s="2">
        <v>43713</v>
      </c>
      <c r="C297" t="s">
        <v>128</v>
      </c>
      <c r="D297" t="s">
        <v>162</v>
      </c>
      <c r="E297">
        <v>1</v>
      </c>
      <c r="F297" t="str">
        <f>VLOOKUP($C297,VLOOKUP_spp!$A$2:$D$103,4,1)</f>
        <v>Wasp</v>
      </c>
      <c r="G297" t="str">
        <f>VLOOKUP($F297,VLOOKUP_spp!$A$2:$E$102,5,1)</f>
        <v>Hymenoptera</v>
      </c>
      <c r="H297" t="str">
        <f t="shared" si="4"/>
        <v>Sep</v>
      </c>
      <c r="I297">
        <v>1</v>
      </c>
    </row>
    <row r="298" spans="1:9" x14ac:dyDescent="0.35">
      <c r="A298">
        <v>297</v>
      </c>
      <c r="B298" s="2">
        <v>43713</v>
      </c>
      <c r="C298" t="s">
        <v>128</v>
      </c>
      <c r="D298" t="s">
        <v>147</v>
      </c>
      <c r="E298">
        <v>5</v>
      </c>
      <c r="F298" t="str">
        <f>VLOOKUP($C298,VLOOKUP_spp!$A$2:$D$103,4,1)</f>
        <v>Wasp</v>
      </c>
      <c r="G298" t="str">
        <f>VLOOKUP($F298,VLOOKUP_spp!$A$2:$E$102,5,1)</f>
        <v>Hymenoptera</v>
      </c>
      <c r="H298" t="str">
        <f t="shared" si="4"/>
        <v>Sep</v>
      </c>
      <c r="I298">
        <v>1</v>
      </c>
    </row>
    <row r="299" spans="1:9" x14ac:dyDescent="0.35">
      <c r="A299">
        <v>298</v>
      </c>
      <c r="B299" s="2">
        <v>43713</v>
      </c>
      <c r="C299" t="s">
        <v>135</v>
      </c>
      <c r="D299" t="s">
        <v>154</v>
      </c>
      <c r="E299">
        <v>1</v>
      </c>
      <c r="F299" t="str">
        <f>VLOOKUP($C299,VLOOKUP_spp!$A$2:$D$103,4,1)</f>
        <v>Xylocopa</v>
      </c>
      <c r="G299" t="str">
        <f>VLOOKUP($F299,VLOOKUP_spp!$A$2:$E$102,5,1)</f>
        <v>Hymenoptera</v>
      </c>
      <c r="H299" t="str">
        <f t="shared" si="4"/>
        <v>Sep</v>
      </c>
      <c r="I299">
        <v>1</v>
      </c>
    </row>
    <row r="300" spans="1:9" x14ac:dyDescent="0.35">
      <c r="A300">
        <v>299</v>
      </c>
      <c r="B300" s="2">
        <v>43727</v>
      </c>
      <c r="C300" t="s">
        <v>43</v>
      </c>
      <c r="D300" t="s">
        <v>171</v>
      </c>
      <c r="E300">
        <v>1</v>
      </c>
      <c r="F300" t="str">
        <f>VLOOKUP($C300,VLOOKUP_spp!$A$2:$D$103,4,1)</f>
        <v>Anthophora_abrupta</v>
      </c>
      <c r="G300" t="str">
        <f>VLOOKUP($F300,VLOOKUP_spp!$A$2:$E$102,5,1)</f>
        <v>Hymenoptera</v>
      </c>
      <c r="H300" t="str">
        <f t="shared" si="4"/>
        <v>Sep</v>
      </c>
      <c r="I300">
        <v>1</v>
      </c>
    </row>
    <row r="301" spans="1:9" x14ac:dyDescent="0.35">
      <c r="A301">
        <v>300</v>
      </c>
      <c r="B301" s="2">
        <v>43727</v>
      </c>
      <c r="C301" t="s">
        <v>50</v>
      </c>
      <c r="D301" t="s">
        <v>169</v>
      </c>
      <c r="E301">
        <v>1</v>
      </c>
      <c r="F301" t="str">
        <f>VLOOKUP($C301,VLOOKUP_spp!$A$2:$D$103,4,1)</f>
        <v>Apis_mellifera</v>
      </c>
      <c r="G301" t="str">
        <f>VLOOKUP($F301,VLOOKUP_spp!$A$2:$E$102,5,1)</f>
        <v>Hymenoptera</v>
      </c>
      <c r="H301" t="str">
        <f t="shared" si="4"/>
        <v>Sep</v>
      </c>
      <c r="I301">
        <v>1</v>
      </c>
    </row>
    <row r="302" spans="1:9" x14ac:dyDescent="0.35">
      <c r="A302">
        <v>301</v>
      </c>
      <c r="B302" s="2">
        <v>43727</v>
      </c>
      <c r="C302" t="s">
        <v>50</v>
      </c>
      <c r="D302" t="s">
        <v>154</v>
      </c>
      <c r="E302">
        <v>2</v>
      </c>
      <c r="F302" t="str">
        <f>VLOOKUP($C302,VLOOKUP_spp!$A$2:$D$103,4,1)</f>
        <v>Apis_mellifera</v>
      </c>
      <c r="G302" t="str">
        <f>VLOOKUP($F302,VLOOKUP_spp!$A$2:$E$102,5,1)</f>
        <v>Hymenoptera</v>
      </c>
      <c r="H302" t="str">
        <f t="shared" si="4"/>
        <v>Sep</v>
      </c>
      <c r="I302">
        <v>1</v>
      </c>
    </row>
    <row r="303" spans="1:9" x14ac:dyDescent="0.35">
      <c r="A303">
        <v>302</v>
      </c>
      <c r="B303" s="2">
        <v>43727</v>
      </c>
      <c r="C303" t="s">
        <v>50</v>
      </c>
      <c r="D303" t="s">
        <v>160</v>
      </c>
      <c r="E303">
        <v>6</v>
      </c>
      <c r="F303" t="str">
        <f>VLOOKUP($C303,VLOOKUP_spp!$A$2:$D$103,4,1)</f>
        <v>Apis_mellifera</v>
      </c>
      <c r="G303" t="str">
        <f>VLOOKUP($F303,VLOOKUP_spp!$A$2:$E$102,5,1)</f>
        <v>Hymenoptera</v>
      </c>
      <c r="H303" t="str">
        <f t="shared" si="4"/>
        <v>Sep</v>
      </c>
      <c r="I303">
        <v>1</v>
      </c>
    </row>
    <row r="304" spans="1:9" x14ac:dyDescent="0.35">
      <c r="A304">
        <v>303</v>
      </c>
      <c r="B304" s="2">
        <v>43727</v>
      </c>
      <c r="C304" t="s">
        <v>50</v>
      </c>
      <c r="D304" t="s">
        <v>162</v>
      </c>
      <c r="E304">
        <v>8</v>
      </c>
      <c r="F304" t="str">
        <f>VLOOKUP($C304,VLOOKUP_spp!$A$2:$D$103,4,1)</f>
        <v>Apis_mellifera</v>
      </c>
      <c r="G304" t="str">
        <f>VLOOKUP($F304,VLOOKUP_spp!$A$2:$E$102,5,1)</f>
        <v>Hymenoptera</v>
      </c>
      <c r="H304" t="str">
        <f t="shared" si="4"/>
        <v>Sep</v>
      </c>
      <c r="I304">
        <v>1</v>
      </c>
    </row>
    <row r="305" spans="1:9" x14ac:dyDescent="0.35">
      <c r="A305">
        <v>304</v>
      </c>
      <c r="B305" s="2">
        <v>43727</v>
      </c>
      <c r="C305" t="s">
        <v>57</v>
      </c>
      <c r="D305" t="s">
        <v>154</v>
      </c>
      <c r="E305">
        <v>1</v>
      </c>
      <c r="F305" t="str">
        <f>VLOOKUP($C305,VLOOKUP_spp!$A$2:$D$103,4,1)</f>
        <v>Bombus_bimaculatus</v>
      </c>
      <c r="G305" t="str">
        <f>VLOOKUP($F305,VLOOKUP_spp!$A$2:$E$102,5,1)</f>
        <v>Hymenoptera</v>
      </c>
      <c r="H305" t="str">
        <f t="shared" si="4"/>
        <v>Sep</v>
      </c>
      <c r="I305">
        <v>1</v>
      </c>
    </row>
    <row r="306" spans="1:9" x14ac:dyDescent="0.35">
      <c r="A306">
        <v>305</v>
      </c>
      <c r="B306" s="2">
        <v>43727</v>
      </c>
      <c r="C306" t="s">
        <v>58</v>
      </c>
      <c r="D306" t="s">
        <v>172</v>
      </c>
      <c r="E306">
        <v>1</v>
      </c>
      <c r="F306" t="str">
        <f>VLOOKUP($C306,VLOOKUP_spp!$A$2:$D$103,4,1)</f>
        <v>Bombus_citrinus</v>
      </c>
      <c r="G306" t="str">
        <f>VLOOKUP($F306,VLOOKUP_spp!$A$2:$E$102,5,1)</f>
        <v>Hymenoptera</v>
      </c>
      <c r="H306" t="str">
        <f t="shared" si="4"/>
        <v>Sep</v>
      </c>
      <c r="I306">
        <v>1</v>
      </c>
    </row>
    <row r="307" spans="1:9" x14ac:dyDescent="0.35">
      <c r="A307">
        <v>306</v>
      </c>
      <c r="B307" s="2">
        <v>43727</v>
      </c>
      <c r="C307" t="s">
        <v>65</v>
      </c>
      <c r="D307" t="s">
        <v>169</v>
      </c>
      <c r="E307">
        <v>1</v>
      </c>
      <c r="F307" t="str">
        <f>VLOOKUP($C307,VLOOKUP_spp!$A$2:$D$103,4,1)</f>
        <v>Bombus_griseocollis</v>
      </c>
      <c r="G307" t="str">
        <f>VLOOKUP($F307,VLOOKUP_spp!$A$2:$E$102,5,1)</f>
        <v>Hymenoptera</v>
      </c>
      <c r="H307" t="str">
        <f t="shared" si="4"/>
        <v>Sep</v>
      </c>
      <c r="I307">
        <v>1</v>
      </c>
    </row>
    <row r="308" spans="1:9" x14ac:dyDescent="0.35">
      <c r="A308">
        <v>307</v>
      </c>
      <c r="B308" s="2">
        <v>43727</v>
      </c>
      <c r="C308" t="s">
        <v>65</v>
      </c>
      <c r="D308" t="s">
        <v>164</v>
      </c>
      <c r="E308">
        <v>1</v>
      </c>
      <c r="F308" t="str">
        <f>VLOOKUP($C308,VLOOKUP_spp!$A$2:$D$103,4,1)</f>
        <v>Bombus_griseocollis</v>
      </c>
      <c r="G308" t="str">
        <f>VLOOKUP($F308,VLOOKUP_spp!$A$2:$E$102,5,1)</f>
        <v>Hymenoptera</v>
      </c>
      <c r="H308" t="str">
        <f t="shared" si="4"/>
        <v>Sep</v>
      </c>
      <c r="I308">
        <v>1</v>
      </c>
    </row>
    <row r="309" spans="1:9" x14ac:dyDescent="0.35">
      <c r="A309">
        <v>308</v>
      </c>
      <c r="B309" s="2">
        <v>43727</v>
      </c>
      <c r="C309" t="s">
        <v>67</v>
      </c>
      <c r="D309" t="s">
        <v>171</v>
      </c>
      <c r="E309">
        <v>5</v>
      </c>
      <c r="F309" t="str">
        <f>VLOOKUP($C309,VLOOKUP_spp!$A$2:$D$103,4,1)</f>
        <v>Bombus_impatiens</v>
      </c>
      <c r="G309" t="str">
        <f>VLOOKUP($F309,VLOOKUP_spp!$A$2:$E$102,5,1)</f>
        <v>Hymenoptera</v>
      </c>
      <c r="H309" t="str">
        <f t="shared" si="4"/>
        <v>Sep</v>
      </c>
      <c r="I309">
        <v>1</v>
      </c>
    </row>
    <row r="310" spans="1:9" x14ac:dyDescent="0.35">
      <c r="A310">
        <v>309</v>
      </c>
      <c r="B310" s="2">
        <v>43727</v>
      </c>
      <c r="C310" t="s">
        <v>67</v>
      </c>
      <c r="D310" t="s">
        <v>169</v>
      </c>
      <c r="E310">
        <v>5</v>
      </c>
      <c r="F310" t="str">
        <f>VLOOKUP($C310,VLOOKUP_spp!$A$2:$D$103,4,1)</f>
        <v>Bombus_impatiens</v>
      </c>
      <c r="G310" t="str">
        <f>VLOOKUP($F310,VLOOKUP_spp!$A$2:$E$102,5,1)</f>
        <v>Hymenoptera</v>
      </c>
      <c r="H310" t="str">
        <f t="shared" si="4"/>
        <v>Sep</v>
      </c>
      <c r="I310">
        <v>1</v>
      </c>
    </row>
    <row r="311" spans="1:9" x14ac:dyDescent="0.35">
      <c r="A311">
        <v>310</v>
      </c>
      <c r="B311" s="2">
        <v>43727</v>
      </c>
      <c r="C311" t="s">
        <v>67</v>
      </c>
      <c r="D311" t="s">
        <v>157</v>
      </c>
      <c r="E311">
        <v>16</v>
      </c>
      <c r="F311" t="str">
        <f>VLOOKUP($C311,VLOOKUP_spp!$A$2:$D$103,4,1)</f>
        <v>Bombus_impatiens</v>
      </c>
      <c r="G311" t="str">
        <f>VLOOKUP($F311,VLOOKUP_spp!$A$2:$E$102,5,1)</f>
        <v>Hymenoptera</v>
      </c>
      <c r="H311" t="str">
        <f t="shared" si="4"/>
        <v>Sep</v>
      </c>
      <c r="I311">
        <v>1</v>
      </c>
    </row>
    <row r="312" spans="1:9" x14ac:dyDescent="0.35">
      <c r="A312">
        <v>311</v>
      </c>
      <c r="B312" s="2">
        <v>43727</v>
      </c>
      <c r="C312" t="s">
        <v>67</v>
      </c>
      <c r="D312" t="s">
        <v>158</v>
      </c>
      <c r="E312">
        <v>16</v>
      </c>
      <c r="F312" t="str">
        <f>VLOOKUP($C312,VLOOKUP_spp!$A$2:$D$103,4,1)</f>
        <v>Bombus_impatiens</v>
      </c>
      <c r="G312" t="str">
        <f>VLOOKUP($F312,VLOOKUP_spp!$A$2:$E$102,5,1)</f>
        <v>Hymenoptera</v>
      </c>
      <c r="H312" t="str">
        <f t="shared" si="4"/>
        <v>Sep</v>
      </c>
      <c r="I312">
        <v>1</v>
      </c>
    </row>
    <row r="313" spans="1:9" x14ac:dyDescent="0.35">
      <c r="A313">
        <v>312</v>
      </c>
      <c r="B313" s="2">
        <v>43727</v>
      </c>
      <c r="C313" t="s">
        <v>67</v>
      </c>
      <c r="D313" t="s">
        <v>173</v>
      </c>
      <c r="E313">
        <v>25</v>
      </c>
      <c r="F313" t="str">
        <f>VLOOKUP($C313,VLOOKUP_spp!$A$2:$D$103,4,1)</f>
        <v>Bombus_impatiens</v>
      </c>
      <c r="G313" t="str">
        <f>VLOOKUP($F313,VLOOKUP_spp!$A$2:$E$102,5,1)</f>
        <v>Hymenoptera</v>
      </c>
      <c r="H313" t="str">
        <f t="shared" si="4"/>
        <v>Sep</v>
      </c>
      <c r="I313">
        <v>1</v>
      </c>
    </row>
    <row r="314" spans="1:9" x14ac:dyDescent="0.35">
      <c r="A314">
        <v>313</v>
      </c>
      <c r="B314" s="2">
        <v>43727</v>
      </c>
      <c r="C314" t="s">
        <v>67</v>
      </c>
      <c r="D314" t="s">
        <v>154</v>
      </c>
      <c r="E314">
        <v>8</v>
      </c>
      <c r="F314" t="str">
        <f>VLOOKUP($C314,VLOOKUP_spp!$A$2:$D$103,4,1)</f>
        <v>Bombus_impatiens</v>
      </c>
      <c r="G314" t="str">
        <f>VLOOKUP($F314,VLOOKUP_spp!$A$2:$E$102,5,1)</f>
        <v>Hymenoptera</v>
      </c>
      <c r="H314" t="str">
        <f t="shared" si="4"/>
        <v>Sep</v>
      </c>
      <c r="I314">
        <v>1</v>
      </c>
    </row>
    <row r="315" spans="1:9" x14ac:dyDescent="0.35">
      <c r="A315">
        <v>314</v>
      </c>
      <c r="B315" s="2">
        <v>43727</v>
      </c>
      <c r="C315" t="s">
        <v>67</v>
      </c>
      <c r="D315" t="s">
        <v>172</v>
      </c>
      <c r="E315">
        <v>10</v>
      </c>
      <c r="F315" t="str">
        <f>VLOOKUP($C315,VLOOKUP_spp!$A$2:$D$103,4,1)</f>
        <v>Bombus_impatiens</v>
      </c>
      <c r="G315" t="str">
        <f>VLOOKUP($F315,VLOOKUP_spp!$A$2:$E$102,5,1)</f>
        <v>Hymenoptera</v>
      </c>
      <c r="H315" t="str">
        <f t="shared" si="4"/>
        <v>Sep</v>
      </c>
      <c r="I315">
        <v>1</v>
      </c>
    </row>
    <row r="316" spans="1:9" x14ac:dyDescent="0.35">
      <c r="A316">
        <v>315</v>
      </c>
      <c r="B316" s="2">
        <v>43727</v>
      </c>
      <c r="C316" t="s">
        <v>67</v>
      </c>
      <c r="D316" t="s">
        <v>167</v>
      </c>
      <c r="E316">
        <v>1</v>
      </c>
      <c r="F316" t="str">
        <f>VLOOKUP($C316,VLOOKUP_spp!$A$2:$D$103,4,1)</f>
        <v>Bombus_impatiens</v>
      </c>
      <c r="G316" t="str">
        <f>VLOOKUP($F316,VLOOKUP_spp!$A$2:$E$102,5,1)</f>
        <v>Hymenoptera</v>
      </c>
      <c r="H316" t="str">
        <f t="shared" si="4"/>
        <v>Sep</v>
      </c>
      <c r="I316">
        <v>1</v>
      </c>
    </row>
    <row r="317" spans="1:9" x14ac:dyDescent="0.35">
      <c r="A317">
        <v>316</v>
      </c>
      <c r="B317" s="2">
        <v>43727</v>
      </c>
      <c r="C317" t="s">
        <v>67</v>
      </c>
      <c r="D317" t="s">
        <v>160</v>
      </c>
      <c r="E317">
        <v>9</v>
      </c>
      <c r="F317" t="str">
        <f>VLOOKUP($C317,VLOOKUP_spp!$A$2:$D$103,4,1)</f>
        <v>Bombus_impatiens</v>
      </c>
      <c r="G317" t="str">
        <f>VLOOKUP($F317,VLOOKUP_spp!$A$2:$E$102,5,1)</f>
        <v>Hymenoptera</v>
      </c>
      <c r="H317" t="str">
        <f t="shared" si="4"/>
        <v>Sep</v>
      </c>
      <c r="I317">
        <v>1</v>
      </c>
    </row>
    <row r="318" spans="1:9" x14ac:dyDescent="0.35">
      <c r="A318">
        <v>317</v>
      </c>
      <c r="B318" s="2">
        <v>43727</v>
      </c>
      <c r="C318" t="s">
        <v>67</v>
      </c>
      <c r="D318" t="s">
        <v>170</v>
      </c>
      <c r="E318">
        <v>2</v>
      </c>
      <c r="F318" t="str">
        <f>VLOOKUP($C318,VLOOKUP_spp!$A$2:$D$103,4,1)</f>
        <v>Bombus_impatiens</v>
      </c>
      <c r="G318" t="str">
        <f>VLOOKUP($F318,VLOOKUP_spp!$A$2:$E$102,5,1)</f>
        <v>Hymenoptera</v>
      </c>
      <c r="H318" t="str">
        <f t="shared" si="4"/>
        <v>Sep</v>
      </c>
      <c r="I318">
        <v>1</v>
      </c>
    </row>
    <row r="319" spans="1:9" x14ac:dyDescent="0.35">
      <c r="A319">
        <v>318</v>
      </c>
      <c r="B319" s="2">
        <v>43727</v>
      </c>
      <c r="C319" t="s">
        <v>67</v>
      </c>
      <c r="D319" t="s">
        <v>162</v>
      </c>
      <c r="E319">
        <v>29</v>
      </c>
      <c r="F319" t="str">
        <f>VLOOKUP($C319,VLOOKUP_spp!$A$2:$D$103,4,1)</f>
        <v>Bombus_impatiens</v>
      </c>
      <c r="G319" t="str">
        <f>VLOOKUP($F319,VLOOKUP_spp!$A$2:$E$102,5,1)</f>
        <v>Hymenoptera</v>
      </c>
      <c r="H319" t="str">
        <f t="shared" si="4"/>
        <v>Sep</v>
      </c>
      <c r="I319">
        <v>1</v>
      </c>
    </row>
    <row r="320" spans="1:9" x14ac:dyDescent="0.35">
      <c r="A320">
        <v>319</v>
      </c>
      <c r="B320" s="2">
        <v>43727</v>
      </c>
      <c r="C320" t="s">
        <v>67</v>
      </c>
      <c r="D320" t="s">
        <v>164</v>
      </c>
      <c r="E320">
        <v>11</v>
      </c>
      <c r="F320" t="str">
        <f>VLOOKUP($C320,VLOOKUP_spp!$A$2:$D$103,4,1)</f>
        <v>Bombus_impatiens</v>
      </c>
      <c r="G320" t="str">
        <f>VLOOKUP($F320,VLOOKUP_spp!$A$2:$E$102,5,1)</f>
        <v>Hymenoptera</v>
      </c>
      <c r="H320" t="str">
        <f t="shared" si="4"/>
        <v>Sep</v>
      </c>
      <c r="I320">
        <v>1</v>
      </c>
    </row>
    <row r="321" spans="1:9" x14ac:dyDescent="0.35">
      <c r="A321">
        <v>320</v>
      </c>
      <c r="B321" s="2">
        <v>43727</v>
      </c>
      <c r="C321" t="s">
        <v>72</v>
      </c>
      <c r="D321" t="s">
        <v>173</v>
      </c>
      <c r="E321">
        <v>1</v>
      </c>
      <c r="F321" t="str">
        <f>VLOOKUP($C321,VLOOKUP_spp!$A$2:$D$103,4,1)</f>
        <v>Bombus</v>
      </c>
      <c r="G321" t="str">
        <f>VLOOKUP($F321,VLOOKUP_spp!$A$2:$E$102,5,1)</f>
        <v>Hymenoptera</v>
      </c>
      <c r="H321" t="str">
        <f t="shared" si="4"/>
        <v>Sep</v>
      </c>
      <c r="I321">
        <v>1</v>
      </c>
    </row>
    <row r="322" spans="1:9" x14ac:dyDescent="0.35">
      <c r="A322">
        <v>321</v>
      </c>
      <c r="B322" s="2">
        <v>43727</v>
      </c>
      <c r="C322" t="s">
        <v>74</v>
      </c>
      <c r="D322" t="s">
        <v>164</v>
      </c>
      <c r="E322">
        <v>1</v>
      </c>
      <c r="F322" t="str">
        <f>VLOOKUP($C322,VLOOKUP_spp!$A$2:$D$103,4,1)</f>
        <v>Bombus_perplexus</v>
      </c>
      <c r="G322" t="str">
        <f>VLOOKUP($F322,VLOOKUP_spp!$A$2:$E$102,5,1)</f>
        <v>Hymenoptera</v>
      </c>
      <c r="H322" t="str">
        <f t="shared" si="4"/>
        <v>Sep</v>
      </c>
      <c r="I322">
        <v>1</v>
      </c>
    </row>
    <row r="323" spans="1:9" x14ac:dyDescent="0.35">
      <c r="A323">
        <v>322</v>
      </c>
      <c r="B323" s="2">
        <v>43727</v>
      </c>
      <c r="C323" t="s">
        <v>76</v>
      </c>
      <c r="D323" t="s">
        <v>173</v>
      </c>
      <c r="E323">
        <v>1</v>
      </c>
      <c r="F323" t="str">
        <f>VLOOKUP($C323,VLOOKUP_spp!$A$2:$D$103,4,1)</f>
        <v>Bombus_rufocinctus</v>
      </c>
      <c r="G323" t="str">
        <f>VLOOKUP($F323,VLOOKUP_spp!$A$2:$E$102,5,1)</f>
        <v>Hymenoptera</v>
      </c>
      <c r="H323" t="str">
        <f t="shared" ref="H323:H386" si="5">TEXT(B323, "mmm")</f>
        <v>Sep</v>
      </c>
      <c r="I323">
        <v>1</v>
      </c>
    </row>
    <row r="324" spans="1:9" x14ac:dyDescent="0.35">
      <c r="A324">
        <v>323</v>
      </c>
      <c r="B324" s="2">
        <v>43727</v>
      </c>
      <c r="C324" t="s">
        <v>77</v>
      </c>
      <c r="D324" t="s">
        <v>154</v>
      </c>
      <c r="E324">
        <v>1</v>
      </c>
      <c r="F324" t="str">
        <f>VLOOKUP($C324,VLOOKUP_spp!$A$2:$D$103,4,1)</f>
        <v>Bombus_vagans_sandersoni</v>
      </c>
      <c r="G324" t="str">
        <f>VLOOKUP($F324,VLOOKUP_spp!$A$2:$E$102,5,1)</f>
        <v>Hymenoptera</v>
      </c>
      <c r="H324" t="str">
        <f t="shared" si="5"/>
        <v>Sep</v>
      </c>
      <c r="I324">
        <v>1</v>
      </c>
    </row>
    <row r="325" spans="1:9" x14ac:dyDescent="0.35">
      <c r="A325">
        <v>324</v>
      </c>
      <c r="B325" s="2">
        <v>43727</v>
      </c>
      <c r="C325" t="s">
        <v>7</v>
      </c>
      <c r="D325" t="s">
        <v>147</v>
      </c>
      <c r="E325">
        <v>1</v>
      </c>
      <c r="F325" t="str">
        <f>VLOOKUP($C325,VLOOKUP_spp!$A$2:$D$103,4,1)</f>
        <v>Coleoptera</v>
      </c>
      <c r="G325" t="str">
        <f>VLOOKUP($F325,VLOOKUP_spp!$A$2:$E$102,5,1)</f>
        <v>Coleoptera</v>
      </c>
      <c r="H325" t="str">
        <f t="shared" si="5"/>
        <v>Sep</v>
      </c>
      <c r="I325">
        <v>1</v>
      </c>
    </row>
    <row r="326" spans="1:9" x14ac:dyDescent="0.35">
      <c r="A326">
        <v>325</v>
      </c>
      <c r="B326" s="2">
        <v>43727</v>
      </c>
      <c r="C326" t="s">
        <v>7</v>
      </c>
      <c r="D326" t="s">
        <v>164</v>
      </c>
      <c r="E326">
        <v>1</v>
      </c>
      <c r="F326" t="str">
        <f>VLOOKUP($C326,VLOOKUP_spp!$A$2:$D$103,4,1)</f>
        <v>Coleoptera</v>
      </c>
      <c r="G326" t="str">
        <f>VLOOKUP($F326,VLOOKUP_spp!$A$2:$E$102,5,1)</f>
        <v>Coleoptera</v>
      </c>
      <c r="H326" t="str">
        <f t="shared" si="5"/>
        <v>Sep</v>
      </c>
      <c r="I326">
        <v>1</v>
      </c>
    </row>
    <row r="327" spans="1:9" x14ac:dyDescent="0.35">
      <c r="A327">
        <v>326</v>
      </c>
      <c r="B327" s="2">
        <v>43727</v>
      </c>
      <c r="C327" t="s">
        <v>6</v>
      </c>
      <c r="D327" t="s">
        <v>157</v>
      </c>
      <c r="E327">
        <v>3</v>
      </c>
      <c r="F327" t="str">
        <f>VLOOKUP($C327,VLOOKUP_spp!$A$2:$D$103,4,1)</f>
        <v>Diptera</v>
      </c>
      <c r="G327" t="str">
        <f>VLOOKUP($F327,VLOOKUP_spp!$A$2:$E$102,5,1)</f>
        <v>Diptera</v>
      </c>
      <c r="H327" t="str">
        <f t="shared" si="5"/>
        <v>Sep</v>
      </c>
      <c r="I327">
        <v>1</v>
      </c>
    </row>
    <row r="328" spans="1:9" x14ac:dyDescent="0.35">
      <c r="A328">
        <v>327</v>
      </c>
      <c r="B328" s="2">
        <v>43727</v>
      </c>
      <c r="C328" t="s">
        <v>8</v>
      </c>
      <c r="D328" t="s">
        <v>157</v>
      </c>
      <c r="E328">
        <v>3</v>
      </c>
      <c r="F328" t="str">
        <f>VLOOKUP($C328,VLOOKUP_spp!$A$2:$D$103,4,1)</f>
        <v>Lepidoptera</v>
      </c>
      <c r="G328" t="str">
        <f>VLOOKUP($F328,VLOOKUP_spp!$A$2:$E$102,5,1)</f>
        <v>Lepidoptera</v>
      </c>
      <c r="H328" t="str">
        <f t="shared" si="5"/>
        <v>Sep</v>
      </c>
      <c r="I328">
        <v>1</v>
      </c>
    </row>
    <row r="329" spans="1:9" x14ac:dyDescent="0.35">
      <c r="A329">
        <v>328</v>
      </c>
      <c r="B329" s="2">
        <v>43727</v>
      </c>
      <c r="C329" t="s">
        <v>126</v>
      </c>
      <c r="D329" t="s">
        <v>173</v>
      </c>
      <c r="E329">
        <v>1</v>
      </c>
      <c r="F329" t="str">
        <f>VLOOKUP($C329,VLOOKUP_spp!$A$2:$D$103,4,1)</f>
        <v>Syrphidae</v>
      </c>
      <c r="G329" t="str">
        <f>VLOOKUP($F329,VLOOKUP_spp!$A$2:$E$102,5,1)</f>
        <v>Diptera</v>
      </c>
      <c r="H329" t="str">
        <f t="shared" si="5"/>
        <v>Sep</v>
      </c>
      <c r="I329">
        <v>1</v>
      </c>
    </row>
    <row r="330" spans="1:9" x14ac:dyDescent="0.35">
      <c r="A330">
        <v>329</v>
      </c>
      <c r="B330" s="2">
        <v>43727</v>
      </c>
      <c r="C330" t="s">
        <v>128</v>
      </c>
      <c r="D330" t="s">
        <v>157</v>
      </c>
      <c r="E330">
        <v>2</v>
      </c>
      <c r="F330" t="str">
        <f>VLOOKUP($C330,VLOOKUP_spp!$A$2:$D$103,4,1)</f>
        <v>Wasp</v>
      </c>
      <c r="G330" t="str">
        <f>VLOOKUP($F330,VLOOKUP_spp!$A$2:$E$102,5,1)</f>
        <v>Hymenoptera</v>
      </c>
      <c r="H330" t="str">
        <f t="shared" si="5"/>
        <v>Sep</v>
      </c>
      <c r="I330">
        <v>1</v>
      </c>
    </row>
    <row r="331" spans="1:9" x14ac:dyDescent="0.35">
      <c r="A331">
        <v>330</v>
      </c>
      <c r="B331" s="2">
        <v>43727</v>
      </c>
      <c r="C331" t="s">
        <v>128</v>
      </c>
      <c r="D331" t="s">
        <v>172</v>
      </c>
      <c r="E331">
        <v>1</v>
      </c>
      <c r="F331" t="str">
        <f>VLOOKUP($C331,VLOOKUP_spp!$A$2:$D$103,4,1)</f>
        <v>Wasp</v>
      </c>
      <c r="G331" t="str">
        <f>VLOOKUP($F331,VLOOKUP_spp!$A$2:$E$102,5,1)</f>
        <v>Hymenoptera</v>
      </c>
      <c r="H331" t="str">
        <f t="shared" si="5"/>
        <v>Sep</v>
      </c>
      <c r="I331">
        <v>1</v>
      </c>
    </row>
    <row r="332" spans="1:9" x14ac:dyDescent="0.35">
      <c r="A332">
        <v>331</v>
      </c>
      <c r="B332" s="2">
        <v>43727</v>
      </c>
      <c r="C332" t="s">
        <v>128</v>
      </c>
      <c r="D332" t="s">
        <v>170</v>
      </c>
      <c r="E332">
        <v>3</v>
      </c>
      <c r="F332" t="str">
        <f>VLOOKUP($C332,VLOOKUP_spp!$A$2:$D$103,4,1)</f>
        <v>Wasp</v>
      </c>
      <c r="G332" t="str">
        <f>VLOOKUP($F332,VLOOKUP_spp!$A$2:$E$102,5,1)</f>
        <v>Hymenoptera</v>
      </c>
      <c r="H332" t="str">
        <f t="shared" si="5"/>
        <v>Sep</v>
      </c>
      <c r="I332">
        <v>1</v>
      </c>
    </row>
    <row r="333" spans="1:9" x14ac:dyDescent="0.35">
      <c r="A333">
        <v>332</v>
      </c>
      <c r="B333" s="2">
        <v>43727</v>
      </c>
      <c r="C333" t="s">
        <v>128</v>
      </c>
      <c r="D333" t="s">
        <v>162</v>
      </c>
      <c r="E333">
        <v>2</v>
      </c>
      <c r="F333" t="str">
        <f>VLOOKUP($C333,VLOOKUP_spp!$A$2:$D$103,4,1)</f>
        <v>Wasp</v>
      </c>
      <c r="G333" t="str">
        <f>VLOOKUP($F333,VLOOKUP_spp!$A$2:$E$102,5,1)</f>
        <v>Hymenoptera</v>
      </c>
      <c r="H333" t="str">
        <f t="shared" si="5"/>
        <v>Sep</v>
      </c>
      <c r="I333">
        <v>1</v>
      </c>
    </row>
    <row r="334" spans="1:9" x14ac:dyDescent="0.35">
      <c r="A334">
        <v>333</v>
      </c>
      <c r="B334" s="2">
        <v>43727</v>
      </c>
      <c r="C334" t="s">
        <v>128</v>
      </c>
      <c r="D334" t="s">
        <v>147</v>
      </c>
      <c r="E334">
        <v>4</v>
      </c>
      <c r="F334" t="str">
        <f>VLOOKUP($C334,VLOOKUP_spp!$A$2:$D$103,4,1)</f>
        <v>Wasp</v>
      </c>
      <c r="G334" t="str">
        <f>VLOOKUP($F334,VLOOKUP_spp!$A$2:$E$102,5,1)</f>
        <v>Hymenoptera</v>
      </c>
      <c r="H334" t="str">
        <f t="shared" si="5"/>
        <v>Sep</v>
      </c>
      <c r="I334">
        <v>1</v>
      </c>
    </row>
    <row r="335" spans="1:9" x14ac:dyDescent="0.35">
      <c r="A335">
        <v>334</v>
      </c>
      <c r="B335" s="2">
        <v>43731</v>
      </c>
      <c r="C335" t="s">
        <v>48</v>
      </c>
      <c r="D335" t="s">
        <v>158</v>
      </c>
      <c r="E335">
        <v>1</v>
      </c>
      <c r="F335" t="str">
        <f>VLOOKUP($C335,VLOOKUP_spp!$A$2:$D$103,4,1)</f>
        <v>Apis_mellifera</v>
      </c>
      <c r="G335" t="str">
        <f>VLOOKUP($F335,VLOOKUP_spp!$A$2:$E$102,5,1)</f>
        <v>Hymenoptera</v>
      </c>
      <c r="H335" t="str">
        <f t="shared" si="5"/>
        <v>Sep</v>
      </c>
      <c r="I335">
        <v>1</v>
      </c>
    </row>
    <row r="336" spans="1:9" x14ac:dyDescent="0.35">
      <c r="A336">
        <v>335</v>
      </c>
      <c r="B336" s="2">
        <v>43731</v>
      </c>
      <c r="C336" t="s">
        <v>50</v>
      </c>
      <c r="D336" t="s">
        <v>171</v>
      </c>
      <c r="E336">
        <v>1</v>
      </c>
      <c r="F336" t="str">
        <f>VLOOKUP($C336,VLOOKUP_spp!$A$2:$D$103,4,1)</f>
        <v>Apis_mellifera</v>
      </c>
      <c r="G336" t="str">
        <f>VLOOKUP($F336,VLOOKUP_spp!$A$2:$E$102,5,1)</f>
        <v>Hymenoptera</v>
      </c>
      <c r="H336" t="str">
        <f t="shared" si="5"/>
        <v>Sep</v>
      </c>
      <c r="I336">
        <v>1</v>
      </c>
    </row>
    <row r="337" spans="1:9" x14ac:dyDescent="0.35">
      <c r="A337">
        <v>336</v>
      </c>
      <c r="B337" s="2">
        <v>43731</v>
      </c>
      <c r="C337" t="s">
        <v>50</v>
      </c>
      <c r="D337" t="s">
        <v>169</v>
      </c>
      <c r="E337">
        <v>2</v>
      </c>
      <c r="F337" t="str">
        <f>VLOOKUP($C337,VLOOKUP_spp!$A$2:$D$103,4,1)</f>
        <v>Apis_mellifera</v>
      </c>
      <c r="G337" t="str">
        <f>VLOOKUP($F337,VLOOKUP_spp!$A$2:$E$102,5,1)</f>
        <v>Hymenoptera</v>
      </c>
      <c r="H337" t="str">
        <f t="shared" si="5"/>
        <v>Sep</v>
      </c>
      <c r="I337">
        <v>1</v>
      </c>
    </row>
    <row r="338" spans="1:9" x14ac:dyDescent="0.35">
      <c r="A338">
        <v>337</v>
      </c>
      <c r="B338" s="2">
        <v>43731</v>
      </c>
      <c r="C338" t="s">
        <v>50</v>
      </c>
      <c r="D338" t="s">
        <v>158</v>
      </c>
      <c r="E338">
        <v>3</v>
      </c>
      <c r="F338" t="str">
        <f>VLOOKUP($C338,VLOOKUP_spp!$A$2:$D$103,4,1)</f>
        <v>Apis_mellifera</v>
      </c>
      <c r="G338" t="str">
        <f>VLOOKUP($F338,VLOOKUP_spp!$A$2:$E$102,5,1)</f>
        <v>Hymenoptera</v>
      </c>
      <c r="H338" t="str">
        <f t="shared" si="5"/>
        <v>Sep</v>
      </c>
      <c r="I338">
        <v>1</v>
      </c>
    </row>
    <row r="339" spans="1:9" x14ac:dyDescent="0.35">
      <c r="A339">
        <v>338</v>
      </c>
      <c r="B339" s="2">
        <v>43731</v>
      </c>
      <c r="C339" t="s">
        <v>50</v>
      </c>
      <c r="D339" t="s">
        <v>166</v>
      </c>
      <c r="E339">
        <v>1</v>
      </c>
      <c r="F339" t="str">
        <f>VLOOKUP($C339,VLOOKUP_spp!$A$2:$D$103,4,1)</f>
        <v>Apis_mellifera</v>
      </c>
      <c r="G339" t="str">
        <f>VLOOKUP($F339,VLOOKUP_spp!$A$2:$E$102,5,1)</f>
        <v>Hymenoptera</v>
      </c>
      <c r="H339" t="str">
        <f t="shared" si="5"/>
        <v>Sep</v>
      </c>
      <c r="I339">
        <v>1</v>
      </c>
    </row>
    <row r="340" spans="1:9" x14ac:dyDescent="0.35">
      <c r="A340">
        <v>339</v>
      </c>
      <c r="B340" s="2">
        <v>43731</v>
      </c>
      <c r="C340" t="s">
        <v>50</v>
      </c>
      <c r="D340" t="s">
        <v>173</v>
      </c>
      <c r="E340">
        <v>3</v>
      </c>
      <c r="F340" t="str">
        <f>VLOOKUP($C340,VLOOKUP_spp!$A$2:$D$103,4,1)</f>
        <v>Apis_mellifera</v>
      </c>
      <c r="G340" t="str">
        <f>VLOOKUP($F340,VLOOKUP_spp!$A$2:$E$102,5,1)</f>
        <v>Hymenoptera</v>
      </c>
      <c r="H340" t="str">
        <f t="shared" si="5"/>
        <v>Sep</v>
      </c>
      <c r="I340">
        <v>1</v>
      </c>
    </row>
    <row r="341" spans="1:9" x14ac:dyDescent="0.35">
      <c r="A341">
        <v>340</v>
      </c>
      <c r="B341" s="2">
        <v>43731</v>
      </c>
      <c r="C341" t="s">
        <v>50</v>
      </c>
      <c r="D341" t="s">
        <v>172</v>
      </c>
      <c r="E341">
        <v>4</v>
      </c>
      <c r="F341" t="str">
        <f>VLOOKUP($C341,VLOOKUP_spp!$A$2:$D$103,4,1)</f>
        <v>Apis_mellifera</v>
      </c>
      <c r="G341" t="str">
        <f>VLOOKUP($F341,VLOOKUP_spp!$A$2:$E$102,5,1)</f>
        <v>Hymenoptera</v>
      </c>
      <c r="H341" t="str">
        <f t="shared" si="5"/>
        <v>Sep</v>
      </c>
      <c r="I341">
        <v>1</v>
      </c>
    </row>
    <row r="342" spans="1:9" x14ac:dyDescent="0.35">
      <c r="A342">
        <v>341</v>
      </c>
      <c r="B342" s="2">
        <v>43731</v>
      </c>
      <c r="C342" t="s">
        <v>50</v>
      </c>
      <c r="D342" t="s">
        <v>162</v>
      </c>
      <c r="E342">
        <v>14</v>
      </c>
      <c r="F342" t="str">
        <f>VLOOKUP($C342,VLOOKUP_spp!$A$2:$D$103,4,1)</f>
        <v>Apis_mellifera</v>
      </c>
      <c r="G342" t="str">
        <f>VLOOKUP($F342,VLOOKUP_spp!$A$2:$E$102,5,1)</f>
        <v>Hymenoptera</v>
      </c>
      <c r="H342" t="str">
        <f t="shared" si="5"/>
        <v>Sep</v>
      </c>
      <c r="I342">
        <v>1</v>
      </c>
    </row>
    <row r="343" spans="1:9" x14ac:dyDescent="0.35">
      <c r="A343">
        <v>342</v>
      </c>
      <c r="B343" s="2">
        <v>43731</v>
      </c>
      <c r="C343" t="s">
        <v>50</v>
      </c>
      <c r="D343" t="s">
        <v>147</v>
      </c>
      <c r="E343">
        <v>1</v>
      </c>
      <c r="F343" t="str">
        <f>VLOOKUP($C343,VLOOKUP_spp!$A$2:$D$103,4,1)</f>
        <v>Apis_mellifera</v>
      </c>
      <c r="G343" t="str">
        <f>VLOOKUP($F343,VLOOKUP_spp!$A$2:$E$102,5,1)</f>
        <v>Hymenoptera</v>
      </c>
      <c r="H343" t="str">
        <f t="shared" si="5"/>
        <v>Sep</v>
      </c>
      <c r="I343">
        <v>1</v>
      </c>
    </row>
    <row r="344" spans="1:9" x14ac:dyDescent="0.35">
      <c r="A344">
        <v>343</v>
      </c>
      <c r="B344" s="2">
        <v>43731</v>
      </c>
      <c r="C344" t="s">
        <v>50</v>
      </c>
      <c r="D344" t="s">
        <v>156</v>
      </c>
      <c r="E344">
        <v>6</v>
      </c>
      <c r="F344" t="str">
        <f>VLOOKUP($C344,VLOOKUP_spp!$A$2:$D$103,4,1)</f>
        <v>Apis_mellifera</v>
      </c>
      <c r="G344" t="str">
        <f>VLOOKUP($F344,VLOOKUP_spp!$A$2:$E$102,5,1)</f>
        <v>Hymenoptera</v>
      </c>
      <c r="H344" t="str">
        <f t="shared" si="5"/>
        <v>Sep</v>
      </c>
      <c r="I344">
        <v>1</v>
      </c>
    </row>
    <row r="345" spans="1:9" x14ac:dyDescent="0.35">
      <c r="A345">
        <v>344</v>
      </c>
      <c r="B345" s="2">
        <v>43731</v>
      </c>
      <c r="C345" t="s">
        <v>51</v>
      </c>
      <c r="D345" t="s">
        <v>169</v>
      </c>
      <c r="E345">
        <v>1</v>
      </c>
      <c r="F345" t="str">
        <f>VLOOKUP($C345,VLOOKUP_spp!$A$2:$D$103,4,1)</f>
        <v>Augochlora</v>
      </c>
      <c r="G345" t="str">
        <f>VLOOKUP($F345,VLOOKUP_spp!$A$2:$E$102,5,1)</f>
        <v>Hymenoptera</v>
      </c>
      <c r="H345" t="str">
        <f t="shared" si="5"/>
        <v>Sep</v>
      </c>
      <c r="I345">
        <v>1</v>
      </c>
    </row>
    <row r="346" spans="1:9" x14ac:dyDescent="0.35">
      <c r="A346">
        <v>345</v>
      </c>
      <c r="B346" s="2">
        <v>43731</v>
      </c>
      <c r="C346" t="s">
        <v>51</v>
      </c>
      <c r="D346" t="s">
        <v>158</v>
      </c>
      <c r="E346">
        <v>5</v>
      </c>
      <c r="F346" t="str">
        <f>VLOOKUP($C346,VLOOKUP_spp!$A$2:$D$103,4,1)</f>
        <v>Augochlora</v>
      </c>
      <c r="G346" t="str">
        <f>VLOOKUP($F346,VLOOKUP_spp!$A$2:$E$102,5,1)</f>
        <v>Hymenoptera</v>
      </c>
      <c r="H346" t="str">
        <f t="shared" si="5"/>
        <v>Sep</v>
      </c>
      <c r="I346">
        <v>1</v>
      </c>
    </row>
    <row r="347" spans="1:9" x14ac:dyDescent="0.35">
      <c r="A347">
        <v>346</v>
      </c>
      <c r="B347" s="2">
        <v>43731</v>
      </c>
      <c r="C347" t="s">
        <v>53</v>
      </c>
      <c r="D347" t="s">
        <v>169</v>
      </c>
      <c r="E347">
        <v>6</v>
      </c>
      <c r="F347" t="str">
        <f>VLOOKUP($C347,VLOOKUP_spp!$A$2:$D$103,4,1)</f>
        <v>Augochloropsis</v>
      </c>
      <c r="G347" t="str">
        <f>VLOOKUP($F347,VLOOKUP_spp!$A$2:$E$102,5,1)</f>
        <v>Hymenoptera</v>
      </c>
      <c r="H347" t="str">
        <f t="shared" si="5"/>
        <v>Sep</v>
      </c>
      <c r="I347">
        <v>1</v>
      </c>
    </row>
    <row r="348" spans="1:9" x14ac:dyDescent="0.35">
      <c r="A348">
        <v>347</v>
      </c>
      <c r="B348" s="2">
        <v>43731</v>
      </c>
      <c r="C348" t="s">
        <v>62</v>
      </c>
      <c r="D348" t="s">
        <v>172</v>
      </c>
      <c r="E348">
        <v>1</v>
      </c>
      <c r="F348" t="str">
        <f>VLOOKUP($C348,VLOOKUP_spp!$A$2:$D$103,4,1)</f>
        <v>Bombus</v>
      </c>
      <c r="G348" t="str">
        <f>VLOOKUP($F348,VLOOKUP_spp!$A$2:$E$102,5,1)</f>
        <v>Hymenoptera</v>
      </c>
      <c r="H348" t="str">
        <f t="shared" si="5"/>
        <v>Sep</v>
      </c>
      <c r="I348">
        <v>1</v>
      </c>
    </row>
    <row r="349" spans="1:9" x14ac:dyDescent="0.35">
      <c r="A349">
        <v>348</v>
      </c>
      <c r="B349" s="2">
        <v>43731</v>
      </c>
      <c r="C349" t="s">
        <v>67</v>
      </c>
      <c r="D349" t="s">
        <v>158</v>
      </c>
      <c r="E349">
        <v>1</v>
      </c>
      <c r="F349" t="str">
        <f>VLOOKUP($C349,VLOOKUP_spp!$A$2:$D$103,4,1)</f>
        <v>Bombus_impatiens</v>
      </c>
      <c r="G349" t="str">
        <f>VLOOKUP($F349,VLOOKUP_spp!$A$2:$E$102,5,1)</f>
        <v>Hymenoptera</v>
      </c>
      <c r="H349" t="str">
        <f t="shared" si="5"/>
        <v>Sep</v>
      </c>
      <c r="I349">
        <v>1</v>
      </c>
    </row>
    <row r="350" spans="1:9" x14ac:dyDescent="0.35">
      <c r="A350">
        <v>349</v>
      </c>
      <c r="B350" s="2">
        <v>43731</v>
      </c>
      <c r="C350" t="s">
        <v>7</v>
      </c>
      <c r="D350" t="s">
        <v>169</v>
      </c>
      <c r="E350">
        <v>2</v>
      </c>
      <c r="F350" t="str">
        <f>VLOOKUP($C350,VLOOKUP_spp!$A$2:$D$103,4,1)</f>
        <v>Coleoptera</v>
      </c>
      <c r="G350" t="str">
        <f>VLOOKUP($F350,VLOOKUP_spp!$A$2:$E$102,5,1)</f>
        <v>Coleoptera</v>
      </c>
      <c r="H350" t="str">
        <f t="shared" si="5"/>
        <v>Sep</v>
      </c>
      <c r="I350">
        <v>1</v>
      </c>
    </row>
    <row r="351" spans="1:9" x14ac:dyDescent="0.35">
      <c r="A351">
        <v>350</v>
      </c>
      <c r="B351" s="2">
        <v>43731</v>
      </c>
      <c r="C351" t="s">
        <v>7</v>
      </c>
      <c r="D351" t="s">
        <v>158</v>
      </c>
      <c r="E351">
        <v>5</v>
      </c>
      <c r="F351" t="str">
        <f>VLOOKUP($C351,VLOOKUP_spp!$A$2:$D$103,4,1)</f>
        <v>Coleoptera</v>
      </c>
      <c r="G351" t="str">
        <f>VLOOKUP($F351,VLOOKUP_spp!$A$2:$E$102,5,1)</f>
        <v>Coleoptera</v>
      </c>
      <c r="H351" t="str">
        <f t="shared" si="5"/>
        <v>Sep</v>
      </c>
      <c r="I351">
        <v>1</v>
      </c>
    </row>
    <row r="352" spans="1:9" x14ac:dyDescent="0.35">
      <c r="A352">
        <v>351</v>
      </c>
      <c r="B352" s="2">
        <v>43731</v>
      </c>
      <c r="C352" t="s">
        <v>7</v>
      </c>
      <c r="D352" t="s">
        <v>172</v>
      </c>
      <c r="E352">
        <v>2</v>
      </c>
      <c r="F352" t="str">
        <f>VLOOKUP($C352,VLOOKUP_spp!$A$2:$D$103,4,1)</f>
        <v>Coleoptera</v>
      </c>
      <c r="G352" t="str">
        <f>VLOOKUP($F352,VLOOKUP_spp!$A$2:$E$102,5,1)</f>
        <v>Coleoptera</v>
      </c>
      <c r="H352" t="str">
        <f t="shared" si="5"/>
        <v>Sep</v>
      </c>
      <c r="I352">
        <v>1</v>
      </c>
    </row>
    <row r="353" spans="1:9" x14ac:dyDescent="0.35">
      <c r="A353">
        <v>352</v>
      </c>
      <c r="B353" s="2">
        <v>43731</v>
      </c>
      <c r="C353" t="s">
        <v>7</v>
      </c>
      <c r="D353" t="s">
        <v>162</v>
      </c>
      <c r="E353">
        <v>4</v>
      </c>
      <c r="F353" t="str">
        <f>VLOOKUP($C353,VLOOKUP_spp!$A$2:$D$103,4,1)</f>
        <v>Coleoptera</v>
      </c>
      <c r="G353" t="str">
        <f>VLOOKUP($F353,VLOOKUP_spp!$A$2:$E$102,5,1)</f>
        <v>Coleoptera</v>
      </c>
      <c r="H353" t="str">
        <f t="shared" si="5"/>
        <v>Sep</v>
      </c>
      <c r="I353">
        <v>1</v>
      </c>
    </row>
    <row r="354" spans="1:9" x14ac:dyDescent="0.35">
      <c r="A354">
        <v>353</v>
      </c>
      <c r="B354" s="2">
        <v>43731</v>
      </c>
      <c r="C354" t="s">
        <v>6</v>
      </c>
      <c r="D354" t="s">
        <v>158</v>
      </c>
      <c r="E354">
        <v>4</v>
      </c>
      <c r="F354" t="str">
        <f>VLOOKUP($C354,VLOOKUP_spp!$A$2:$D$103,4,1)</f>
        <v>Diptera</v>
      </c>
      <c r="G354" t="str">
        <f>VLOOKUP($F354,VLOOKUP_spp!$A$2:$E$102,5,1)</f>
        <v>Diptera</v>
      </c>
      <c r="H354" t="str">
        <f t="shared" si="5"/>
        <v>Sep</v>
      </c>
      <c r="I354">
        <v>1</v>
      </c>
    </row>
    <row r="355" spans="1:9" x14ac:dyDescent="0.35">
      <c r="A355">
        <v>354</v>
      </c>
      <c r="B355" s="2">
        <v>43731</v>
      </c>
      <c r="C355" t="s">
        <v>6</v>
      </c>
      <c r="D355" t="s">
        <v>172</v>
      </c>
      <c r="E355">
        <v>1</v>
      </c>
      <c r="F355" t="str">
        <f>VLOOKUP($C355,VLOOKUP_spp!$A$2:$D$103,4,1)</f>
        <v>Diptera</v>
      </c>
      <c r="G355" t="str">
        <f>VLOOKUP($F355,VLOOKUP_spp!$A$2:$E$102,5,1)</f>
        <v>Diptera</v>
      </c>
      <c r="H355" t="str">
        <f t="shared" si="5"/>
        <v>Sep</v>
      </c>
      <c r="I355">
        <v>1</v>
      </c>
    </row>
    <row r="356" spans="1:9" x14ac:dyDescent="0.35">
      <c r="A356">
        <v>355</v>
      </c>
      <c r="B356" s="2">
        <v>43731</v>
      </c>
      <c r="C356" t="s">
        <v>6</v>
      </c>
      <c r="D356" t="s">
        <v>162</v>
      </c>
      <c r="E356">
        <v>6</v>
      </c>
      <c r="F356" t="str">
        <f>VLOOKUP($C356,VLOOKUP_spp!$A$2:$D$103,4,1)</f>
        <v>Diptera</v>
      </c>
      <c r="G356" t="str">
        <f>VLOOKUP($F356,VLOOKUP_spp!$A$2:$E$102,5,1)</f>
        <v>Diptera</v>
      </c>
      <c r="H356" t="str">
        <f t="shared" si="5"/>
        <v>Sep</v>
      </c>
      <c r="I356">
        <v>1</v>
      </c>
    </row>
    <row r="357" spans="1:9" x14ac:dyDescent="0.35">
      <c r="A357">
        <v>356</v>
      </c>
      <c r="B357" s="2">
        <v>43731</v>
      </c>
      <c r="C357" t="s">
        <v>6</v>
      </c>
      <c r="D357" t="s">
        <v>147</v>
      </c>
      <c r="E357">
        <v>3</v>
      </c>
      <c r="F357" t="str">
        <f>VLOOKUP($C357,VLOOKUP_spp!$A$2:$D$103,4,1)</f>
        <v>Diptera</v>
      </c>
      <c r="G357" t="str">
        <f>VLOOKUP($F357,VLOOKUP_spp!$A$2:$E$102,5,1)</f>
        <v>Diptera</v>
      </c>
      <c r="H357" t="str">
        <f t="shared" si="5"/>
        <v>Sep</v>
      </c>
      <c r="I357">
        <v>1</v>
      </c>
    </row>
    <row r="358" spans="1:9" x14ac:dyDescent="0.35">
      <c r="A358">
        <v>357</v>
      </c>
      <c r="B358" s="2">
        <v>43731</v>
      </c>
      <c r="C358" t="s">
        <v>104</v>
      </c>
      <c r="D358" t="s">
        <v>172</v>
      </c>
      <c r="E358">
        <v>1</v>
      </c>
      <c r="F358" t="str">
        <f>VLOOKUP($C358,VLOOKUP_spp!$A$2:$D$103,4,1)</f>
        <v>Hylaeus_leptocephalus</v>
      </c>
      <c r="G358" t="str">
        <f>VLOOKUP($F358,VLOOKUP_spp!$A$2:$E$102,5,1)</f>
        <v>Hymenoptera</v>
      </c>
      <c r="H358" t="str">
        <f t="shared" si="5"/>
        <v>Sep</v>
      </c>
      <c r="I358">
        <v>1</v>
      </c>
    </row>
    <row r="359" spans="1:9" x14ac:dyDescent="0.35">
      <c r="A359">
        <v>358</v>
      </c>
      <c r="B359" s="2">
        <v>43731</v>
      </c>
      <c r="C359" t="s">
        <v>106</v>
      </c>
      <c r="D359" t="s">
        <v>166</v>
      </c>
      <c r="E359">
        <v>1</v>
      </c>
      <c r="F359" t="str">
        <f>VLOOKUP($C359,VLOOKUP_spp!$A$2:$D$103,4,1)</f>
        <v>Lasioglossum</v>
      </c>
      <c r="G359" t="str">
        <f>VLOOKUP($F359,VLOOKUP_spp!$A$2:$E$102,5,1)</f>
        <v>Hymenoptera</v>
      </c>
      <c r="H359" t="str">
        <f t="shared" si="5"/>
        <v>Sep</v>
      </c>
      <c r="I359">
        <v>1</v>
      </c>
    </row>
    <row r="360" spans="1:9" x14ac:dyDescent="0.35">
      <c r="A360">
        <v>359</v>
      </c>
      <c r="B360" s="2">
        <v>43731</v>
      </c>
      <c r="C360" t="s">
        <v>106</v>
      </c>
      <c r="D360" t="s">
        <v>172</v>
      </c>
      <c r="E360">
        <v>1</v>
      </c>
      <c r="F360" t="str">
        <f>VLOOKUP($C360,VLOOKUP_spp!$A$2:$D$103,4,1)</f>
        <v>Lasioglossum</v>
      </c>
      <c r="G360" t="str">
        <f>VLOOKUP($F360,VLOOKUP_spp!$A$2:$E$102,5,1)</f>
        <v>Hymenoptera</v>
      </c>
      <c r="H360" t="str">
        <f t="shared" si="5"/>
        <v>Sep</v>
      </c>
      <c r="I360">
        <v>1</v>
      </c>
    </row>
    <row r="361" spans="1:9" x14ac:dyDescent="0.35">
      <c r="A361">
        <v>360</v>
      </c>
      <c r="B361" s="2">
        <v>43731</v>
      </c>
      <c r="C361" t="s">
        <v>8</v>
      </c>
      <c r="D361" t="s">
        <v>158</v>
      </c>
      <c r="E361">
        <v>5</v>
      </c>
      <c r="F361" t="str">
        <f>VLOOKUP($C361,VLOOKUP_spp!$A$2:$D$103,4,1)</f>
        <v>Lepidoptera</v>
      </c>
      <c r="G361" t="str">
        <f>VLOOKUP($F361,VLOOKUP_spp!$A$2:$E$102,5,1)</f>
        <v>Lepidoptera</v>
      </c>
      <c r="H361" t="str">
        <f t="shared" si="5"/>
        <v>Sep</v>
      </c>
      <c r="I361">
        <v>1</v>
      </c>
    </row>
    <row r="362" spans="1:9" x14ac:dyDescent="0.35">
      <c r="A362">
        <v>361</v>
      </c>
      <c r="B362" s="2">
        <v>43731</v>
      </c>
      <c r="C362" t="s">
        <v>125</v>
      </c>
      <c r="D362" t="s">
        <v>162</v>
      </c>
      <c r="E362">
        <v>1</v>
      </c>
      <c r="F362" t="str">
        <f>VLOOKUP($C362,VLOOKUP_spp!$A$2:$D$103,4,1)</f>
        <v>Stelis</v>
      </c>
      <c r="G362" t="str">
        <f>VLOOKUP($F362,VLOOKUP_spp!$A$2:$E$102,5,1)</f>
        <v>Hymenoptera</v>
      </c>
      <c r="H362" t="str">
        <f t="shared" si="5"/>
        <v>Sep</v>
      </c>
      <c r="I362">
        <v>1</v>
      </c>
    </row>
    <row r="363" spans="1:9" x14ac:dyDescent="0.35">
      <c r="A363">
        <v>362</v>
      </c>
      <c r="B363" s="2">
        <v>43731</v>
      </c>
      <c r="C363" t="s">
        <v>126</v>
      </c>
      <c r="D363" t="s">
        <v>169</v>
      </c>
      <c r="E363">
        <v>1</v>
      </c>
      <c r="F363" t="str">
        <f>VLOOKUP($C363,VLOOKUP_spp!$A$2:$D$103,4,1)</f>
        <v>Syrphidae</v>
      </c>
      <c r="G363" t="str">
        <f>VLOOKUP($F363,VLOOKUP_spp!$A$2:$E$102,5,1)</f>
        <v>Diptera</v>
      </c>
      <c r="H363" t="str">
        <f t="shared" si="5"/>
        <v>Sep</v>
      </c>
      <c r="I363">
        <v>1</v>
      </c>
    </row>
    <row r="364" spans="1:9" x14ac:dyDescent="0.35">
      <c r="A364">
        <v>363</v>
      </c>
      <c r="B364" s="2">
        <v>43731</v>
      </c>
      <c r="C364" t="s">
        <v>126</v>
      </c>
      <c r="D364" t="s">
        <v>157</v>
      </c>
      <c r="E364">
        <v>4</v>
      </c>
      <c r="F364" t="str">
        <f>VLOOKUP($C364,VLOOKUP_spp!$A$2:$D$103,4,1)</f>
        <v>Syrphidae</v>
      </c>
      <c r="G364" t="str">
        <f>VLOOKUP($F364,VLOOKUP_spp!$A$2:$E$102,5,1)</f>
        <v>Diptera</v>
      </c>
      <c r="H364" t="str">
        <f t="shared" si="5"/>
        <v>Sep</v>
      </c>
      <c r="I364">
        <v>1</v>
      </c>
    </row>
    <row r="365" spans="1:9" x14ac:dyDescent="0.35">
      <c r="A365">
        <v>364</v>
      </c>
      <c r="B365" s="2">
        <v>43731</v>
      </c>
      <c r="C365" t="s">
        <v>128</v>
      </c>
      <c r="D365" t="s">
        <v>169</v>
      </c>
      <c r="E365">
        <v>5</v>
      </c>
      <c r="F365" t="str">
        <f>VLOOKUP($C365,VLOOKUP_spp!$A$2:$D$103,4,1)</f>
        <v>Wasp</v>
      </c>
      <c r="G365" t="str">
        <f>VLOOKUP($F365,VLOOKUP_spp!$A$2:$E$102,5,1)</f>
        <v>Hymenoptera</v>
      </c>
      <c r="H365" t="str">
        <f t="shared" si="5"/>
        <v>Sep</v>
      </c>
      <c r="I365">
        <v>1</v>
      </c>
    </row>
    <row r="366" spans="1:9" x14ac:dyDescent="0.35">
      <c r="A366">
        <v>365</v>
      </c>
      <c r="B366" s="2">
        <v>43731</v>
      </c>
      <c r="C366" t="s">
        <v>128</v>
      </c>
      <c r="D366" t="s">
        <v>158</v>
      </c>
      <c r="E366">
        <v>2</v>
      </c>
      <c r="F366" t="str">
        <f>VLOOKUP($C366,VLOOKUP_spp!$A$2:$D$103,4,1)</f>
        <v>Wasp</v>
      </c>
      <c r="G366" t="str">
        <f>VLOOKUP($F366,VLOOKUP_spp!$A$2:$E$102,5,1)</f>
        <v>Hymenoptera</v>
      </c>
      <c r="H366" t="str">
        <f t="shared" si="5"/>
        <v>Sep</v>
      </c>
      <c r="I366">
        <v>1</v>
      </c>
    </row>
    <row r="367" spans="1:9" x14ac:dyDescent="0.35">
      <c r="A367">
        <v>366</v>
      </c>
      <c r="B367" s="2">
        <v>43731</v>
      </c>
      <c r="C367" t="s">
        <v>128</v>
      </c>
      <c r="D367" t="s">
        <v>172</v>
      </c>
      <c r="E367">
        <v>1</v>
      </c>
      <c r="F367" t="str">
        <f>VLOOKUP($C367,VLOOKUP_spp!$A$2:$D$103,4,1)</f>
        <v>Wasp</v>
      </c>
      <c r="G367" t="str">
        <f>VLOOKUP($F367,VLOOKUP_spp!$A$2:$E$102,5,1)</f>
        <v>Hymenoptera</v>
      </c>
      <c r="H367" t="str">
        <f t="shared" si="5"/>
        <v>Sep</v>
      </c>
      <c r="I367">
        <v>1</v>
      </c>
    </row>
    <row r="368" spans="1:9" x14ac:dyDescent="0.35">
      <c r="A368">
        <v>367</v>
      </c>
      <c r="B368" s="2">
        <v>43731</v>
      </c>
      <c r="C368" t="s">
        <v>128</v>
      </c>
      <c r="D368" t="s">
        <v>162</v>
      </c>
      <c r="E368">
        <v>18</v>
      </c>
      <c r="F368" t="str">
        <f>VLOOKUP($C368,VLOOKUP_spp!$A$2:$D$103,4,1)</f>
        <v>Wasp</v>
      </c>
      <c r="G368" t="str">
        <f>VLOOKUP($F368,VLOOKUP_spp!$A$2:$E$102,5,1)</f>
        <v>Hymenoptera</v>
      </c>
      <c r="H368" t="str">
        <f t="shared" si="5"/>
        <v>Sep</v>
      </c>
      <c r="I368">
        <v>1</v>
      </c>
    </row>
    <row r="369" spans="1:9" x14ac:dyDescent="0.35">
      <c r="A369">
        <v>368</v>
      </c>
      <c r="B369" s="2">
        <v>43731</v>
      </c>
      <c r="C369" t="s">
        <v>128</v>
      </c>
      <c r="D369" t="s">
        <v>147</v>
      </c>
      <c r="E369">
        <v>3</v>
      </c>
      <c r="F369" t="str">
        <f>VLOOKUP($C369,VLOOKUP_spp!$A$2:$D$103,4,1)</f>
        <v>Wasp</v>
      </c>
      <c r="G369" t="str">
        <f>VLOOKUP($F369,VLOOKUP_spp!$A$2:$E$102,5,1)</f>
        <v>Hymenoptera</v>
      </c>
      <c r="H369" t="str">
        <f t="shared" si="5"/>
        <v>Sep</v>
      </c>
      <c r="I369">
        <v>1</v>
      </c>
    </row>
    <row r="370" spans="1:9" x14ac:dyDescent="0.35">
      <c r="A370">
        <v>369</v>
      </c>
      <c r="B370" s="2">
        <v>43732</v>
      </c>
      <c r="C370" t="s">
        <v>31</v>
      </c>
      <c r="D370" t="s">
        <v>150</v>
      </c>
      <c r="E370">
        <v>1</v>
      </c>
      <c r="F370" t="str">
        <f>VLOOKUP($C370,VLOOKUP_spp!$A$2:$D$103,4,1)</f>
        <v>Andrena</v>
      </c>
      <c r="G370" t="str">
        <f>VLOOKUP($F370,VLOOKUP_spp!$A$2:$E$102,5,1)</f>
        <v>Hymenoptera</v>
      </c>
      <c r="H370" t="str">
        <f t="shared" si="5"/>
        <v>Sep</v>
      </c>
      <c r="I370">
        <v>1</v>
      </c>
    </row>
    <row r="371" spans="1:9" x14ac:dyDescent="0.35">
      <c r="A371">
        <v>370</v>
      </c>
      <c r="B371" s="2">
        <v>43732</v>
      </c>
      <c r="C371" t="s">
        <v>50</v>
      </c>
      <c r="D371" t="s">
        <v>171</v>
      </c>
      <c r="E371">
        <v>4</v>
      </c>
      <c r="F371" t="str">
        <f>VLOOKUP($C371,VLOOKUP_spp!$A$2:$D$103,4,1)</f>
        <v>Apis_mellifera</v>
      </c>
      <c r="G371" t="str">
        <f>VLOOKUP($F371,VLOOKUP_spp!$A$2:$E$102,5,1)</f>
        <v>Hymenoptera</v>
      </c>
      <c r="H371" t="str">
        <f t="shared" si="5"/>
        <v>Sep</v>
      </c>
      <c r="I371">
        <v>1</v>
      </c>
    </row>
    <row r="372" spans="1:9" x14ac:dyDescent="0.35">
      <c r="A372">
        <v>371</v>
      </c>
      <c r="B372" s="2">
        <v>43732</v>
      </c>
      <c r="C372" t="s">
        <v>50</v>
      </c>
      <c r="D372" t="s">
        <v>169</v>
      </c>
      <c r="E372">
        <v>6</v>
      </c>
      <c r="F372" t="str">
        <f>VLOOKUP($C372,VLOOKUP_spp!$A$2:$D$103,4,1)</f>
        <v>Apis_mellifera</v>
      </c>
      <c r="G372" t="str">
        <f>VLOOKUP($F372,VLOOKUP_spp!$A$2:$E$102,5,1)</f>
        <v>Hymenoptera</v>
      </c>
      <c r="H372" t="str">
        <f t="shared" si="5"/>
        <v>Sep</v>
      </c>
      <c r="I372">
        <v>1</v>
      </c>
    </row>
    <row r="373" spans="1:9" x14ac:dyDescent="0.35">
      <c r="A373">
        <v>372</v>
      </c>
      <c r="B373" s="2">
        <v>43732</v>
      </c>
      <c r="C373" t="s">
        <v>50</v>
      </c>
      <c r="D373" t="s">
        <v>165</v>
      </c>
      <c r="E373">
        <v>6</v>
      </c>
      <c r="F373" t="str">
        <f>VLOOKUP($C373,VLOOKUP_spp!$A$2:$D$103,4,1)</f>
        <v>Apis_mellifera</v>
      </c>
      <c r="G373" t="str">
        <f>VLOOKUP($F373,VLOOKUP_spp!$A$2:$E$102,5,1)</f>
        <v>Hymenoptera</v>
      </c>
      <c r="H373" t="str">
        <f t="shared" si="5"/>
        <v>Sep</v>
      </c>
      <c r="I373">
        <v>1</v>
      </c>
    </row>
    <row r="374" spans="1:9" x14ac:dyDescent="0.35">
      <c r="A374">
        <v>373</v>
      </c>
      <c r="B374" s="2">
        <v>43732</v>
      </c>
      <c r="C374" t="s">
        <v>50</v>
      </c>
      <c r="D374" t="s">
        <v>166</v>
      </c>
      <c r="E374">
        <v>1</v>
      </c>
      <c r="F374" t="str">
        <f>VLOOKUP($C374,VLOOKUP_spp!$A$2:$D$103,4,1)</f>
        <v>Apis_mellifera</v>
      </c>
      <c r="G374" t="str">
        <f>VLOOKUP($F374,VLOOKUP_spp!$A$2:$E$102,5,1)</f>
        <v>Hymenoptera</v>
      </c>
      <c r="H374" t="str">
        <f t="shared" si="5"/>
        <v>Sep</v>
      </c>
      <c r="I374">
        <v>1</v>
      </c>
    </row>
    <row r="375" spans="1:9" x14ac:dyDescent="0.35">
      <c r="A375">
        <v>374</v>
      </c>
      <c r="B375" s="2">
        <v>43732</v>
      </c>
      <c r="C375" t="s">
        <v>50</v>
      </c>
      <c r="D375" t="s">
        <v>173</v>
      </c>
      <c r="E375">
        <v>2</v>
      </c>
      <c r="F375" t="str">
        <f>VLOOKUP($C375,VLOOKUP_spp!$A$2:$D$103,4,1)</f>
        <v>Apis_mellifera</v>
      </c>
      <c r="G375" t="str">
        <f>VLOOKUP($F375,VLOOKUP_spp!$A$2:$E$102,5,1)</f>
        <v>Hymenoptera</v>
      </c>
      <c r="H375" t="str">
        <f t="shared" si="5"/>
        <v>Sep</v>
      </c>
      <c r="I375">
        <v>1</v>
      </c>
    </row>
    <row r="376" spans="1:9" x14ac:dyDescent="0.35">
      <c r="A376">
        <v>375</v>
      </c>
      <c r="B376" s="2">
        <v>43732</v>
      </c>
      <c r="C376" t="s">
        <v>50</v>
      </c>
      <c r="D376" t="s">
        <v>172</v>
      </c>
      <c r="E376">
        <v>1</v>
      </c>
      <c r="F376" t="str">
        <f>VLOOKUP($C376,VLOOKUP_spp!$A$2:$D$103,4,1)</f>
        <v>Apis_mellifera</v>
      </c>
      <c r="G376" t="str">
        <f>VLOOKUP($F376,VLOOKUP_spp!$A$2:$E$102,5,1)</f>
        <v>Hymenoptera</v>
      </c>
      <c r="H376" t="str">
        <f t="shared" si="5"/>
        <v>Sep</v>
      </c>
      <c r="I376">
        <v>1</v>
      </c>
    </row>
    <row r="377" spans="1:9" x14ac:dyDescent="0.35">
      <c r="A377">
        <v>376</v>
      </c>
      <c r="B377" s="2">
        <v>43732</v>
      </c>
      <c r="C377" t="s">
        <v>50</v>
      </c>
      <c r="D377" t="s">
        <v>162</v>
      </c>
      <c r="E377">
        <v>9</v>
      </c>
      <c r="F377" t="str">
        <f>VLOOKUP($C377,VLOOKUP_spp!$A$2:$D$103,4,1)</f>
        <v>Apis_mellifera</v>
      </c>
      <c r="G377" t="str">
        <f>VLOOKUP($F377,VLOOKUP_spp!$A$2:$E$102,5,1)</f>
        <v>Hymenoptera</v>
      </c>
      <c r="H377" t="str">
        <f t="shared" si="5"/>
        <v>Sep</v>
      </c>
      <c r="I377">
        <v>1</v>
      </c>
    </row>
    <row r="378" spans="1:9" x14ac:dyDescent="0.35">
      <c r="A378">
        <v>377</v>
      </c>
      <c r="B378" s="2">
        <v>43732</v>
      </c>
      <c r="C378" t="s">
        <v>50</v>
      </c>
      <c r="D378" t="s">
        <v>147</v>
      </c>
      <c r="E378">
        <v>2</v>
      </c>
      <c r="F378" t="str">
        <f>VLOOKUP($C378,VLOOKUP_spp!$A$2:$D$103,4,1)</f>
        <v>Apis_mellifera</v>
      </c>
      <c r="G378" t="str">
        <f>VLOOKUP($F378,VLOOKUP_spp!$A$2:$E$102,5,1)</f>
        <v>Hymenoptera</v>
      </c>
      <c r="H378" t="str">
        <f t="shared" si="5"/>
        <v>Sep</v>
      </c>
      <c r="I378">
        <v>1</v>
      </c>
    </row>
    <row r="379" spans="1:9" x14ac:dyDescent="0.35">
      <c r="A379">
        <v>378</v>
      </c>
      <c r="B379" s="2">
        <v>43732</v>
      </c>
      <c r="C379" t="s">
        <v>50</v>
      </c>
      <c r="D379" t="s">
        <v>156</v>
      </c>
      <c r="E379">
        <v>3</v>
      </c>
      <c r="F379" t="str">
        <f>VLOOKUP($C379,VLOOKUP_spp!$A$2:$D$103,4,1)</f>
        <v>Apis_mellifera</v>
      </c>
      <c r="G379" t="str">
        <f>VLOOKUP($F379,VLOOKUP_spp!$A$2:$E$102,5,1)</f>
        <v>Hymenoptera</v>
      </c>
      <c r="H379" t="str">
        <f t="shared" si="5"/>
        <v>Sep</v>
      </c>
      <c r="I379">
        <v>1</v>
      </c>
    </row>
    <row r="380" spans="1:9" x14ac:dyDescent="0.35">
      <c r="A380">
        <v>379</v>
      </c>
      <c r="B380" s="2">
        <v>43732</v>
      </c>
      <c r="C380" t="s">
        <v>51</v>
      </c>
      <c r="D380" t="s">
        <v>158</v>
      </c>
      <c r="E380">
        <v>2</v>
      </c>
      <c r="F380" t="str">
        <f>VLOOKUP($C380,VLOOKUP_spp!$A$2:$D$103,4,1)</f>
        <v>Augochlora</v>
      </c>
      <c r="G380" t="str">
        <f>VLOOKUP($F380,VLOOKUP_spp!$A$2:$E$102,5,1)</f>
        <v>Hymenoptera</v>
      </c>
      <c r="H380" t="str">
        <f t="shared" si="5"/>
        <v>Sep</v>
      </c>
      <c r="I380">
        <v>1</v>
      </c>
    </row>
    <row r="381" spans="1:9" x14ac:dyDescent="0.35">
      <c r="A381">
        <v>380</v>
      </c>
      <c r="B381" s="2">
        <v>43732</v>
      </c>
      <c r="C381" t="s">
        <v>52</v>
      </c>
      <c r="D381" t="s">
        <v>158</v>
      </c>
      <c r="E381">
        <v>1</v>
      </c>
      <c r="F381" t="str">
        <f>VLOOKUP($C381,VLOOKUP_spp!$A$2:$D$103,4,1)</f>
        <v>Augochlorella</v>
      </c>
      <c r="G381" t="str">
        <f>VLOOKUP($F381,VLOOKUP_spp!$A$2:$E$102,5,1)</f>
        <v>Hymenoptera</v>
      </c>
      <c r="H381" t="str">
        <f t="shared" si="5"/>
        <v>Sep</v>
      </c>
      <c r="I381">
        <v>1</v>
      </c>
    </row>
    <row r="382" spans="1:9" x14ac:dyDescent="0.35">
      <c r="A382">
        <v>381</v>
      </c>
      <c r="B382" s="2">
        <v>43732</v>
      </c>
      <c r="C382" t="s">
        <v>53</v>
      </c>
      <c r="D382" t="s">
        <v>162</v>
      </c>
      <c r="E382">
        <v>1</v>
      </c>
      <c r="F382" t="str">
        <f>VLOOKUP($C382,VLOOKUP_spp!$A$2:$D$103,4,1)</f>
        <v>Augochloropsis</v>
      </c>
      <c r="G382" t="str">
        <f>VLOOKUP($F382,VLOOKUP_spp!$A$2:$E$102,5,1)</f>
        <v>Hymenoptera</v>
      </c>
      <c r="H382" t="str">
        <f t="shared" si="5"/>
        <v>Sep</v>
      </c>
      <c r="I382">
        <v>1</v>
      </c>
    </row>
    <row r="383" spans="1:9" x14ac:dyDescent="0.35">
      <c r="A383">
        <v>382</v>
      </c>
      <c r="B383" s="2">
        <v>43732</v>
      </c>
      <c r="C383" t="s">
        <v>58</v>
      </c>
      <c r="D383" t="s">
        <v>150</v>
      </c>
      <c r="E383">
        <v>1</v>
      </c>
      <c r="F383" t="str">
        <f>VLOOKUP($C383,VLOOKUP_spp!$A$2:$D$103,4,1)</f>
        <v>Bombus_citrinus</v>
      </c>
      <c r="G383" t="str">
        <f>VLOOKUP($F383,VLOOKUP_spp!$A$2:$E$102,5,1)</f>
        <v>Hymenoptera</v>
      </c>
      <c r="H383" t="str">
        <f t="shared" si="5"/>
        <v>Sep</v>
      </c>
      <c r="I383">
        <v>1</v>
      </c>
    </row>
    <row r="384" spans="1:9" x14ac:dyDescent="0.35">
      <c r="A384">
        <v>383</v>
      </c>
      <c r="B384" s="2">
        <v>43732</v>
      </c>
      <c r="C384" t="s">
        <v>67</v>
      </c>
      <c r="D384" t="s">
        <v>166</v>
      </c>
      <c r="E384">
        <v>1</v>
      </c>
      <c r="F384" t="str">
        <f>VLOOKUP($C384,VLOOKUP_spp!$A$2:$D$103,4,1)</f>
        <v>Bombus_impatiens</v>
      </c>
      <c r="G384" t="str">
        <f>VLOOKUP($F384,VLOOKUP_spp!$A$2:$E$102,5,1)</f>
        <v>Hymenoptera</v>
      </c>
      <c r="H384" t="str">
        <f t="shared" si="5"/>
        <v>Sep</v>
      </c>
      <c r="I384">
        <v>1</v>
      </c>
    </row>
    <row r="385" spans="1:9" x14ac:dyDescent="0.35">
      <c r="A385">
        <v>384</v>
      </c>
      <c r="B385" s="2">
        <v>43732</v>
      </c>
      <c r="C385" t="s">
        <v>67</v>
      </c>
      <c r="D385" t="s">
        <v>162</v>
      </c>
      <c r="E385">
        <v>8</v>
      </c>
      <c r="F385" t="str">
        <f>VLOOKUP($C385,VLOOKUP_spp!$A$2:$D$103,4,1)</f>
        <v>Bombus_impatiens</v>
      </c>
      <c r="G385" t="str">
        <f>VLOOKUP($F385,VLOOKUP_spp!$A$2:$E$102,5,1)</f>
        <v>Hymenoptera</v>
      </c>
      <c r="H385" t="str">
        <f t="shared" si="5"/>
        <v>Sep</v>
      </c>
      <c r="I385">
        <v>1</v>
      </c>
    </row>
    <row r="386" spans="1:9" x14ac:dyDescent="0.35">
      <c r="A386">
        <v>385</v>
      </c>
      <c r="B386" s="2">
        <v>43732</v>
      </c>
      <c r="C386" t="s">
        <v>78</v>
      </c>
      <c r="D386" t="s">
        <v>150</v>
      </c>
      <c r="E386">
        <v>1</v>
      </c>
      <c r="F386" t="str">
        <f>VLOOKUP($C386,VLOOKUP_spp!$A$2:$D$103,4,1)</f>
        <v>Bombus</v>
      </c>
      <c r="G386" t="str">
        <f>VLOOKUP($F386,VLOOKUP_spp!$A$2:$E$102,5,1)</f>
        <v>Hymenoptera</v>
      </c>
      <c r="H386" t="str">
        <f t="shared" si="5"/>
        <v>Sep</v>
      </c>
      <c r="I386">
        <v>1</v>
      </c>
    </row>
    <row r="387" spans="1:9" x14ac:dyDescent="0.35">
      <c r="A387">
        <v>386</v>
      </c>
      <c r="B387" s="2">
        <v>43732</v>
      </c>
      <c r="C387" t="s">
        <v>7</v>
      </c>
      <c r="D387" t="s">
        <v>169</v>
      </c>
      <c r="E387">
        <v>4</v>
      </c>
      <c r="F387" t="str">
        <f>VLOOKUP($C387,VLOOKUP_spp!$A$2:$D$103,4,1)</f>
        <v>Coleoptera</v>
      </c>
      <c r="G387" t="str">
        <f>VLOOKUP($F387,VLOOKUP_spp!$A$2:$E$102,5,1)</f>
        <v>Coleoptera</v>
      </c>
      <c r="H387" t="str">
        <f t="shared" ref="H387:H450" si="6">TEXT(B387, "mmm")</f>
        <v>Sep</v>
      </c>
      <c r="I387">
        <v>1</v>
      </c>
    </row>
    <row r="388" spans="1:9" x14ac:dyDescent="0.35">
      <c r="A388">
        <v>387</v>
      </c>
      <c r="B388" s="2">
        <v>43732</v>
      </c>
      <c r="C388" t="s">
        <v>6</v>
      </c>
      <c r="D388" t="s">
        <v>157</v>
      </c>
      <c r="E388">
        <v>2</v>
      </c>
      <c r="F388" t="str">
        <f>VLOOKUP($C388,VLOOKUP_spp!$A$2:$D$103,4,1)</f>
        <v>Diptera</v>
      </c>
      <c r="G388" t="str">
        <f>VLOOKUP($F388,VLOOKUP_spp!$A$2:$E$102,5,1)</f>
        <v>Diptera</v>
      </c>
      <c r="H388" t="str">
        <f t="shared" si="6"/>
        <v>Sep</v>
      </c>
      <c r="I388">
        <v>1</v>
      </c>
    </row>
    <row r="389" spans="1:9" x14ac:dyDescent="0.35">
      <c r="A389">
        <v>388</v>
      </c>
      <c r="B389" s="2">
        <v>43732</v>
      </c>
      <c r="C389" t="s">
        <v>6</v>
      </c>
      <c r="D389" t="s">
        <v>166</v>
      </c>
      <c r="E389">
        <v>4</v>
      </c>
      <c r="F389" t="str">
        <f>VLOOKUP($C389,VLOOKUP_spp!$A$2:$D$103,4,1)</f>
        <v>Diptera</v>
      </c>
      <c r="G389" t="str">
        <f>VLOOKUP($F389,VLOOKUP_spp!$A$2:$E$102,5,1)</f>
        <v>Diptera</v>
      </c>
      <c r="H389" t="str">
        <f t="shared" si="6"/>
        <v>Sep</v>
      </c>
      <c r="I389">
        <v>1</v>
      </c>
    </row>
    <row r="390" spans="1:9" x14ac:dyDescent="0.35">
      <c r="A390">
        <v>389</v>
      </c>
      <c r="B390" s="2">
        <v>43732</v>
      </c>
      <c r="C390" t="s">
        <v>6</v>
      </c>
      <c r="D390" t="s">
        <v>173</v>
      </c>
      <c r="E390">
        <v>1</v>
      </c>
      <c r="F390" t="str">
        <f>VLOOKUP($C390,VLOOKUP_spp!$A$2:$D$103,4,1)</f>
        <v>Diptera</v>
      </c>
      <c r="G390" t="str">
        <f>VLOOKUP($F390,VLOOKUP_spp!$A$2:$E$102,5,1)</f>
        <v>Diptera</v>
      </c>
      <c r="H390" t="str">
        <f t="shared" si="6"/>
        <v>Sep</v>
      </c>
      <c r="I390">
        <v>1</v>
      </c>
    </row>
    <row r="391" spans="1:9" x14ac:dyDescent="0.35">
      <c r="A391">
        <v>390</v>
      </c>
      <c r="B391" s="2">
        <v>43732</v>
      </c>
      <c r="C391" t="s">
        <v>6</v>
      </c>
      <c r="D391" t="s">
        <v>162</v>
      </c>
      <c r="E391">
        <v>1</v>
      </c>
      <c r="F391" t="str">
        <f>VLOOKUP($C391,VLOOKUP_spp!$A$2:$D$103,4,1)</f>
        <v>Diptera</v>
      </c>
      <c r="G391" t="str">
        <f>VLOOKUP($F391,VLOOKUP_spp!$A$2:$E$102,5,1)</f>
        <v>Diptera</v>
      </c>
      <c r="H391" t="str">
        <f t="shared" si="6"/>
        <v>Sep</v>
      </c>
      <c r="I391">
        <v>1</v>
      </c>
    </row>
    <row r="392" spans="1:9" x14ac:dyDescent="0.35">
      <c r="A392">
        <v>391</v>
      </c>
      <c r="B392" s="2">
        <v>43732</v>
      </c>
      <c r="C392" t="s">
        <v>97</v>
      </c>
      <c r="D392" t="s">
        <v>169</v>
      </c>
      <c r="E392">
        <v>1</v>
      </c>
      <c r="F392" t="str">
        <f>VLOOKUP($C392,VLOOKUP_spp!$A$2:$D$103,4,1)</f>
        <v>Halictus</v>
      </c>
      <c r="G392" t="str">
        <f>VLOOKUP($F392,VLOOKUP_spp!$A$2:$E$102,5,1)</f>
        <v>Hymenoptera</v>
      </c>
      <c r="H392" t="str">
        <f t="shared" si="6"/>
        <v>Sep</v>
      </c>
      <c r="I392">
        <v>1</v>
      </c>
    </row>
    <row r="393" spans="1:9" x14ac:dyDescent="0.35">
      <c r="A393">
        <v>392</v>
      </c>
      <c r="B393" s="2">
        <v>43732</v>
      </c>
      <c r="C393" t="s">
        <v>101</v>
      </c>
      <c r="D393" t="s">
        <v>162</v>
      </c>
      <c r="E393">
        <v>1</v>
      </c>
      <c r="F393" t="str">
        <f>VLOOKUP($C393,VLOOKUP_spp!$A$2:$D$103,4,1)</f>
        <v>Halictus_tripartitus</v>
      </c>
      <c r="G393" t="str">
        <f>VLOOKUP($F393,VLOOKUP_spp!$A$2:$E$102,5,1)</f>
        <v>Hymenoptera</v>
      </c>
      <c r="H393" t="str">
        <f t="shared" si="6"/>
        <v>Sep</v>
      </c>
      <c r="I393">
        <v>1</v>
      </c>
    </row>
    <row r="394" spans="1:9" x14ac:dyDescent="0.35">
      <c r="A394">
        <v>393</v>
      </c>
      <c r="B394" s="2">
        <v>43732</v>
      </c>
      <c r="C394" t="s">
        <v>106</v>
      </c>
      <c r="D394" t="s">
        <v>162</v>
      </c>
      <c r="E394">
        <v>1</v>
      </c>
      <c r="F394" t="str">
        <f>VLOOKUP($C394,VLOOKUP_spp!$A$2:$D$103,4,1)</f>
        <v>Lasioglossum</v>
      </c>
      <c r="G394" t="str">
        <f>VLOOKUP($F394,VLOOKUP_spp!$A$2:$E$102,5,1)</f>
        <v>Hymenoptera</v>
      </c>
      <c r="H394" t="str">
        <f t="shared" si="6"/>
        <v>Sep</v>
      </c>
      <c r="I394">
        <v>1</v>
      </c>
    </row>
    <row r="395" spans="1:9" x14ac:dyDescent="0.35">
      <c r="A395">
        <v>394</v>
      </c>
      <c r="B395" s="2">
        <v>43732</v>
      </c>
      <c r="C395" t="s">
        <v>8</v>
      </c>
      <c r="D395" t="s">
        <v>169</v>
      </c>
      <c r="E395">
        <v>18</v>
      </c>
      <c r="F395" t="str">
        <f>VLOOKUP($C395,VLOOKUP_spp!$A$2:$D$103,4,1)</f>
        <v>Lepidoptera</v>
      </c>
      <c r="G395" t="str">
        <f>VLOOKUP($F395,VLOOKUP_spp!$A$2:$E$102,5,1)</f>
        <v>Lepidoptera</v>
      </c>
      <c r="H395" t="str">
        <f t="shared" si="6"/>
        <v>Sep</v>
      </c>
      <c r="I395">
        <v>1</v>
      </c>
    </row>
    <row r="396" spans="1:9" x14ac:dyDescent="0.35">
      <c r="A396">
        <v>395</v>
      </c>
      <c r="B396" s="2">
        <v>43732</v>
      </c>
      <c r="C396" t="s">
        <v>115</v>
      </c>
      <c r="D396" t="s">
        <v>169</v>
      </c>
      <c r="E396">
        <v>1</v>
      </c>
      <c r="F396" t="str">
        <f>VLOOKUP($C396,VLOOKUP_spp!$A$2:$D$103,4,1)</f>
        <v>Nomada</v>
      </c>
      <c r="G396" t="str">
        <f>VLOOKUP($F396,VLOOKUP_spp!$A$2:$E$102,5,1)</f>
        <v>Hymenoptera</v>
      </c>
      <c r="H396" t="str">
        <f t="shared" si="6"/>
        <v>Sep</v>
      </c>
      <c r="I396">
        <v>1</v>
      </c>
    </row>
    <row r="397" spans="1:9" x14ac:dyDescent="0.35">
      <c r="A397">
        <v>396</v>
      </c>
      <c r="B397" s="2">
        <v>43732</v>
      </c>
      <c r="C397" t="s">
        <v>126</v>
      </c>
      <c r="D397" t="s">
        <v>169</v>
      </c>
      <c r="E397">
        <v>4</v>
      </c>
      <c r="F397" t="str">
        <f>VLOOKUP($C397,VLOOKUP_spp!$A$2:$D$103,4,1)</f>
        <v>Syrphidae</v>
      </c>
      <c r="G397" t="str">
        <f>VLOOKUP($F397,VLOOKUP_spp!$A$2:$E$102,5,1)</f>
        <v>Diptera</v>
      </c>
      <c r="H397" t="str">
        <f t="shared" si="6"/>
        <v>Sep</v>
      </c>
      <c r="I397">
        <v>1</v>
      </c>
    </row>
    <row r="398" spans="1:9" x14ac:dyDescent="0.35">
      <c r="A398">
        <v>397</v>
      </c>
      <c r="B398" s="2">
        <v>43732</v>
      </c>
      <c r="C398" t="s">
        <v>126</v>
      </c>
      <c r="D398" t="s">
        <v>157</v>
      </c>
      <c r="E398">
        <v>2</v>
      </c>
      <c r="F398" t="str">
        <f>VLOOKUP($C398,VLOOKUP_spp!$A$2:$D$103,4,1)</f>
        <v>Syrphidae</v>
      </c>
      <c r="G398" t="str">
        <f>VLOOKUP($F398,VLOOKUP_spp!$A$2:$E$102,5,1)</f>
        <v>Diptera</v>
      </c>
      <c r="H398" t="str">
        <f t="shared" si="6"/>
        <v>Sep</v>
      </c>
      <c r="I398">
        <v>1</v>
      </c>
    </row>
    <row r="399" spans="1:9" x14ac:dyDescent="0.35">
      <c r="A399">
        <v>398</v>
      </c>
      <c r="B399" s="2">
        <v>43732</v>
      </c>
      <c r="C399" t="s">
        <v>126</v>
      </c>
      <c r="D399" t="s">
        <v>158</v>
      </c>
      <c r="E399">
        <v>5</v>
      </c>
      <c r="F399" t="str">
        <f>VLOOKUP($C399,VLOOKUP_spp!$A$2:$D$103,4,1)</f>
        <v>Syrphidae</v>
      </c>
      <c r="G399" t="str">
        <f>VLOOKUP($F399,VLOOKUP_spp!$A$2:$E$102,5,1)</f>
        <v>Diptera</v>
      </c>
      <c r="H399" t="str">
        <f t="shared" si="6"/>
        <v>Sep</v>
      </c>
      <c r="I399">
        <v>1</v>
      </c>
    </row>
    <row r="400" spans="1:9" x14ac:dyDescent="0.35">
      <c r="A400">
        <v>399</v>
      </c>
      <c r="B400" s="2">
        <v>43732</v>
      </c>
      <c r="C400" t="s">
        <v>126</v>
      </c>
      <c r="D400" t="s">
        <v>166</v>
      </c>
      <c r="E400">
        <v>1</v>
      </c>
      <c r="F400" t="str">
        <f>VLOOKUP($C400,VLOOKUP_spp!$A$2:$D$103,4,1)</f>
        <v>Syrphidae</v>
      </c>
      <c r="G400" t="str">
        <f>VLOOKUP($F400,VLOOKUP_spp!$A$2:$E$102,5,1)</f>
        <v>Diptera</v>
      </c>
      <c r="H400" t="str">
        <f t="shared" si="6"/>
        <v>Sep</v>
      </c>
      <c r="I400">
        <v>1</v>
      </c>
    </row>
    <row r="401" spans="1:9" x14ac:dyDescent="0.35">
      <c r="A401">
        <v>400</v>
      </c>
      <c r="B401" s="2">
        <v>43732</v>
      </c>
      <c r="C401" t="s">
        <v>126</v>
      </c>
      <c r="D401" t="s">
        <v>173</v>
      </c>
      <c r="E401">
        <v>6</v>
      </c>
      <c r="F401" t="str">
        <f>VLOOKUP($C401,VLOOKUP_spp!$A$2:$D$103,4,1)</f>
        <v>Syrphidae</v>
      </c>
      <c r="G401" t="str">
        <f>VLOOKUP($F401,VLOOKUP_spp!$A$2:$E$102,5,1)</f>
        <v>Diptera</v>
      </c>
      <c r="H401" t="str">
        <f t="shared" si="6"/>
        <v>Sep</v>
      </c>
      <c r="I401">
        <v>1</v>
      </c>
    </row>
    <row r="402" spans="1:9" x14ac:dyDescent="0.35">
      <c r="A402">
        <v>401</v>
      </c>
      <c r="B402" s="2">
        <v>43732</v>
      </c>
      <c r="C402" t="s">
        <v>126</v>
      </c>
      <c r="D402" t="s">
        <v>172</v>
      </c>
      <c r="E402">
        <v>2</v>
      </c>
      <c r="F402" t="str">
        <f>VLOOKUP($C402,VLOOKUP_spp!$A$2:$D$103,4,1)</f>
        <v>Syrphidae</v>
      </c>
      <c r="G402" t="str">
        <f>VLOOKUP($F402,VLOOKUP_spp!$A$2:$E$102,5,1)</f>
        <v>Diptera</v>
      </c>
      <c r="H402" t="str">
        <f t="shared" si="6"/>
        <v>Sep</v>
      </c>
      <c r="I402">
        <v>1</v>
      </c>
    </row>
    <row r="403" spans="1:9" x14ac:dyDescent="0.35">
      <c r="A403">
        <v>402</v>
      </c>
      <c r="B403" s="2">
        <v>43732</v>
      </c>
      <c r="C403" t="s">
        <v>126</v>
      </c>
      <c r="D403" t="s">
        <v>150</v>
      </c>
      <c r="E403">
        <v>1</v>
      </c>
      <c r="F403" t="str">
        <f>VLOOKUP($C403,VLOOKUP_spp!$A$2:$D$103,4,1)</f>
        <v>Syrphidae</v>
      </c>
      <c r="G403" t="str">
        <f>VLOOKUP($F403,VLOOKUP_spp!$A$2:$E$102,5,1)</f>
        <v>Diptera</v>
      </c>
      <c r="H403" t="str">
        <f t="shared" si="6"/>
        <v>Sep</v>
      </c>
      <c r="I403">
        <v>1</v>
      </c>
    </row>
    <row r="404" spans="1:9" x14ac:dyDescent="0.35">
      <c r="A404">
        <v>403</v>
      </c>
      <c r="B404" s="2">
        <v>43732</v>
      </c>
      <c r="C404" t="s">
        <v>126</v>
      </c>
      <c r="D404" t="s">
        <v>162</v>
      </c>
      <c r="E404">
        <v>2</v>
      </c>
      <c r="F404" t="str">
        <f>VLOOKUP($C404,VLOOKUP_spp!$A$2:$D$103,4,1)</f>
        <v>Syrphidae</v>
      </c>
      <c r="G404" t="str">
        <f>VLOOKUP($F404,VLOOKUP_spp!$A$2:$E$102,5,1)</f>
        <v>Diptera</v>
      </c>
      <c r="H404" t="str">
        <f t="shared" si="6"/>
        <v>Sep</v>
      </c>
      <c r="I404">
        <v>1</v>
      </c>
    </row>
    <row r="405" spans="1:9" x14ac:dyDescent="0.35">
      <c r="A405">
        <v>404</v>
      </c>
      <c r="B405" s="2">
        <v>43732</v>
      </c>
      <c r="C405" t="s">
        <v>128</v>
      </c>
      <c r="D405" t="s">
        <v>171</v>
      </c>
      <c r="E405">
        <v>1</v>
      </c>
      <c r="F405" t="str">
        <f>VLOOKUP($C405,VLOOKUP_spp!$A$2:$D$103,4,1)</f>
        <v>Wasp</v>
      </c>
      <c r="G405" t="str">
        <f>VLOOKUP($F405,VLOOKUP_spp!$A$2:$E$102,5,1)</f>
        <v>Hymenoptera</v>
      </c>
      <c r="H405" t="str">
        <f t="shared" si="6"/>
        <v>Sep</v>
      </c>
      <c r="I405">
        <v>1</v>
      </c>
    </row>
    <row r="406" spans="1:9" x14ac:dyDescent="0.35">
      <c r="A406">
        <v>405</v>
      </c>
      <c r="B406" s="2">
        <v>43732</v>
      </c>
      <c r="C406" t="s">
        <v>128</v>
      </c>
      <c r="D406" t="s">
        <v>169</v>
      </c>
      <c r="E406">
        <v>5</v>
      </c>
      <c r="F406" t="str">
        <f>VLOOKUP($C406,VLOOKUP_spp!$A$2:$D$103,4,1)</f>
        <v>Wasp</v>
      </c>
      <c r="G406" t="str">
        <f>VLOOKUP($F406,VLOOKUP_spp!$A$2:$E$102,5,1)</f>
        <v>Hymenoptera</v>
      </c>
      <c r="H406" t="str">
        <f t="shared" si="6"/>
        <v>Sep</v>
      </c>
      <c r="I406">
        <v>1</v>
      </c>
    </row>
    <row r="407" spans="1:9" x14ac:dyDescent="0.35">
      <c r="A407">
        <v>406</v>
      </c>
      <c r="B407" s="2">
        <v>43732</v>
      </c>
      <c r="C407" t="s">
        <v>128</v>
      </c>
      <c r="D407" t="s">
        <v>166</v>
      </c>
      <c r="E407">
        <v>1</v>
      </c>
      <c r="F407" t="str">
        <f>VLOOKUP($C407,VLOOKUP_spp!$A$2:$D$103,4,1)</f>
        <v>Wasp</v>
      </c>
      <c r="G407" t="str">
        <f>VLOOKUP($F407,VLOOKUP_spp!$A$2:$E$102,5,1)</f>
        <v>Hymenoptera</v>
      </c>
      <c r="H407" t="str">
        <f t="shared" si="6"/>
        <v>Sep</v>
      </c>
      <c r="I407">
        <v>1</v>
      </c>
    </row>
    <row r="408" spans="1:9" x14ac:dyDescent="0.35">
      <c r="A408">
        <v>407</v>
      </c>
      <c r="B408" s="2">
        <v>43732</v>
      </c>
      <c r="C408" t="s">
        <v>128</v>
      </c>
      <c r="D408" t="s">
        <v>162</v>
      </c>
      <c r="E408">
        <v>8</v>
      </c>
      <c r="F408" t="str">
        <f>VLOOKUP($C408,VLOOKUP_spp!$A$2:$D$103,4,1)</f>
        <v>Wasp</v>
      </c>
      <c r="G408" t="str">
        <f>VLOOKUP($F408,VLOOKUP_spp!$A$2:$E$102,5,1)</f>
        <v>Hymenoptera</v>
      </c>
      <c r="H408" t="str">
        <f t="shared" si="6"/>
        <v>Sep</v>
      </c>
      <c r="I408">
        <v>1</v>
      </c>
    </row>
    <row r="409" spans="1:9" x14ac:dyDescent="0.35">
      <c r="A409">
        <v>408</v>
      </c>
      <c r="B409" s="2">
        <v>43732</v>
      </c>
      <c r="C409" t="s">
        <v>128</v>
      </c>
      <c r="D409" t="s">
        <v>147</v>
      </c>
      <c r="E409">
        <v>3</v>
      </c>
      <c r="F409" t="str">
        <f>VLOOKUP($C409,VLOOKUP_spp!$A$2:$D$103,4,1)</f>
        <v>Wasp</v>
      </c>
      <c r="G409" t="str">
        <f>VLOOKUP($F409,VLOOKUP_spp!$A$2:$E$102,5,1)</f>
        <v>Hymenoptera</v>
      </c>
      <c r="H409" t="str">
        <f t="shared" si="6"/>
        <v>Sep</v>
      </c>
      <c r="I409">
        <v>1</v>
      </c>
    </row>
    <row r="410" spans="1:9" x14ac:dyDescent="0.35">
      <c r="A410">
        <v>409</v>
      </c>
      <c r="B410" s="2">
        <v>43732</v>
      </c>
      <c r="C410" t="s">
        <v>128</v>
      </c>
      <c r="D410" t="s">
        <v>156</v>
      </c>
      <c r="E410">
        <v>2</v>
      </c>
      <c r="F410" t="str">
        <f>VLOOKUP($C410,VLOOKUP_spp!$A$2:$D$103,4,1)</f>
        <v>Wasp</v>
      </c>
      <c r="G410" t="str">
        <f>VLOOKUP($F410,VLOOKUP_spp!$A$2:$E$102,5,1)</f>
        <v>Hymenoptera</v>
      </c>
      <c r="H410" t="str">
        <f t="shared" si="6"/>
        <v>Sep</v>
      </c>
      <c r="I410">
        <v>1</v>
      </c>
    </row>
    <row r="411" spans="1:9" x14ac:dyDescent="0.35">
      <c r="A411">
        <v>410</v>
      </c>
      <c r="B411" s="2">
        <v>43732</v>
      </c>
      <c r="C411" t="s">
        <v>134</v>
      </c>
      <c r="D411" t="s">
        <v>173</v>
      </c>
      <c r="E411">
        <v>1</v>
      </c>
      <c r="F411" t="str">
        <f>VLOOKUP($C411,VLOOKUP_spp!$A$2:$D$103,4,1)</f>
        <v>Xylocopa</v>
      </c>
      <c r="G411" t="str">
        <f>VLOOKUP($F411,VLOOKUP_spp!$A$2:$E$102,5,1)</f>
        <v>Hymenoptera</v>
      </c>
      <c r="H411" t="str">
        <f t="shared" si="6"/>
        <v>Sep</v>
      </c>
      <c r="I411">
        <v>1</v>
      </c>
    </row>
    <row r="412" spans="1:9" x14ac:dyDescent="0.35">
      <c r="A412">
        <v>411</v>
      </c>
      <c r="B412" s="2">
        <v>43734</v>
      </c>
      <c r="C412" t="s">
        <v>48</v>
      </c>
      <c r="D412" t="s">
        <v>169</v>
      </c>
      <c r="E412">
        <v>1</v>
      </c>
      <c r="F412" t="str">
        <f>VLOOKUP($C412,VLOOKUP_spp!$A$2:$D$103,4,1)</f>
        <v>Apis_mellifera</v>
      </c>
      <c r="G412" t="str">
        <f>VLOOKUP($F412,VLOOKUP_spp!$A$2:$E$102,5,1)</f>
        <v>Hymenoptera</v>
      </c>
      <c r="H412" t="str">
        <f t="shared" si="6"/>
        <v>Sep</v>
      </c>
      <c r="I412">
        <v>1</v>
      </c>
    </row>
    <row r="413" spans="1:9" x14ac:dyDescent="0.35">
      <c r="A413">
        <v>412</v>
      </c>
      <c r="B413" s="2">
        <v>43734</v>
      </c>
      <c r="C413" t="s">
        <v>50</v>
      </c>
      <c r="D413" t="s">
        <v>171</v>
      </c>
      <c r="E413">
        <v>5</v>
      </c>
      <c r="F413" t="str">
        <f>VLOOKUP($C413,VLOOKUP_spp!$A$2:$D$103,4,1)</f>
        <v>Apis_mellifera</v>
      </c>
      <c r="G413" t="str">
        <f>VLOOKUP($F413,VLOOKUP_spp!$A$2:$E$102,5,1)</f>
        <v>Hymenoptera</v>
      </c>
      <c r="H413" t="str">
        <f t="shared" si="6"/>
        <v>Sep</v>
      </c>
      <c r="I413">
        <v>1</v>
      </c>
    </row>
    <row r="414" spans="1:9" x14ac:dyDescent="0.35">
      <c r="A414">
        <v>413</v>
      </c>
      <c r="B414" s="2">
        <v>43734</v>
      </c>
      <c r="C414" t="s">
        <v>50</v>
      </c>
      <c r="D414" t="s">
        <v>169</v>
      </c>
      <c r="E414">
        <v>5</v>
      </c>
      <c r="F414" t="str">
        <f>VLOOKUP($C414,VLOOKUP_spp!$A$2:$D$103,4,1)</f>
        <v>Apis_mellifera</v>
      </c>
      <c r="G414" t="str">
        <f>VLOOKUP($F414,VLOOKUP_spp!$A$2:$E$102,5,1)</f>
        <v>Hymenoptera</v>
      </c>
      <c r="H414" t="str">
        <f t="shared" si="6"/>
        <v>Sep</v>
      </c>
      <c r="I414">
        <v>1</v>
      </c>
    </row>
    <row r="415" spans="1:9" x14ac:dyDescent="0.35">
      <c r="A415">
        <v>414</v>
      </c>
      <c r="B415" s="2">
        <v>43734</v>
      </c>
      <c r="C415" t="s">
        <v>50</v>
      </c>
      <c r="D415" t="s">
        <v>158</v>
      </c>
      <c r="E415">
        <v>4</v>
      </c>
      <c r="F415" t="str">
        <f>VLOOKUP($C415,VLOOKUP_spp!$A$2:$D$103,4,1)</f>
        <v>Apis_mellifera</v>
      </c>
      <c r="G415" t="str">
        <f>VLOOKUP($F415,VLOOKUP_spp!$A$2:$E$102,5,1)</f>
        <v>Hymenoptera</v>
      </c>
      <c r="H415" t="str">
        <f t="shared" si="6"/>
        <v>Sep</v>
      </c>
      <c r="I415">
        <v>1</v>
      </c>
    </row>
    <row r="416" spans="1:9" x14ac:dyDescent="0.35">
      <c r="A416">
        <v>415</v>
      </c>
      <c r="B416" s="2">
        <v>43734</v>
      </c>
      <c r="C416" t="s">
        <v>50</v>
      </c>
      <c r="D416" t="s">
        <v>166</v>
      </c>
      <c r="E416">
        <v>2</v>
      </c>
      <c r="F416" t="str">
        <f>VLOOKUP($C416,VLOOKUP_spp!$A$2:$D$103,4,1)</f>
        <v>Apis_mellifera</v>
      </c>
      <c r="G416" t="str">
        <f>VLOOKUP($F416,VLOOKUP_spp!$A$2:$E$102,5,1)</f>
        <v>Hymenoptera</v>
      </c>
      <c r="H416" t="str">
        <f t="shared" si="6"/>
        <v>Sep</v>
      </c>
      <c r="I416">
        <v>1</v>
      </c>
    </row>
    <row r="417" spans="1:9" x14ac:dyDescent="0.35">
      <c r="A417">
        <v>416</v>
      </c>
      <c r="B417" s="2">
        <v>43734</v>
      </c>
      <c r="C417" t="s">
        <v>50</v>
      </c>
      <c r="D417" t="s">
        <v>173</v>
      </c>
      <c r="E417">
        <v>5</v>
      </c>
      <c r="F417" t="str">
        <f>VLOOKUP($C417,VLOOKUP_spp!$A$2:$D$103,4,1)</f>
        <v>Apis_mellifera</v>
      </c>
      <c r="G417" t="str">
        <f>VLOOKUP($F417,VLOOKUP_spp!$A$2:$E$102,5,1)</f>
        <v>Hymenoptera</v>
      </c>
      <c r="H417" t="str">
        <f t="shared" si="6"/>
        <v>Sep</v>
      </c>
      <c r="I417">
        <v>1</v>
      </c>
    </row>
    <row r="418" spans="1:9" x14ac:dyDescent="0.35">
      <c r="A418">
        <v>417</v>
      </c>
      <c r="B418" s="2">
        <v>43734</v>
      </c>
      <c r="C418" t="s">
        <v>50</v>
      </c>
      <c r="D418" t="s">
        <v>172</v>
      </c>
      <c r="E418">
        <v>6</v>
      </c>
      <c r="F418" t="str">
        <f>VLOOKUP($C418,VLOOKUP_spp!$A$2:$D$103,4,1)</f>
        <v>Apis_mellifera</v>
      </c>
      <c r="G418" t="str">
        <f>VLOOKUP($F418,VLOOKUP_spp!$A$2:$E$102,5,1)</f>
        <v>Hymenoptera</v>
      </c>
      <c r="H418" t="str">
        <f t="shared" si="6"/>
        <v>Sep</v>
      </c>
      <c r="I418">
        <v>1</v>
      </c>
    </row>
    <row r="419" spans="1:9" x14ac:dyDescent="0.35">
      <c r="A419">
        <v>418</v>
      </c>
      <c r="B419" s="2">
        <v>43734</v>
      </c>
      <c r="C419" t="s">
        <v>50</v>
      </c>
      <c r="D419" t="s">
        <v>150</v>
      </c>
      <c r="E419">
        <v>3</v>
      </c>
      <c r="F419" t="str">
        <f>VLOOKUP($C419,VLOOKUP_spp!$A$2:$D$103,4,1)</f>
        <v>Apis_mellifera</v>
      </c>
      <c r="G419" t="str">
        <f>VLOOKUP($F419,VLOOKUP_spp!$A$2:$E$102,5,1)</f>
        <v>Hymenoptera</v>
      </c>
      <c r="H419" t="str">
        <f t="shared" si="6"/>
        <v>Sep</v>
      </c>
      <c r="I419">
        <v>1</v>
      </c>
    </row>
    <row r="420" spans="1:9" x14ac:dyDescent="0.35">
      <c r="A420">
        <v>419</v>
      </c>
      <c r="B420" s="2">
        <v>43734</v>
      </c>
      <c r="C420" t="s">
        <v>50</v>
      </c>
      <c r="D420" t="s">
        <v>162</v>
      </c>
      <c r="E420">
        <v>21</v>
      </c>
      <c r="F420" t="str">
        <f>VLOOKUP($C420,VLOOKUP_spp!$A$2:$D$103,4,1)</f>
        <v>Apis_mellifera</v>
      </c>
      <c r="G420" t="str">
        <f>VLOOKUP($F420,VLOOKUP_spp!$A$2:$E$102,5,1)</f>
        <v>Hymenoptera</v>
      </c>
      <c r="H420" t="str">
        <f t="shared" si="6"/>
        <v>Sep</v>
      </c>
      <c r="I420">
        <v>1</v>
      </c>
    </row>
    <row r="421" spans="1:9" x14ac:dyDescent="0.35">
      <c r="A421">
        <v>420</v>
      </c>
      <c r="B421" s="2">
        <v>43734</v>
      </c>
      <c r="C421" t="s">
        <v>51</v>
      </c>
      <c r="D421" t="s">
        <v>158</v>
      </c>
      <c r="E421">
        <v>1</v>
      </c>
      <c r="F421" t="str">
        <f>VLOOKUP($C421,VLOOKUP_spp!$A$2:$D$103,4,1)</f>
        <v>Augochlora</v>
      </c>
      <c r="G421" t="str">
        <f>VLOOKUP($F421,VLOOKUP_spp!$A$2:$E$102,5,1)</f>
        <v>Hymenoptera</v>
      </c>
      <c r="H421" t="str">
        <f t="shared" si="6"/>
        <v>Sep</v>
      </c>
      <c r="I421">
        <v>1</v>
      </c>
    </row>
    <row r="422" spans="1:9" x14ac:dyDescent="0.35">
      <c r="A422">
        <v>421</v>
      </c>
      <c r="B422" s="2">
        <v>43734</v>
      </c>
      <c r="C422" t="s">
        <v>58</v>
      </c>
      <c r="D422" t="s">
        <v>172</v>
      </c>
      <c r="E422">
        <v>1</v>
      </c>
      <c r="F422" t="str">
        <f>VLOOKUP($C422,VLOOKUP_spp!$A$2:$D$103,4,1)</f>
        <v>Bombus_citrinus</v>
      </c>
      <c r="G422" t="str">
        <f>VLOOKUP($F422,VLOOKUP_spp!$A$2:$E$102,5,1)</f>
        <v>Hymenoptera</v>
      </c>
      <c r="H422" t="str">
        <f t="shared" si="6"/>
        <v>Sep</v>
      </c>
      <c r="I422">
        <v>1</v>
      </c>
    </row>
    <row r="423" spans="1:9" x14ac:dyDescent="0.35">
      <c r="A423">
        <v>422</v>
      </c>
      <c r="B423" s="2">
        <v>43734</v>
      </c>
      <c r="C423" t="s">
        <v>63</v>
      </c>
      <c r="D423" t="s">
        <v>172</v>
      </c>
      <c r="E423">
        <v>1</v>
      </c>
      <c r="F423" t="str">
        <f>VLOOKUP($C423,VLOOKUP_spp!$A$2:$D$103,4,1)</f>
        <v>Bombus_flavidus</v>
      </c>
      <c r="G423" t="str">
        <f>VLOOKUP($F423,VLOOKUP_spp!$A$2:$E$102,5,1)</f>
        <v>Hymenoptera</v>
      </c>
      <c r="H423" t="str">
        <f t="shared" si="6"/>
        <v>Sep</v>
      </c>
      <c r="I423">
        <v>1</v>
      </c>
    </row>
    <row r="424" spans="1:9" x14ac:dyDescent="0.35">
      <c r="A424">
        <v>423</v>
      </c>
      <c r="B424" s="2">
        <v>43734</v>
      </c>
      <c r="C424" t="s">
        <v>67</v>
      </c>
      <c r="D424" t="s">
        <v>169</v>
      </c>
      <c r="E424">
        <v>4</v>
      </c>
      <c r="F424" t="str">
        <f>VLOOKUP($C424,VLOOKUP_spp!$A$2:$D$103,4,1)</f>
        <v>Bombus_impatiens</v>
      </c>
      <c r="G424" t="str">
        <f>VLOOKUP($F424,VLOOKUP_spp!$A$2:$E$102,5,1)</f>
        <v>Hymenoptera</v>
      </c>
      <c r="H424" t="str">
        <f t="shared" si="6"/>
        <v>Sep</v>
      </c>
      <c r="I424">
        <v>1</v>
      </c>
    </row>
    <row r="425" spans="1:9" x14ac:dyDescent="0.35">
      <c r="A425">
        <v>424</v>
      </c>
      <c r="B425" s="2">
        <v>43734</v>
      </c>
      <c r="C425" t="s">
        <v>67</v>
      </c>
      <c r="D425" t="s">
        <v>158</v>
      </c>
      <c r="E425">
        <v>1</v>
      </c>
      <c r="F425" t="str">
        <f>VLOOKUP($C425,VLOOKUP_spp!$A$2:$D$103,4,1)</f>
        <v>Bombus_impatiens</v>
      </c>
      <c r="G425" t="str">
        <f>VLOOKUP($F425,VLOOKUP_spp!$A$2:$E$102,5,1)</f>
        <v>Hymenoptera</v>
      </c>
      <c r="H425" t="str">
        <f t="shared" si="6"/>
        <v>Sep</v>
      </c>
      <c r="I425">
        <v>1</v>
      </c>
    </row>
    <row r="426" spans="1:9" x14ac:dyDescent="0.35">
      <c r="A426">
        <v>425</v>
      </c>
      <c r="B426" s="2">
        <v>43734</v>
      </c>
      <c r="C426" t="s">
        <v>67</v>
      </c>
      <c r="D426" t="s">
        <v>172</v>
      </c>
      <c r="E426">
        <v>4</v>
      </c>
      <c r="F426" t="str">
        <f>VLOOKUP($C426,VLOOKUP_spp!$A$2:$D$103,4,1)</f>
        <v>Bombus_impatiens</v>
      </c>
      <c r="G426" t="str">
        <f>VLOOKUP($F426,VLOOKUP_spp!$A$2:$E$102,5,1)</f>
        <v>Hymenoptera</v>
      </c>
      <c r="H426" t="str">
        <f t="shared" si="6"/>
        <v>Sep</v>
      </c>
      <c r="I426">
        <v>1</v>
      </c>
    </row>
    <row r="427" spans="1:9" x14ac:dyDescent="0.35">
      <c r="A427">
        <v>426</v>
      </c>
      <c r="B427" s="2">
        <v>43734</v>
      </c>
      <c r="C427" t="s">
        <v>67</v>
      </c>
      <c r="D427" t="s">
        <v>150</v>
      </c>
      <c r="E427">
        <v>2</v>
      </c>
      <c r="F427" t="str">
        <f>VLOOKUP($C427,VLOOKUP_spp!$A$2:$D$103,4,1)</f>
        <v>Bombus_impatiens</v>
      </c>
      <c r="G427" t="str">
        <f>VLOOKUP($F427,VLOOKUP_spp!$A$2:$E$102,5,1)</f>
        <v>Hymenoptera</v>
      </c>
      <c r="H427" t="str">
        <f t="shared" si="6"/>
        <v>Sep</v>
      </c>
      <c r="I427">
        <v>1</v>
      </c>
    </row>
    <row r="428" spans="1:9" x14ac:dyDescent="0.35">
      <c r="A428">
        <v>427</v>
      </c>
      <c r="B428" s="2">
        <v>43734</v>
      </c>
      <c r="C428" t="s">
        <v>67</v>
      </c>
      <c r="D428" t="s">
        <v>162</v>
      </c>
      <c r="E428">
        <v>2</v>
      </c>
      <c r="F428" t="str">
        <f>VLOOKUP($C428,VLOOKUP_spp!$A$2:$D$103,4,1)</f>
        <v>Bombus_impatiens</v>
      </c>
      <c r="G428" t="str">
        <f>VLOOKUP($F428,VLOOKUP_spp!$A$2:$E$102,5,1)</f>
        <v>Hymenoptera</v>
      </c>
      <c r="H428" t="str">
        <f t="shared" si="6"/>
        <v>Sep</v>
      </c>
      <c r="I428">
        <v>1</v>
      </c>
    </row>
    <row r="429" spans="1:9" x14ac:dyDescent="0.35">
      <c r="A429">
        <v>428</v>
      </c>
      <c r="B429" s="2">
        <v>43734</v>
      </c>
      <c r="C429" t="s">
        <v>77</v>
      </c>
      <c r="D429" t="s">
        <v>172</v>
      </c>
      <c r="E429">
        <v>1</v>
      </c>
      <c r="F429" t="str">
        <f>VLOOKUP($C429,VLOOKUP_spp!$A$2:$D$103,4,1)</f>
        <v>Bombus_vagans_sandersoni</v>
      </c>
      <c r="G429" t="str">
        <f>VLOOKUP($F429,VLOOKUP_spp!$A$2:$E$102,5,1)</f>
        <v>Hymenoptera</v>
      </c>
      <c r="H429" t="str">
        <f t="shared" si="6"/>
        <v>Sep</v>
      </c>
      <c r="I429">
        <v>1</v>
      </c>
    </row>
    <row r="430" spans="1:9" x14ac:dyDescent="0.35">
      <c r="A430">
        <v>429</v>
      </c>
      <c r="B430" s="2">
        <v>43734</v>
      </c>
      <c r="C430" t="s">
        <v>7</v>
      </c>
      <c r="D430" t="s">
        <v>169</v>
      </c>
      <c r="E430">
        <v>1</v>
      </c>
      <c r="F430" t="str">
        <f>VLOOKUP($C430,VLOOKUP_spp!$A$2:$D$103,4,1)</f>
        <v>Coleoptera</v>
      </c>
      <c r="G430" t="str">
        <f>VLOOKUP($F430,VLOOKUP_spp!$A$2:$E$102,5,1)</f>
        <v>Coleoptera</v>
      </c>
      <c r="H430" t="str">
        <f t="shared" si="6"/>
        <v>Sep</v>
      </c>
      <c r="I430">
        <v>1</v>
      </c>
    </row>
    <row r="431" spans="1:9" x14ac:dyDescent="0.35">
      <c r="A431">
        <v>430</v>
      </c>
      <c r="B431" s="2">
        <v>43734</v>
      </c>
      <c r="C431" t="s">
        <v>7</v>
      </c>
      <c r="D431" t="s">
        <v>172</v>
      </c>
      <c r="E431">
        <v>4</v>
      </c>
      <c r="F431" t="str">
        <f>VLOOKUP($C431,VLOOKUP_spp!$A$2:$D$103,4,1)</f>
        <v>Coleoptera</v>
      </c>
      <c r="G431" t="str">
        <f>VLOOKUP($F431,VLOOKUP_spp!$A$2:$E$102,5,1)</f>
        <v>Coleoptera</v>
      </c>
      <c r="H431" t="str">
        <f t="shared" si="6"/>
        <v>Sep</v>
      </c>
      <c r="I431">
        <v>1</v>
      </c>
    </row>
    <row r="432" spans="1:9" x14ac:dyDescent="0.35">
      <c r="A432">
        <v>431</v>
      </c>
      <c r="B432" s="2">
        <v>43734</v>
      </c>
      <c r="C432" t="s">
        <v>7</v>
      </c>
      <c r="D432" t="s">
        <v>162</v>
      </c>
      <c r="E432">
        <v>1</v>
      </c>
      <c r="F432" t="str">
        <f>VLOOKUP($C432,VLOOKUP_spp!$A$2:$D$103,4,1)</f>
        <v>Coleoptera</v>
      </c>
      <c r="G432" t="str">
        <f>VLOOKUP($F432,VLOOKUP_spp!$A$2:$E$102,5,1)</f>
        <v>Coleoptera</v>
      </c>
      <c r="H432" t="str">
        <f t="shared" si="6"/>
        <v>Sep</v>
      </c>
      <c r="I432">
        <v>1</v>
      </c>
    </row>
    <row r="433" spans="1:9" x14ac:dyDescent="0.35">
      <c r="A433">
        <v>432</v>
      </c>
      <c r="B433" s="2">
        <v>43734</v>
      </c>
      <c r="C433" t="s">
        <v>6</v>
      </c>
      <c r="D433" t="s">
        <v>171</v>
      </c>
      <c r="E433">
        <v>3</v>
      </c>
      <c r="F433" t="str">
        <f>VLOOKUP($C433,VLOOKUP_spp!$A$2:$D$103,4,1)</f>
        <v>Diptera</v>
      </c>
      <c r="G433" t="str">
        <f>VLOOKUP($F433,VLOOKUP_spp!$A$2:$E$102,5,1)</f>
        <v>Diptera</v>
      </c>
      <c r="H433" t="str">
        <f t="shared" si="6"/>
        <v>Sep</v>
      </c>
      <c r="I433">
        <v>1</v>
      </c>
    </row>
    <row r="434" spans="1:9" x14ac:dyDescent="0.35">
      <c r="A434">
        <v>433</v>
      </c>
      <c r="B434" s="2">
        <v>43734</v>
      </c>
      <c r="C434" t="s">
        <v>6</v>
      </c>
      <c r="D434" t="s">
        <v>169</v>
      </c>
      <c r="E434">
        <v>2</v>
      </c>
      <c r="F434" t="str">
        <f>VLOOKUP($C434,VLOOKUP_spp!$A$2:$D$103,4,1)</f>
        <v>Diptera</v>
      </c>
      <c r="G434" t="str">
        <f>VLOOKUP($F434,VLOOKUP_spp!$A$2:$E$102,5,1)</f>
        <v>Diptera</v>
      </c>
      <c r="H434" t="str">
        <f t="shared" si="6"/>
        <v>Sep</v>
      </c>
      <c r="I434">
        <v>1</v>
      </c>
    </row>
    <row r="435" spans="1:9" x14ac:dyDescent="0.35">
      <c r="A435">
        <v>434</v>
      </c>
      <c r="B435" s="2">
        <v>43734</v>
      </c>
      <c r="C435" t="s">
        <v>6</v>
      </c>
      <c r="D435" t="s">
        <v>158</v>
      </c>
      <c r="E435">
        <v>4</v>
      </c>
      <c r="F435" t="str">
        <f>VLOOKUP($C435,VLOOKUP_spp!$A$2:$D$103,4,1)</f>
        <v>Diptera</v>
      </c>
      <c r="G435" t="str">
        <f>VLOOKUP($F435,VLOOKUP_spp!$A$2:$E$102,5,1)</f>
        <v>Diptera</v>
      </c>
      <c r="H435" t="str">
        <f t="shared" si="6"/>
        <v>Sep</v>
      </c>
      <c r="I435">
        <v>1</v>
      </c>
    </row>
    <row r="436" spans="1:9" x14ac:dyDescent="0.35">
      <c r="A436">
        <v>435</v>
      </c>
      <c r="B436" s="2">
        <v>43734</v>
      </c>
      <c r="C436" t="s">
        <v>8</v>
      </c>
      <c r="D436" t="s">
        <v>171</v>
      </c>
      <c r="E436">
        <v>1</v>
      </c>
      <c r="F436" t="str">
        <f>VLOOKUP($C436,VLOOKUP_spp!$A$2:$D$103,4,1)</f>
        <v>Lepidoptera</v>
      </c>
      <c r="G436" t="str">
        <f>VLOOKUP($F436,VLOOKUP_spp!$A$2:$E$102,5,1)</f>
        <v>Lepidoptera</v>
      </c>
      <c r="H436" t="str">
        <f t="shared" si="6"/>
        <v>Sep</v>
      </c>
      <c r="I436">
        <v>1</v>
      </c>
    </row>
    <row r="437" spans="1:9" x14ac:dyDescent="0.35">
      <c r="A437">
        <v>436</v>
      </c>
      <c r="B437" s="2">
        <v>43734</v>
      </c>
      <c r="C437" t="s">
        <v>8</v>
      </c>
      <c r="D437" t="s">
        <v>169</v>
      </c>
      <c r="E437">
        <v>7</v>
      </c>
      <c r="F437" t="str">
        <f>VLOOKUP($C437,VLOOKUP_spp!$A$2:$D$103,4,1)</f>
        <v>Lepidoptera</v>
      </c>
      <c r="G437" t="str">
        <f>VLOOKUP($F437,VLOOKUP_spp!$A$2:$E$102,5,1)</f>
        <v>Lepidoptera</v>
      </c>
      <c r="H437" t="str">
        <f t="shared" si="6"/>
        <v>Sep</v>
      </c>
      <c r="I437">
        <v>1</v>
      </c>
    </row>
    <row r="438" spans="1:9" x14ac:dyDescent="0.35">
      <c r="A438">
        <v>437</v>
      </c>
      <c r="B438" s="2">
        <v>43734</v>
      </c>
      <c r="C438" t="s">
        <v>8</v>
      </c>
      <c r="D438" t="s">
        <v>166</v>
      </c>
      <c r="E438">
        <v>2</v>
      </c>
      <c r="F438" t="str">
        <f>VLOOKUP($C438,VLOOKUP_spp!$A$2:$D$103,4,1)</f>
        <v>Lepidoptera</v>
      </c>
      <c r="G438" t="str">
        <f>VLOOKUP($F438,VLOOKUP_spp!$A$2:$E$102,5,1)</f>
        <v>Lepidoptera</v>
      </c>
      <c r="H438" t="str">
        <f t="shared" si="6"/>
        <v>Sep</v>
      </c>
      <c r="I438">
        <v>1</v>
      </c>
    </row>
    <row r="439" spans="1:9" x14ac:dyDescent="0.35">
      <c r="A439">
        <v>438</v>
      </c>
      <c r="B439" s="2">
        <v>43734</v>
      </c>
      <c r="C439" t="s">
        <v>8</v>
      </c>
      <c r="D439" t="s">
        <v>172</v>
      </c>
      <c r="E439">
        <v>4</v>
      </c>
      <c r="F439" t="str">
        <f>VLOOKUP($C439,VLOOKUP_spp!$A$2:$D$103,4,1)</f>
        <v>Lepidoptera</v>
      </c>
      <c r="G439" t="str">
        <f>VLOOKUP($F439,VLOOKUP_spp!$A$2:$E$102,5,1)</f>
        <v>Lepidoptera</v>
      </c>
      <c r="H439" t="str">
        <f t="shared" si="6"/>
        <v>Sep</v>
      </c>
      <c r="I439">
        <v>1</v>
      </c>
    </row>
    <row r="440" spans="1:9" x14ac:dyDescent="0.35">
      <c r="A440">
        <v>439</v>
      </c>
      <c r="B440" s="2">
        <v>43734</v>
      </c>
      <c r="C440" t="s">
        <v>126</v>
      </c>
      <c r="D440" t="s">
        <v>171</v>
      </c>
      <c r="E440">
        <v>3</v>
      </c>
      <c r="F440" t="str">
        <f>VLOOKUP($C440,VLOOKUP_spp!$A$2:$D$103,4,1)</f>
        <v>Syrphidae</v>
      </c>
      <c r="G440" t="str">
        <f>VLOOKUP($F440,VLOOKUP_spp!$A$2:$E$102,5,1)</f>
        <v>Diptera</v>
      </c>
      <c r="H440" t="str">
        <f t="shared" si="6"/>
        <v>Sep</v>
      </c>
      <c r="I440">
        <v>1</v>
      </c>
    </row>
    <row r="441" spans="1:9" x14ac:dyDescent="0.35">
      <c r="A441">
        <v>440</v>
      </c>
      <c r="B441" s="2">
        <v>43734</v>
      </c>
      <c r="C441" t="s">
        <v>126</v>
      </c>
      <c r="D441" t="s">
        <v>158</v>
      </c>
      <c r="E441">
        <v>2</v>
      </c>
      <c r="F441" t="str">
        <f>VLOOKUP($C441,VLOOKUP_spp!$A$2:$D$103,4,1)</f>
        <v>Syrphidae</v>
      </c>
      <c r="G441" t="str">
        <f>VLOOKUP($F441,VLOOKUP_spp!$A$2:$E$102,5,1)</f>
        <v>Diptera</v>
      </c>
      <c r="H441" t="str">
        <f t="shared" si="6"/>
        <v>Sep</v>
      </c>
      <c r="I441">
        <v>1</v>
      </c>
    </row>
    <row r="442" spans="1:9" x14ac:dyDescent="0.35">
      <c r="A442">
        <v>441</v>
      </c>
      <c r="B442" s="2">
        <v>43734</v>
      </c>
      <c r="C442" t="s">
        <v>126</v>
      </c>
      <c r="D442" t="s">
        <v>166</v>
      </c>
      <c r="E442">
        <v>1</v>
      </c>
      <c r="F442" t="str">
        <f>VLOOKUP($C442,VLOOKUP_spp!$A$2:$D$103,4,1)</f>
        <v>Syrphidae</v>
      </c>
      <c r="G442" t="str">
        <f>VLOOKUP($F442,VLOOKUP_spp!$A$2:$E$102,5,1)</f>
        <v>Diptera</v>
      </c>
      <c r="H442" t="str">
        <f t="shared" si="6"/>
        <v>Sep</v>
      </c>
      <c r="I442">
        <v>1</v>
      </c>
    </row>
    <row r="443" spans="1:9" x14ac:dyDescent="0.35">
      <c r="A443">
        <v>442</v>
      </c>
      <c r="B443" s="2">
        <v>43734</v>
      </c>
      <c r="C443" t="s">
        <v>126</v>
      </c>
      <c r="D443" t="s">
        <v>173</v>
      </c>
      <c r="E443">
        <v>5</v>
      </c>
      <c r="F443" t="str">
        <f>VLOOKUP($C443,VLOOKUP_spp!$A$2:$D$103,4,1)</f>
        <v>Syrphidae</v>
      </c>
      <c r="G443" t="str">
        <f>VLOOKUP($F443,VLOOKUP_spp!$A$2:$E$102,5,1)</f>
        <v>Diptera</v>
      </c>
      <c r="H443" t="str">
        <f t="shared" si="6"/>
        <v>Sep</v>
      </c>
      <c r="I443">
        <v>1</v>
      </c>
    </row>
    <row r="444" spans="1:9" x14ac:dyDescent="0.35">
      <c r="A444">
        <v>443</v>
      </c>
      <c r="B444" s="2">
        <v>43734</v>
      </c>
      <c r="C444" t="s">
        <v>126</v>
      </c>
      <c r="D444" t="s">
        <v>150</v>
      </c>
      <c r="E444">
        <v>3</v>
      </c>
      <c r="F444" t="str">
        <f>VLOOKUP($C444,VLOOKUP_spp!$A$2:$D$103,4,1)</f>
        <v>Syrphidae</v>
      </c>
      <c r="G444" t="str">
        <f>VLOOKUP($F444,VLOOKUP_spp!$A$2:$E$102,5,1)</f>
        <v>Diptera</v>
      </c>
      <c r="H444" t="str">
        <f t="shared" si="6"/>
        <v>Sep</v>
      </c>
      <c r="I444">
        <v>1</v>
      </c>
    </row>
    <row r="445" spans="1:9" x14ac:dyDescent="0.35">
      <c r="A445">
        <v>444</v>
      </c>
      <c r="B445" s="2">
        <v>43734</v>
      </c>
      <c r="C445" t="s">
        <v>126</v>
      </c>
      <c r="D445" t="s">
        <v>162</v>
      </c>
      <c r="E445">
        <v>5</v>
      </c>
      <c r="F445" t="str">
        <f>VLOOKUP($C445,VLOOKUP_spp!$A$2:$D$103,4,1)</f>
        <v>Syrphidae</v>
      </c>
      <c r="G445" t="str">
        <f>VLOOKUP($F445,VLOOKUP_spp!$A$2:$E$102,5,1)</f>
        <v>Diptera</v>
      </c>
      <c r="H445" t="str">
        <f t="shared" si="6"/>
        <v>Sep</v>
      </c>
      <c r="I445">
        <v>1</v>
      </c>
    </row>
    <row r="446" spans="1:9" x14ac:dyDescent="0.35">
      <c r="A446">
        <v>445</v>
      </c>
      <c r="B446" s="2">
        <v>43734</v>
      </c>
      <c r="C446" t="s">
        <v>128</v>
      </c>
      <c r="D446" t="s">
        <v>169</v>
      </c>
      <c r="E446">
        <v>2</v>
      </c>
      <c r="F446" t="str">
        <f>VLOOKUP($C446,VLOOKUP_spp!$A$2:$D$103,4,1)</f>
        <v>Wasp</v>
      </c>
      <c r="G446" t="str">
        <f>VLOOKUP($F446,VLOOKUP_spp!$A$2:$E$102,5,1)</f>
        <v>Hymenoptera</v>
      </c>
      <c r="H446" t="str">
        <f t="shared" si="6"/>
        <v>Sep</v>
      </c>
      <c r="I446">
        <v>1</v>
      </c>
    </row>
    <row r="447" spans="1:9" x14ac:dyDescent="0.35">
      <c r="A447">
        <v>446</v>
      </c>
      <c r="B447" s="2">
        <v>43734</v>
      </c>
      <c r="C447" t="s">
        <v>128</v>
      </c>
      <c r="D447" t="s">
        <v>158</v>
      </c>
      <c r="E447">
        <v>1</v>
      </c>
      <c r="F447" t="str">
        <f>VLOOKUP($C447,VLOOKUP_spp!$A$2:$D$103,4,1)</f>
        <v>Wasp</v>
      </c>
      <c r="G447" t="str">
        <f>VLOOKUP($F447,VLOOKUP_spp!$A$2:$E$102,5,1)</f>
        <v>Hymenoptera</v>
      </c>
      <c r="H447" t="str">
        <f t="shared" si="6"/>
        <v>Sep</v>
      </c>
      <c r="I447">
        <v>1</v>
      </c>
    </row>
    <row r="448" spans="1:9" x14ac:dyDescent="0.35">
      <c r="A448">
        <v>447</v>
      </c>
      <c r="B448" s="2">
        <v>43734</v>
      </c>
      <c r="C448" t="s">
        <v>128</v>
      </c>
      <c r="D448" t="s">
        <v>166</v>
      </c>
      <c r="E448">
        <v>4</v>
      </c>
      <c r="F448" t="str">
        <f>VLOOKUP($C448,VLOOKUP_spp!$A$2:$D$103,4,1)</f>
        <v>Wasp</v>
      </c>
      <c r="G448" t="str">
        <f>VLOOKUP($F448,VLOOKUP_spp!$A$2:$E$102,5,1)</f>
        <v>Hymenoptera</v>
      </c>
      <c r="H448" t="str">
        <f t="shared" si="6"/>
        <v>Sep</v>
      </c>
      <c r="I448">
        <v>1</v>
      </c>
    </row>
    <row r="449" spans="1:9" x14ac:dyDescent="0.35">
      <c r="A449">
        <v>448</v>
      </c>
      <c r="B449" s="2">
        <v>43734</v>
      </c>
      <c r="C449" t="s">
        <v>128</v>
      </c>
      <c r="D449" t="s">
        <v>160</v>
      </c>
      <c r="E449">
        <v>5</v>
      </c>
      <c r="F449" t="str">
        <f>VLOOKUP($C449,VLOOKUP_spp!$A$2:$D$103,4,1)</f>
        <v>Wasp</v>
      </c>
      <c r="G449" t="str">
        <f>VLOOKUP($F449,VLOOKUP_spp!$A$2:$E$102,5,1)</f>
        <v>Hymenoptera</v>
      </c>
      <c r="H449" t="str">
        <f t="shared" si="6"/>
        <v>Sep</v>
      </c>
      <c r="I449">
        <v>1</v>
      </c>
    </row>
    <row r="450" spans="1:9" x14ac:dyDescent="0.35">
      <c r="A450">
        <v>449</v>
      </c>
      <c r="B450" s="2">
        <v>43734</v>
      </c>
      <c r="C450" t="s">
        <v>128</v>
      </c>
      <c r="D450" t="s">
        <v>162</v>
      </c>
      <c r="E450">
        <v>2</v>
      </c>
      <c r="F450" t="str">
        <f>VLOOKUP($C450,VLOOKUP_spp!$A$2:$D$103,4,1)</f>
        <v>Wasp</v>
      </c>
      <c r="G450" t="str">
        <f>VLOOKUP($F450,VLOOKUP_spp!$A$2:$E$102,5,1)</f>
        <v>Hymenoptera</v>
      </c>
      <c r="H450" t="str">
        <f t="shared" si="6"/>
        <v>Sep</v>
      </c>
      <c r="I450">
        <v>1</v>
      </c>
    </row>
    <row r="451" spans="1:9" x14ac:dyDescent="0.35">
      <c r="A451">
        <v>450</v>
      </c>
      <c r="B451" s="2">
        <v>43734</v>
      </c>
      <c r="C451" t="s">
        <v>138</v>
      </c>
      <c r="D451" t="s">
        <v>162</v>
      </c>
      <c r="E451">
        <v>1</v>
      </c>
      <c r="F451" t="str">
        <f>VLOOKUP($C451,VLOOKUP_spp!$A$2:$D$103,4,1)</f>
        <v>Xylocopa_virginica</v>
      </c>
      <c r="G451" t="str">
        <f>VLOOKUP($F451,VLOOKUP_spp!$A$2:$E$102,5,1)</f>
        <v>Hymenoptera</v>
      </c>
      <c r="H451" t="str">
        <f t="shared" ref="H451:H514" si="7">TEXT(B451, "mmm")</f>
        <v>Sep</v>
      </c>
      <c r="I451">
        <v>1</v>
      </c>
    </row>
    <row r="452" spans="1:9" x14ac:dyDescent="0.35">
      <c r="A452">
        <v>451</v>
      </c>
      <c r="B452" s="2">
        <v>43738</v>
      </c>
      <c r="C452" t="s">
        <v>50</v>
      </c>
      <c r="D452" t="s">
        <v>169</v>
      </c>
      <c r="E452">
        <v>1</v>
      </c>
      <c r="F452" t="str">
        <f>VLOOKUP($C452,VLOOKUP_spp!$A$2:$D$103,4,1)</f>
        <v>Apis_mellifera</v>
      </c>
      <c r="G452" t="str">
        <f>VLOOKUP($F452,VLOOKUP_spp!$A$2:$E$102,5,1)</f>
        <v>Hymenoptera</v>
      </c>
      <c r="H452" t="str">
        <f t="shared" si="7"/>
        <v>Sep</v>
      </c>
      <c r="I452">
        <v>1</v>
      </c>
    </row>
    <row r="453" spans="1:9" x14ac:dyDescent="0.35">
      <c r="A453">
        <v>452</v>
      </c>
      <c r="B453" s="2">
        <v>43738</v>
      </c>
      <c r="C453" t="s">
        <v>50</v>
      </c>
      <c r="D453" t="s">
        <v>166</v>
      </c>
      <c r="E453">
        <v>11</v>
      </c>
      <c r="F453" t="str">
        <f>VLOOKUP($C453,VLOOKUP_spp!$A$2:$D$103,4,1)</f>
        <v>Apis_mellifera</v>
      </c>
      <c r="G453" t="str">
        <f>VLOOKUP($F453,VLOOKUP_spp!$A$2:$E$102,5,1)</f>
        <v>Hymenoptera</v>
      </c>
      <c r="H453" t="str">
        <f t="shared" si="7"/>
        <v>Sep</v>
      </c>
      <c r="I453">
        <v>1</v>
      </c>
    </row>
    <row r="454" spans="1:9" x14ac:dyDescent="0.35">
      <c r="A454">
        <v>453</v>
      </c>
      <c r="B454" s="2">
        <v>43738</v>
      </c>
      <c r="C454" t="s">
        <v>50</v>
      </c>
      <c r="D454" t="s">
        <v>172</v>
      </c>
      <c r="E454">
        <v>3</v>
      </c>
      <c r="F454" t="str">
        <f>VLOOKUP($C454,VLOOKUP_spp!$A$2:$D$103,4,1)</f>
        <v>Apis_mellifera</v>
      </c>
      <c r="G454" t="str">
        <f>VLOOKUP($F454,VLOOKUP_spp!$A$2:$E$102,5,1)</f>
        <v>Hymenoptera</v>
      </c>
      <c r="H454" t="str">
        <f t="shared" si="7"/>
        <v>Sep</v>
      </c>
      <c r="I454">
        <v>1</v>
      </c>
    </row>
    <row r="455" spans="1:9" x14ac:dyDescent="0.35">
      <c r="A455">
        <v>454</v>
      </c>
      <c r="B455" s="2">
        <v>43738</v>
      </c>
      <c r="C455" t="s">
        <v>50</v>
      </c>
      <c r="D455" t="s">
        <v>160</v>
      </c>
      <c r="E455">
        <v>4</v>
      </c>
      <c r="F455" t="str">
        <f>VLOOKUP($C455,VLOOKUP_spp!$A$2:$D$103,4,1)</f>
        <v>Apis_mellifera</v>
      </c>
      <c r="G455" t="str">
        <f>VLOOKUP($F455,VLOOKUP_spp!$A$2:$E$102,5,1)</f>
        <v>Hymenoptera</v>
      </c>
      <c r="H455" t="str">
        <f t="shared" si="7"/>
        <v>Sep</v>
      </c>
      <c r="I455">
        <v>1</v>
      </c>
    </row>
    <row r="456" spans="1:9" x14ac:dyDescent="0.35">
      <c r="A456">
        <v>455</v>
      </c>
      <c r="B456" s="2">
        <v>43738</v>
      </c>
      <c r="C456" t="s">
        <v>50</v>
      </c>
      <c r="D456" t="s">
        <v>162</v>
      </c>
      <c r="E456">
        <v>10</v>
      </c>
      <c r="F456" t="str">
        <f>VLOOKUP($C456,VLOOKUP_spp!$A$2:$D$103,4,1)</f>
        <v>Apis_mellifera</v>
      </c>
      <c r="G456" t="str">
        <f>VLOOKUP($F456,VLOOKUP_spp!$A$2:$E$102,5,1)</f>
        <v>Hymenoptera</v>
      </c>
      <c r="H456" t="str">
        <f t="shared" si="7"/>
        <v>Sep</v>
      </c>
      <c r="I456">
        <v>1</v>
      </c>
    </row>
    <row r="457" spans="1:9" x14ac:dyDescent="0.35">
      <c r="A457">
        <v>456</v>
      </c>
      <c r="B457" s="2">
        <v>43738</v>
      </c>
      <c r="C457" t="s">
        <v>50</v>
      </c>
      <c r="D457" t="s">
        <v>156</v>
      </c>
      <c r="E457">
        <v>1</v>
      </c>
      <c r="F457" t="str">
        <f>VLOOKUP($C457,VLOOKUP_spp!$A$2:$D$103,4,1)</f>
        <v>Apis_mellifera</v>
      </c>
      <c r="G457" t="str">
        <f>VLOOKUP($F457,VLOOKUP_spp!$A$2:$E$102,5,1)</f>
        <v>Hymenoptera</v>
      </c>
      <c r="H457" t="str">
        <f t="shared" si="7"/>
        <v>Sep</v>
      </c>
      <c r="I457">
        <v>1</v>
      </c>
    </row>
    <row r="458" spans="1:9" x14ac:dyDescent="0.35">
      <c r="A458">
        <v>457</v>
      </c>
      <c r="B458" s="2">
        <v>43738</v>
      </c>
      <c r="C458" t="s">
        <v>50</v>
      </c>
      <c r="D458" t="s">
        <v>151</v>
      </c>
      <c r="E458">
        <v>1</v>
      </c>
      <c r="F458" t="str">
        <f>VLOOKUP($C458,VLOOKUP_spp!$A$2:$D$103,4,1)</f>
        <v>Apis_mellifera</v>
      </c>
      <c r="G458" t="str">
        <f>VLOOKUP($F458,VLOOKUP_spp!$A$2:$E$102,5,1)</f>
        <v>Hymenoptera</v>
      </c>
      <c r="H458" t="str">
        <f t="shared" si="7"/>
        <v>Sep</v>
      </c>
      <c r="I458">
        <v>1</v>
      </c>
    </row>
    <row r="459" spans="1:9" x14ac:dyDescent="0.35">
      <c r="A459">
        <v>458</v>
      </c>
      <c r="B459" s="2">
        <v>43738</v>
      </c>
      <c r="C459" t="s">
        <v>51</v>
      </c>
      <c r="D459" t="s">
        <v>169</v>
      </c>
      <c r="E459">
        <v>1</v>
      </c>
      <c r="F459" t="str">
        <f>VLOOKUP($C459,VLOOKUP_spp!$A$2:$D$103,4,1)</f>
        <v>Augochlora</v>
      </c>
      <c r="G459" t="str">
        <f>VLOOKUP($F459,VLOOKUP_spp!$A$2:$E$102,5,1)</f>
        <v>Hymenoptera</v>
      </c>
      <c r="H459" t="str">
        <f t="shared" si="7"/>
        <v>Sep</v>
      </c>
      <c r="I459">
        <v>1</v>
      </c>
    </row>
    <row r="460" spans="1:9" x14ac:dyDescent="0.35">
      <c r="A460">
        <v>459</v>
      </c>
      <c r="B460" s="2">
        <v>43738</v>
      </c>
      <c r="C460" t="s">
        <v>51</v>
      </c>
      <c r="D460" t="s">
        <v>172</v>
      </c>
      <c r="E460">
        <v>1</v>
      </c>
      <c r="F460" t="str">
        <f>VLOOKUP($C460,VLOOKUP_spp!$A$2:$D$103,4,1)</f>
        <v>Augochlora</v>
      </c>
      <c r="G460" t="str">
        <f>VLOOKUP($F460,VLOOKUP_spp!$A$2:$E$102,5,1)</f>
        <v>Hymenoptera</v>
      </c>
      <c r="H460" t="str">
        <f t="shared" si="7"/>
        <v>Sep</v>
      </c>
      <c r="I460">
        <v>1</v>
      </c>
    </row>
    <row r="461" spans="1:9" x14ac:dyDescent="0.35">
      <c r="A461">
        <v>460</v>
      </c>
      <c r="B461" s="2">
        <v>43738</v>
      </c>
      <c r="C461" t="s">
        <v>51</v>
      </c>
      <c r="D461" t="s">
        <v>150</v>
      </c>
      <c r="E461">
        <v>2</v>
      </c>
      <c r="F461" t="str">
        <f>VLOOKUP($C461,VLOOKUP_spp!$A$2:$D$103,4,1)</f>
        <v>Augochlora</v>
      </c>
      <c r="G461" t="str">
        <f>VLOOKUP($F461,VLOOKUP_spp!$A$2:$E$102,5,1)</f>
        <v>Hymenoptera</v>
      </c>
      <c r="H461" t="str">
        <f t="shared" si="7"/>
        <v>Sep</v>
      </c>
      <c r="I461">
        <v>1</v>
      </c>
    </row>
    <row r="462" spans="1:9" x14ac:dyDescent="0.35">
      <c r="A462">
        <v>461</v>
      </c>
      <c r="B462" s="2">
        <v>43738</v>
      </c>
      <c r="C462" t="s">
        <v>53</v>
      </c>
      <c r="D462" t="s">
        <v>172</v>
      </c>
      <c r="E462">
        <v>2</v>
      </c>
      <c r="F462" t="str">
        <f>VLOOKUP($C462,VLOOKUP_spp!$A$2:$D$103,4,1)</f>
        <v>Augochloropsis</v>
      </c>
      <c r="G462" t="str">
        <f>VLOOKUP($F462,VLOOKUP_spp!$A$2:$E$102,5,1)</f>
        <v>Hymenoptera</v>
      </c>
      <c r="H462" t="str">
        <f t="shared" si="7"/>
        <v>Sep</v>
      </c>
      <c r="I462">
        <v>1</v>
      </c>
    </row>
    <row r="463" spans="1:9" x14ac:dyDescent="0.35">
      <c r="A463">
        <v>462</v>
      </c>
      <c r="B463" s="2">
        <v>43738</v>
      </c>
      <c r="C463" t="s">
        <v>53</v>
      </c>
      <c r="D463" t="s">
        <v>150</v>
      </c>
      <c r="E463">
        <v>1</v>
      </c>
      <c r="F463" t="str">
        <f>VLOOKUP($C463,VLOOKUP_spp!$A$2:$D$103,4,1)</f>
        <v>Augochloropsis</v>
      </c>
      <c r="G463" t="str">
        <f>VLOOKUP($F463,VLOOKUP_spp!$A$2:$E$102,5,1)</f>
        <v>Hymenoptera</v>
      </c>
      <c r="H463" t="str">
        <f t="shared" si="7"/>
        <v>Sep</v>
      </c>
      <c r="I463">
        <v>1</v>
      </c>
    </row>
    <row r="464" spans="1:9" x14ac:dyDescent="0.35">
      <c r="A464">
        <v>463</v>
      </c>
      <c r="B464" s="2">
        <v>43738</v>
      </c>
      <c r="C464" t="s">
        <v>57</v>
      </c>
      <c r="D464" t="s">
        <v>151</v>
      </c>
      <c r="E464">
        <v>1</v>
      </c>
      <c r="F464" t="str">
        <f>VLOOKUP($C464,VLOOKUP_spp!$A$2:$D$103,4,1)</f>
        <v>Bombus_bimaculatus</v>
      </c>
      <c r="G464" t="str">
        <f>VLOOKUP($F464,VLOOKUP_spp!$A$2:$E$102,5,1)</f>
        <v>Hymenoptera</v>
      </c>
      <c r="H464" t="str">
        <f t="shared" si="7"/>
        <v>Sep</v>
      </c>
      <c r="I464">
        <v>1</v>
      </c>
    </row>
    <row r="465" spans="1:9" x14ac:dyDescent="0.35">
      <c r="A465">
        <v>464</v>
      </c>
      <c r="B465" s="2">
        <v>43738</v>
      </c>
      <c r="C465" t="s">
        <v>65</v>
      </c>
      <c r="D465" t="s">
        <v>151</v>
      </c>
      <c r="E465">
        <v>1</v>
      </c>
      <c r="F465" t="str">
        <f>VLOOKUP($C465,VLOOKUP_spp!$A$2:$D$103,4,1)</f>
        <v>Bombus_griseocollis</v>
      </c>
      <c r="G465" t="str">
        <f>VLOOKUP($F465,VLOOKUP_spp!$A$2:$E$102,5,1)</f>
        <v>Hymenoptera</v>
      </c>
      <c r="H465" t="str">
        <f t="shared" si="7"/>
        <v>Sep</v>
      </c>
      <c r="I465">
        <v>1</v>
      </c>
    </row>
    <row r="466" spans="1:9" x14ac:dyDescent="0.35">
      <c r="A466">
        <v>465</v>
      </c>
      <c r="B466" s="2">
        <v>43738</v>
      </c>
      <c r="C466" t="s">
        <v>67</v>
      </c>
      <c r="D466" t="s">
        <v>169</v>
      </c>
      <c r="E466">
        <v>9</v>
      </c>
      <c r="F466" t="str">
        <f>VLOOKUP($C466,VLOOKUP_spp!$A$2:$D$103,4,1)</f>
        <v>Bombus_impatiens</v>
      </c>
      <c r="G466" t="str">
        <f>VLOOKUP($F466,VLOOKUP_spp!$A$2:$E$102,5,1)</f>
        <v>Hymenoptera</v>
      </c>
      <c r="H466" t="str">
        <f t="shared" si="7"/>
        <v>Sep</v>
      </c>
      <c r="I466">
        <v>1</v>
      </c>
    </row>
    <row r="467" spans="1:9" x14ac:dyDescent="0.35">
      <c r="A467">
        <v>466</v>
      </c>
      <c r="B467" s="2">
        <v>43738</v>
      </c>
      <c r="C467" t="s">
        <v>67</v>
      </c>
      <c r="D467" t="s">
        <v>151</v>
      </c>
      <c r="E467">
        <v>16</v>
      </c>
      <c r="F467" t="str">
        <f>VLOOKUP($C467,VLOOKUP_spp!$A$2:$D$103,4,1)</f>
        <v>Bombus_impatiens</v>
      </c>
      <c r="G467" t="str">
        <f>VLOOKUP($F467,VLOOKUP_spp!$A$2:$E$102,5,1)</f>
        <v>Hymenoptera</v>
      </c>
      <c r="H467" t="str">
        <f t="shared" si="7"/>
        <v>Sep</v>
      </c>
      <c r="I467">
        <v>1</v>
      </c>
    </row>
    <row r="468" spans="1:9" x14ac:dyDescent="0.35">
      <c r="A468">
        <v>467</v>
      </c>
      <c r="B468" s="2">
        <v>43738</v>
      </c>
      <c r="C468" t="s">
        <v>85</v>
      </c>
      <c r="D468" t="s">
        <v>169</v>
      </c>
      <c r="E468">
        <v>2</v>
      </c>
      <c r="F468" t="str">
        <f>VLOOKUP($C468,VLOOKUP_spp!$A$2:$D$103,4,1)</f>
        <v>Ceratina</v>
      </c>
      <c r="G468" t="str">
        <f>VLOOKUP($F468,VLOOKUP_spp!$A$2:$E$102,5,1)</f>
        <v>Hymenoptera</v>
      </c>
      <c r="H468" t="str">
        <f t="shared" si="7"/>
        <v>Sep</v>
      </c>
      <c r="I468">
        <v>1</v>
      </c>
    </row>
    <row r="469" spans="1:9" x14ac:dyDescent="0.35">
      <c r="A469">
        <v>468</v>
      </c>
      <c r="B469" s="2">
        <v>43738</v>
      </c>
      <c r="C469" t="s">
        <v>7</v>
      </c>
      <c r="D469" t="s">
        <v>169</v>
      </c>
      <c r="E469">
        <v>1</v>
      </c>
      <c r="F469" t="str">
        <f>VLOOKUP($C469,VLOOKUP_spp!$A$2:$D$103,4,1)</f>
        <v>Coleoptera</v>
      </c>
      <c r="G469" t="str">
        <f>VLOOKUP($F469,VLOOKUP_spp!$A$2:$E$102,5,1)</f>
        <v>Coleoptera</v>
      </c>
      <c r="H469" t="str">
        <f t="shared" si="7"/>
        <v>Sep</v>
      </c>
      <c r="I469">
        <v>1</v>
      </c>
    </row>
    <row r="470" spans="1:9" x14ac:dyDescent="0.35">
      <c r="A470">
        <v>469</v>
      </c>
      <c r="B470" s="2">
        <v>43738</v>
      </c>
      <c r="C470" t="s">
        <v>7</v>
      </c>
      <c r="D470" t="s">
        <v>151</v>
      </c>
      <c r="E470">
        <v>2</v>
      </c>
      <c r="F470" t="str">
        <f>VLOOKUP($C470,VLOOKUP_spp!$A$2:$D$103,4,1)</f>
        <v>Coleoptera</v>
      </c>
      <c r="G470" t="str">
        <f>VLOOKUP($F470,VLOOKUP_spp!$A$2:$E$102,5,1)</f>
        <v>Coleoptera</v>
      </c>
      <c r="H470" t="str">
        <f t="shared" si="7"/>
        <v>Sep</v>
      </c>
      <c r="I470">
        <v>1</v>
      </c>
    </row>
    <row r="471" spans="1:9" x14ac:dyDescent="0.35">
      <c r="A471">
        <v>470</v>
      </c>
      <c r="B471" s="2">
        <v>43738</v>
      </c>
      <c r="C471" t="s">
        <v>90</v>
      </c>
      <c r="D471" t="s">
        <v>158</v>
      </c>
      <c r="E471">
        <v>1</v>
      </c>
      <c r="F471">
        <f>VLOOKUP($C471,VLOOKUP_spp!$A$2:$D$103,4,1)</f>
        <v>0</v>
      </c>
      <c r="G471" t="e">
        <f>VLOOKUP($F471,VLOOKUP_spp!$A$2:$E$102,5,1)</f>
        <v>#N/A</v>
      </c>
      <c r="H471" t="str">
        <f t="shared" si="7"/>
        <v>Sep</v>
      </c>
      <c r="I471">
        <v>1</v>
      </c>
    </row>
    <row r="472" spans="1:9" x14ac:dyDescent="0.35">
      <c r="A472">
        <v>471</v>
      </c>
      <c r="B472" s="2">
        <v>43738</v>
      </c>
      <c r="C472" t="s">
        <v>6</v>
      </c>
      <c r="D472" t="s">
        <v>169</v>
      </c>
      <c r="E472">
        <v>13</v>
      </c>
      <c r="F472" t="str">
        <f>VLOOKUP($C472,VLOOKUP_spp!$A$2:$D$103,4,1)</f>
        <v>Diptera</v>
      </c>
      <c r="G472" t="str">
        <f>VLOOKUP($F472,VLOOKUP_spp!$A$2:$E$102,5,1)</f>
        <v>Diptera</v>
      </c>
      <c r="H472" t="str">
        <f t="shared" si="7"/>
        <v>Sep</v>
      </c>
      <c r="I472">
        <v>1</v>
      </c>
    </row>
    <row r="473" spans="1:9" x14ac:dyDescent="0.35">
      <c r="A473">
        <v>472</v>
      </c>
      <c r="B473" s="2">
        <v>43738</v>
      </c>
      <c r="C473" t="s">
        <v>6</v>
      </c>
      <c r="D473" t="s">
        <v>166</v>
      </c>
      <c r="E473">
        <v>1</v>
      </c>
      <c r="F473" t="str">
        <f>VLOOKUP($C473,VLOOKUP_spp!$A$2:$D$103,4,1)</f>
        <v>Diptera</v>
      </c>
      <c r="G473" t="str">
        <f>VLOOKUP($F473,VLOOKUP_spp!$A$2:$E$102,5,1)</f>
        <v>Diptera</v>
      </c>
      <c r="H473" t="str">
        <f t="shared" si="7"/>
        <v>Sep</v>
      </c>
      <c r="I473">
        <v>1</v>
      </c>
    </row>
    <row r="474" spans="1:9" x14ac:dyDescent="0.35">
      <c r="A474">
        <v>473</v>
      </c>
      <c r="B474" s="2">
        <v>43738</v>
      </c>
      <c r="C474" t="s">
        <v>6</v>
      </c>
      <c r="D474" t="s">
        <v>150</v>
      </c>
      <c r="E474">
        <v>1</v>
      </c>
      <c r="F474" t="str">
        <f>VLOOKUP($C474,VLOOKUP_spp!$A$2:$D$103,4,1)</f>
        <v>Diptera</v>
      </c>
      <c r="G474" t="str">
        <f>VLOOKUP($F474,VLOOKUP_spp!$A$2:$E$102,5,1)</f>
        <v>Diptera</v>
      </c>
      <c r="H474" t="str">
        <f t="shared" si="7"/>
        <v>Sep</v>
      </c>
      <c r="I474">
        <v>1</v>
      </c>
    </row>
    <row r="475" spans="1:9" x14ac:dyDescent="0.35">
      <c r="A475">
        <v>474</v>
      </c>
      <c r="B475" s="2">
        <v>43738</v>
      </c>
      <c r="C475" t="s">
        <v>98</v>
      </c>
      <c r="D475" t="s">
        <v>150</v>
      </c>
      <c r="E475">
        <v>1</v>
      </c>
      <c r="F475" t="str">
        <f>VLOOKUP($C475,VLOOKUP_spp!$A$2:$D$103,4,1)</f>
        <v>Halictus_ligatus</v>
      </c>
      <c r="G475" t="str">
        <f>VLOOKUP($F475,VLOOKUP_spp!$A$2:$E$102,5,1)</f>
        <v>Hymenoptera</v>
      </c>
      <c r="H475" t="str">
        <f t="shared" si="7"/>
        <v>Sep</v>
      </c>
      <c r="I475">
        <v>1</v>
      </c>
    </row>
    <row r="476" spans="1:9" x14ac:dyDescent="0.35">
      <c r="A476">
        <v>475</v>
      </c>
      <c r="B476" s="2">
        <v>43738</v>
      </c>
      <c r="C476" t="s">
        <v>101</v>
      </c>
      <c r="D476" t="s">
        <v>169</v>
      </c>
      <c r="E476">
        <v>1</v>
      </c>
      <c r="F476" t="str">
        <f>VLOOKUP($C476,VLOOKUP_spp!$A$2:$D$103,4,1)</f>
        <v>Halictus_tripartitus</v>
      </c>
      <c r="G476" t="str">
        <f>VLOOKUP($F476,VLOOKUP_spp!$A$2:$E$102,5,1)</f>
        <v>Hymenoptera</v>
      </c>
      <c r="H476" t="str">
        <f t="shared" si="7"/>
        <v>Sep</v>
      </c>
      <c r="I476">
        <v>1</v>
      </c>
    </row>
    <row r="477" spans="1:9" x14ac:dyDescent="0.35">
      <c r="A477">
        <v>476</v>
      </c>
      <c r="B477" s="2">
        <v>43738</v>
      </c>
      <c r="C477" t="s">
        <v>103</v>
      </c>
      <c r="D477" t="s">
        <v>169</v>
      </c>
      <c r="E477">
        <v>1</v>
      </c>
      <c r="F477" t="str">
        <f>VLOOKUP($C477,VLOOKUP_spp!$A$2:$D$103,4,1)</f>
        <v>Hylaeus</v>
      </c>
      <c r="G477" t="str">
        <f>VLOOKUP($F477,VLOOKUP_spp!$A$2:$E$102,5,1)</f>
        <v>Hymenoptera</v>
      </c>
      <c r="H477" t="str">
        <f t="shared" si="7"/>
        <v>Sep</v>
      </c>
      <c r="I477">
        <v>1</v>
      </c>
    </row>
    <row r="478" spans="1:9" x14ac:dyDescent="0.35">
      <c r="A478">
        <v>477</v>
      </c>
      <c r="B478" s="2">
        <v>43738</v>
      </c>
      <c r="C478" t="s">
        <v>103</v>
      </c>
      <c r="D478" t="s">
        <v>158</v>
      </c>
      <c r="E478">
        <v>3</v>
      </c>
      <c r="F478" t="str">
        <f>VLOOKUP($C478,VLOOKUP_spp!$A$2:$D$103,4,1)</f>
        <v>Hylaeus</v>
      </c>
      <c r="G478" t="str">
        <f>VLOOKUP($F478,VLOOKUP_spp!$A$2:$E$102,5,1)</f>
        <v>Hymenoptera</v>
      </c>
      <c r="H478" t="str">
        <f t="shared" si="7"/>
        <v>Sep</v>
      </c>
      <c r="I478">
        <v>1</v>
      </c>
    </row>
    <row r="479" spans="1:9" x14ac:dyDescent="0.35">
      <c r="A479">
        <v>478</v>
      </c>
      <c r="B479" s="2">
        <v>43738</v>
      </c>
      <c r="C479" t="s">
        <v>103</v>
      </c>
      <c r="D479" t="s">
        <v>172</v>
      </c>
      <c r="E479">
        <v>1</v>
      </c>
      <c r="F479" t="str">
        <f>VLOOKUP($C479,VLOOKUP_spp!$A$2:$D$103,4,1)</f>
        <v>Hylaeus</v>
      </c>
      <c r="G479" t="str">
        <f>VLOOKUP($F479,VLOOKUP_spp!$A$2:$E$102,5,1)</f>
        <v>Hymenoptera</v>
      </c>
      <c r="H479" t="str">
        <f t="shared" si="7"/>
        <v>Sep</v>
      </c>
      <c r="I479">
        <v>1</v>
      </c>
    </row>
    <row r="480" spans="1:9" x14ac:dyDescent="0.35">
      <c r="A480">
        <v>479</v>
      </c>
      <c r="B480" s="2">
        <v>43738</v>
      </c>
      <c r="C480" t="s">
        <v>103</v>
      </c>
      <c r="D480" t="s">
        <v>150</v>
      </c>
      <c r="E480">
        <v>1</v>
      </c>
      <c r="F480" t="str">
        <f>VLOOKUP($C480,VLOOKUP_spp!$A$2:$D$103,4,1)</f>
        <v>Hylaeus</v>
      </c>
      <c r="G480" t="str">
        <f>VLOOKUP($F480,VLOOKUP_spp!$A$2:$E$102,5,1)</f>
        <v>Hymenoptera</v>
      </c>
      <c r="H480" t="str">
        <f t="shared" si="7"/>
        <v>Sep</v>
      </c>
      <c r="I480">
        <v>1</v>
      </c>
    </row>
    <row r="481" spans="1:9" x14ac:dyDescent="0.35">
      <c r="A481">
        <v>480</v>
      </c>
      <c r="B481" s="2">
        <v>43738</v>
      </c>
      <c r="C481" t="s">
        <v>104</v>
      </c>
      <c r="D481" t="s">
        <v>169</v>
      </c>
      <c r="E481">
        <v>1</v>
      </c>
      <c r="F481" t="str">
        <f>VLOOKUP($C481,VLOOKUP_spp!$A$2:$D$103,4,1)</f>
        <v>Hylaeus_leptocephalus</v>
      </c>
      <c r="G481" t="str">
        <f>VLOOKUP($F481,VLOOKUP_spp!$A$2:$E$102,5,1)</f>
        <v>Hymenoptera</v>
      </c>
      <c r="H481" t="str">
        <f t="shared" si="7"/>
        <v>Sep</v>
      </c>
      <c r="I481">
        <v>1</v>
      </c>
    </row>
    <row r="482" spans="1:9" x14ac:dyDescent="0.35">
      <c r="A482">
        <v>481</v>
      </c>
      <c r="B482" s="2">
        <v>43738</v>
      </c>
      <c r="C482" t="s">
        <v>106</v>
      </c>
      <c r="D482" t="s">
        <v>169</v>
      </c>
      <c r="E482">
        <v>1</v>
      </c>
      <c r="F482" t="str">
        <f>VLOOKUP($C482,VLOOKUP_spp!$A$2:$D$103,4,1)</f>
        <v>Lasioglossum</v>
      </c>
      <c r="G482" t="str">
        <f>VLOOKUP($F482,VLOOKUP_spp!$A$2:$E$102,5,1)</f>
        <v>Hymenoptera</v>
      </c>
      <c r="H482" t="str">
        <f t="shared" si="7"/>
        <v>Sep</v>
      </c>
      <c r="I482">
        <v>1</v>
      </c>
    </row>
    <row r="483" spans="1:9" x14ac:dyDescent="0.35">
      <c r="A483">
        <v>482</v>
      </c>
      <c r="B483" s="2">
        <v>43738</v>
      </c>
      <c r="C483" t="s">
        <v>106</v>
      </c>
      <c r="D483" t="s">
        <v>150</v>
      </c>
      <c r="E483">
        <v>3</v>
      </c>
      <c r="F483" t="str">
        <f>VLOOKUP($C483,VLOOKUP_spp!$A$2:$D$103,4,1)</f>
        <v>Lasioglossum</v>
      </c>
      <c r="G483" t="str">
        <f>VLOOKUP($F483,VLOOKUP_spp!$A$2:$E$102,5,1)</f>
        <v>Hymenoptera</v>
      </c>
      <c r="H483" t="str">
        <f t="shared" si="7"/>
        <v>Sep</v>
      </c>
      <c r="I483">
        <v>1</v>
      </c>
    </row>
    <row r="484" spans="1:9" x14ac:dyDescent="0.35">
      <c r="A484">
        <v>483</v>
      </c>
      <c r="B484" s="2">
        <v>43738</v>
      </c>
      <c r="C484" t="s">
        <v>106</v>
      </c>
      <c r="D484" t="s">
        <v>162</v>
      </c>
      <c r="E484">
        <v>1</v>
      </c>
      <c r="F484" t="str">
        <f>VLOOKUP($C484,VLOOKUP_spp!$A$2:$D$103,4,1)</f>
        <v>Lasioglossum</v>
      </c>
      <c r="G484" t="str">
        <f>VLOOKUP($F484,VLOOKUP_spp!$A$2:$E$102,5,1)</f>
        <v>Hymenoptera</v>
      </c>
      <c r="H484" t="str">
        <f t="shared" si="7"/>
        <v>Sep</v>
      </c>
      <c r="I484">
        <v>1</v>
      </c>
    </row>
    <row r="485" spans="1:9" x14ac:dyDescent="0.35">
      <c r="A485">
        <v>484</v>
      </c>
      <c r="B485" s="2">
        <v>43738</v>
      </c>
      <c r="C485" t="s">
        <v>8</v>
      </c>
      <c r="D485" t="s">
        <v>169</v>
      </c>
      <c r="E485">
        <v>2</v>
      </c>
      <c r="F485" t="str">
        <f>VLOOKUP($C485,VLOOKUP_spp!$A$2:$D$103,4,1)</f>
        <v>Lepidoptera</v>
      </c>
      <c r="G485" t="str">
        <f>VLOOKUP($F485,VLOOKUP_spp!$A$2:$E$102,5,1)</f>
        <v>Lepidoptera</v>
      </c>
      <c r="H485" t="str">
        <f t="shared" si="7"/>
        <v>Sep</v>
      </c>
      <c r="I485">
        <v>1</v>
      </c>
    </row>
    <row r="486" spans="1:9" x14ac:dyDescent="0.35">
      <c r="A486">
        <v>485</v>
      </c>
      <c r="B486" s="2">
        <v>43738</v>
      </c>
      <c r="C486" t="s">
        <v>8</v>
      </c>
      <c r="D486" t="s">
        <v>166</v>
      </c>
      <c r="E486">
        <v>1</v>
      </c>
      <c r="F486" t="str">
        <f>VLOOKUP($C486,VLOOKUP_spp!$A$2:$D$103,4,1)</f>
        <v>Lepidoptera</v>
      </c>
      <c r="G486" t="str">
        <f>VLOOKUP($F486,VLOOKUP_spp!$A$2:$E$102,5,1)</f>
        <v>Lepidoptera</v>
      </c>
      <c r="H486" t="str">
        <f t="shared" si="7"/>
        <v>Sep</v>
      </c>
      <c r="I486">
        <v>1</v>
      </c>
    </row>
    <row r="487" spans="1:9" x14ac:dyDescent="0.35">
      <c r="A487">
        <v>486</v>
      </c>
      <c r="B487" s="2">
        <v>43738</v>
      </c>
      <c r="C487" t="s">
        <v>123</v>
      </c>
      <c r="D487" t="s">
        <v>150</v>
      </c>
      <c r="E487">
        <v>1</v>
      </c>
      <c r="F487">
        <f>VLOOKUP($C487,VLOOKUP_spp!$A$2:$D$103,4,1)</f>
        <v>0</v>
      </c>
      <c r="G487" t="e">
        <f>VLOOKUP($F487,VLOOKUP_spp!$A$2:$E$102,5,1)</f>
        <v>#N/A</v>
      </c>
      <c r="H487" t="str">
        <f t="shared" si="7"/>
        <v>Sep</v>
      </c>
      <c r="I487">
        <v>1</v>
      </c>
    </row>
    <row r="488" spans="1:9" x14ac:dyDescent="0.35">
      <c r="A488">
        <v>487</v>
      </c>
      <c r="B488" s="2">
        <v>43738</v>
      </c>
      <c r="C488" t="s">
        <v>126</v>
      </c>
      <c r="D488" t="s">
        <v>169</v>
      </c>
      <c r="E488">
        <v>14</v>
      </c>
      <c r="F488" t="str">
        <f>VLOOKUP($C488,VLOOKUP_spp!$A$2:$D$103,4,1)</f>
        <v>Syrphidae</v>
      </c>
      <c r="G488" t="str">
        <f>VLOOKUP($F488,VLOOKUP_spp!$A$2:$E$102,5,1)</f>
        <v>Diptera</v>
      </c>
      <c r="H488" t="str">
        <f t="shared" si="7"/>
        <v>Sep</v>
      </c>
      <c r="I488">
        <v>1</v>
      </c>
    </row>
    <row r="489" spans="1:9" x14ac:dyDescent="0.35">
      <c r="A489">
        <v>488</v>
      </c>
      <c r="B489" s="2">
        <v>43738</v>
      </c>
      <c r="C489" t="s">
        <v>126</v>
      </c>
      <c r="D489" t="s">
        <v>158</v>
      </c>
      <c r="E489">
        <v>1</v>
      </c>
      <c r="F489" t="str">
        <f>VLOOKUP($C489,VLOOKUP_spp!$A$2:$D$103,4,1)</f>
        <v>Syrphidae</v>
      </c>
      <c r="G489" t="str">
        <f>VLOOKUP($F489,VLOOKUP_spp!$A$2:$E$102,5,1)</f>
        <v>Diptera</v>
      </c>
      <c r="H489" t="str">
        <f t="shared" si="7"/>
        <v>Sep</v>
      </c>
      <c r="I489">
        <v>1</v>
      </c>
    </row>
    <row r="490" spans="1:9" x14ac:dyDescent="0.35">
      <c r="A490">
        <v>489</v>
      </c>
      <c r="B490" s="2">
        <v>43738</v>
      </c>
      <c r="C490" t="s">
        <v>126</v>
      </c>
      <c r="D490" t="s">
        <v>166</v>
      </c>
      <c r="E490">
        <v>5</v>
      </c>
      <c r="F490" t="str">
        <f>VLOOKUP($C490,VLOOKUP_spp!$A$2:$D$103,4,1)</f>
        <v>Syrphidae</v>
      </c>
      <c r="G490" t="str">
        <f>VLOOKUP($F490,VLOOKUP_spp!$A$2:$E$102,5,1)</f>
        <v>Diptera</v>
      </c>
      <c r="H490" t="str">
        <f t="shared" si="7"/>
        <v>Sep</v>
      </c>
      <c r="I490">
        <v>1</v>
      </c>
    </row>
    <row r="491" spans="1:9" x14ac:dyDescent="0.35">
      <c r="A491">
        <v>490</v>
      </c>
      <c r="B491" s="2">
        <v>43738</v>
      </c>
      <c r="C491" t="s">
        <v>126</v>
      </c>
      <c r="D491" t="s">
        <v>172</v>
      </c>
      <c r="E491">
        <v>1</v>
      </c>
      <c r="F491" t="str">
        <f>VLOOKUP($C491,VLOOKUP_spp!$A$2:$D$103,4,1)</f>
        <v>Syrphidae</v>
      </c>
      <c r="G491" t="str">
        <f>VLOOKUP($F491,VLOOKUP_spp!$A$2:$E$102,5,1)</f>
        <v>Diptera</v>
      </c>
      <c r="H491" t="str">
        <f t="shared" si="7"/>
        <v>Sep</v>
      </c>
      <c r="I491">
        <v>1</v>
      </c>
    </row>
    <row r="492" spans="1:9" x14ac:dyDescent="0.35">
      <c r="A492">
        <v>491</v>
      </c>
      <c r="B492" s="2">
        <v>43738</v>
      </c>
      <c r="C492" t="s">
        <v>126</v>
      </c>
      <c r="D492" t="s">
        <v>160</v>
      </c>
      <c r="E492">
        <v>1</v>
      </c>
      <c r="F492" t="str">
        <f>VLOOKUP($C492,VLOOKUP_spp!$A$2:$D$103,4,1)</f>
        <v>Syrphidae</v>
      </c>
      <c r="G492" t="str">
        <f>VLOOKUP($F492,VLOOKUP_spp!$A$2:$E$102,5,1)</f>
        <v>Diptera</v>
      </c>
      <c r="H492" t="str">
        <f t="shared" si="7"/>
        <v>Sep</v>
      </c>
      <c r="I492">
        <v>1</v>
      </c>
    </row>
    <row r="493" spans="1:9" x14ac:dyDescent="0.35">
      <c r="A493">
        <v>492</v>
      </c>
      <c r="B493" s="2">
        <v>43738</v>
      </c>
      <c r="C493" t="s">
        <v>126</v>
      </c>
      <c r="D493" t="s">
        <v>162</v>
      </c>
      <c r="E493">
        <v>6</v>
      </c>
      <c r="F493" t="str">
        <f>VLOOKUP($C493,VLOOKUP_spp!$A$2:$D$103,4,1)</f>
        <v>Syrphidae</v>
      </c>
      <c r="G493" t="str">
        <f>VLOOKUP($F493,VLOOKUP_spp!$A$2:$E$102,5,1)</f>
        <v>Diptera</v>
      </c>
      <c r="H493" t="str">
        <f t="shared" si="7"/>
        <v>Sep</v>
      </c>
      <c r="I493">
        <v>1</v>
      </c>
    </row>
    <row r="494" spans="1:9" x14ac:dyDescent="0.35">
      <c r="A494">
        <v>493</v>
      </c>
      <c r="B494" s="2">
        <v>43738</v>
      </c>
      <c r="C494" t="s">
        <v>126</v>
      </c>
      <c r="D494" t="s">
        <v>156</v>
      </c>
      <c r="E494">
        <v>5</v>
      </c>
      <c r="F494" t="str">
        <f>VLOOKUP($C494,VLOOKUP_spp!$A$2:$D$103,4,1)</f>
        <v>Syrphidae</v>
      </c>
      <c r="G494" t="str">
        <f>VLOOKUP($F494,VLOOKUP_spp!$A$2:$E$102,5,1)</f>
        <v>Diptera</v>
      </c>
      <c r="H494" t="str">
        <f t="shared" si="7"/>
        <v>Sep</v>
      </c>
      <c r="I494">
        <v>1</v>
      </c>
    </row>
    <row r="495" spans="1:9" x14ac:dyDescent="0.35">
      <c r="A495">
        <v>494</v>
      </c>
      <c r="B495" s="2">
        <v>43738</v>
      </c>
      <c r="C495" t="s">
        <v>128</v>
      </c>
      <c r="D495" t="s">
        <v>169</v>
      </c>
      <c r="E495">
        <v>1</v>
      </c>
      <c r="F495" t="str">
        <f>VLOOKUP($C495,VLOOKUP_spp!$A$2:$D$103,4,1)</f>
        <v>Wasp</v>
      </c>
      <c r="G495" t="str">
        <f>VLOOKUP($F495,VLOOKUP_spp!$A$2:$E$102,5,1)</f>
        <v>Hymenoptera</v>
      </c>
      <c r="H495" t="str">
        <f t="shared" si="7"/>
        <v>Sep</v>
      </c>
      <c r="I495">
        <v>1</v>
      </c>
    </row>
    <row r="496" spans="1:9" x14ac:dyDescent="0.35">
      <c r="A496">
        <v>495</v>
      </c>
      <c r="B496" s="2">
        <v>43738</v>
      </c>
      <c r="C496" t="s">
        <v>128</v>
      </c>
      <c r="D496" t="s">
        <v>166</v>
      </c>
      <c r="E496">
        <v>1</v>
      </c>
      <c r="F496" t="str">
        <f>VLOOKUP($C496,VLOOKUP_spp!$A$2:$D$103,4,1)</f>
        <v>Wasp</v>
      </c>
      <c r="G496" t="str">
        <f>VLOOKUP($F496,VLOOKUP_spp!$A$2:$E$102,5,1)</f>
        <v>Hymenoptera</v>
      </c>
      <c r="H496" t="str">
        <f t="shared" si="7"/>
        <v>Sep</v>
      </c>
      <c r="I496">
        <v>1</v>
      </c>
    </row>
    <row r="497" spans="1:9" x14ac:dyDescent="0.35">
      <c r="A497">
        <v>496</v>
      </c>
      <c r="B497" s="2">
        <v>43738</v>
      </c>
      <c r="C497" t="s">
        <v>128</v>
      </c>
      <c r="D497" t="s">
        <v>172</v>
      </c>
      <c r="E497">
        <v>5</v>
      </c>
      <c r="F497" t="str">
        <f>VLOOKUP($C497,VLOOKUP_spp!$A$2:$D$103,4,1)</f>
        <v>Wasp</v>
      </c>
      <c r="G497" t="str">
        <f>VLOOKUP($F497,VLOOKUP_spp!$A$2:$E$102,5,1)</f>
        <v>Hymenoptera</v>
      </c>
      <c r="H497" t="str">
        <f t="shared" si="7"/>
        <v>Sep</v>
      </c>
      <c r="I497">
        <v>1</v>
      </c>
    </row>
    <row r="498" spans="1:9" x14ac:dyDescent="0.35">
      <c r="A498">
        <v>497</v>
      </c>
      <c r="B498" s="2">
        <v>43738</v>
      </c>
      <c r="C498" t="s">
        <v>128</v>
      </c>
      <c r="D498" t="s">
        <v>150</v>
      </c>
      <c r="E498">
        <v>3</v>
      </c>
      <c r="F498" t="str">
        <f>VLOOKUP($C498,VLOOKUP_spp!$A$2:$D$103,4,1)</f>
        <v>Wasp</v>
      </c>
      <c r="G498" t="str">
        <f>VLOOKUP($F498,VLOOKUP_spp!$A$2:$E$102,5,1)</f>
        <v>Hymenoptera</v>
      </c>
      <c r="H498" t="str">
        <f t="shared" si="7"/>
        <v>Sep</v>
      </c>
      <c r="I498">
        <v>1</v>
      </c>
    </row>
    <row r="499" spans="1:9" x14ac:dyDescent="0.35">
      <c r="A499">
        <v>498</v>
      </c>
      <c r="B499" s="2">
        <v>43738</v>
      </c>
      <c r="C499" t="s">
        <v>128</v>
      </c>
      <c r="D499" t="s">
        <v>162</v>
      </c>
      <c r="E499">
        <v>4</v>
      </c>
      <c r="F499" t="str">
        <f>VLOOKUP($C499,VLOOKUP_spp!$A$2:$D$103,4,1)</f>
        <v>Wasp</v>
      </c>
      <c r="G499" t="str">
        <f>VLOOKUP($F499,VLOOKUP_spp!$A$2:$E$102,5,1)</f>
        <v>Hymenoptera</v>
      </c>
      <c r="H499" t="str">
        <f t="shared" si="7"/>
        <v>Sep</v>
      </c>
      <c r="I499">
        <v>1</v>
      </c>
    </row>
    <row r="500" spans="1:9" x14ac:dyDescent="0.35">
      <c r="A500">
        <v>499</v>
      </c>
      <c r="B500" s="2">
        <v>43746</v>
      </c>
      <c r="C500" t="s">
        <v>50</v>
      </c>
      <c r="D500" t="s">
        <v>169</v>
      </c>
      <c r="E500">
        <v>17</v>
      </c>
      <c r="F500" t="str">
        <f>VLOOKUP($C500,VLOOKUP_spp!$A$2:$D$103,4,1)</f>
        <v>Apis_mellifera</v>
      </c>
      <c r="G500" t="str">
        <f>VLOOKUP($F500,VLOOKUP_spp!$A$2:$E$102,5,1)</f>
        <v>Hymenoptera</v>
      </c>
      <c r="H500" t="str">
        <f t="shared" si="7"/>
        <v>Oct</v>
      </c>
      <c r="I500">
        <v>1</v>
      </c>
    </row>
    <row r="501" spans="1:9" x14ac:dyDescent="0.35">
      <c r="A501">
        <v>500</v>
      </c>
      <c r="B501" s="2">
        <v>43746</v>
      </c>
      <c r="C501" t="s">
        <v>50</v>
      </c>
      <c r="D501" t="s">
        <v>158</v>
      </c>
      <c r="E501">
        <v>1</v>
      </c>
      <c r="F501" t="str">
        <f>VLOOKUP($C501,VLOOKUP_spp!$A$2:$D$103,4,1)</f>
        <v>Apis_mellifera</v>
      </c>
      <c r="G501" t="str">
        <f>VLOOKUP($F501,VLOOKUP_spp!$A$2:$E$102,5,1)</f>
        <v>Hymenoptera</v>
      </c>
      <c r="H501" t="str">
        <f t="shared" si="7"/>
        <v>Oct</v>
      </c>
      <c r="I501">
        <v>1</v>
      </c>
    </row>
    <row r="502" spans="1:9" x14ac:dyDescent="0.35">
      <c r="A502">
        <v>501</v>
      </c>
      <c r="B502" s="2">
        <v>43746</v>
      </c>
      <c r="C502" t="s">
        <v>50</v>
      </c>
      <c r="D502" t="s">
        <v>166</v>
      </c>
      <c r="E502">
        <v>4</v>
      </c>
      <c r="F502" t="str">
        <f>VLOOKUP($C502,VLOOKUP_spp!$A$2:$D$103,4,1)</f>
        <v>Apis_mellifera</v>
      </c>
      <c r="G502" t="str">
        <f>VLOOKUP($F502,VLOOKUP_spp!$A$2:$E$102,5,1)</f>
        <v>Hymenoptera</v>
      </c>
      <c r="H502" t="str">
        <f t="shared" si="7"/>
        <v>Oct</v>
      </c>
      <c r="I502">
        <v>1</v>
      </c>
    </row>
    <row r="503" spans="1:9" x14ac:dyDescent="0.35">
      <c r="A503">
        <v>502</v>
      </c>
      <c r="B503" s="2">
        <v>43746</v>
      </c>
      <c r="C503" t="s">
        <v>50</v>
      </c>
      <c r="D503" t="s">
        <v>172</v>
      </c>
      <c r="E503">
        <v>6</v>
      </c>
      <c r="F503" t="str">
        <f>VLOOKUP($C503,VLOOKUP_spp!$A$2:$D$103,4,1)</f>
        <v>Apis_mellifera</v>
      </c>
      <c r="G503" t="str">
        <f>VLOOKUP($F503,VLOOKUP_spp!$A$2:$E$102,5,1)</f>
        <v>Hymenoptera</v>
      </c>
      <c r="H503" t="str">
        <f t="shared" si="7"/>
        <v>Oct</v>
      </c>
      <c r="I503">
        <v>1</v>
      </c>
    </row>
    <row r="504" spans="1:9" x14ac:dyDescent="0.35">
      <c r="A504">
        <v>503</v>
      </c>
      <c r="B504" s="2">
        <v>43746</v>
      </c>
      <c r="C504" t="s">
        <v>50</v>
      </c>
      <c r="D504" t="s">
        <v>162</v>
      </c>
      <c r="E504">
        <v>1</v>
      </c>
      <c r="F504" t="str">
        <f>VLOOKUP($C504,VLOOKUP_spp!$A$2:$D$103,4,1)</f>
        <v>Apis_mellifera</v>
      </c>
      <c r="G504" t="str">
        <f>VLOOKUP($F504,VLOOKUP_spp!$A$2:$E$102,5,1)</f>
        <v>Hymenoptera</v>
      </c>
      <c r="H504" t="str">
        <f t="shared" si="7"/>
        <v>Oct</v>
      </c>
      <c r="I504">
        <v>1</v>
      </c>
    </row>
    <row r="505" spans="1:9" x14ac:dyDescent="0.35">
      <c r="A505">
        <v>504</v>
      </c>
      <c r="B505" s="2">
        <v>43746</v>
      </c>
      <c r="C505" t="s">
        <v>50</v>
      </c>
      <c r="D505" t="s">
        <v>156</v>
      </c>
      <c r="E505">
        <v>1</v>
      </c>
      <c r="F505" t="str">
        <f>VLOOKUP($C505,VLOOKUP_spp!$A$2:$D$103,4,1)</f>
        <v>Apis_mellifera</v>
      </c>
      <c r="G505" t="str">
        <f>VLOOKUP($F505,VLOOKUP_spp!$A$2:$E$102,5,1)</f>
        <v>Hymenoptera</v>
      </c>
      <c r="H505" t="str">
        <f t="shared" si="7"/>
        <v>Oct</v>
      </c>
      <c r="I505">
        <v>1</v>
      </c>
    </row>
    <row r="506" spans="1:9" x14ac:dyDescent="0.35">
      <c r="A506">
        <v>505</v>
      </c>
      <c r="B506" s="2">
        <v>43746</v>
      </c>
      <c r="C506" t="s">
        <v>51</v>
      </c>
      <c r="D506" t="s">
        <v>169</v>
      </c>
      <c r="E506">
        <v>7</v>
      </c>
      <c r="F506" t="str">
        <f>VLOOKUP($C506,VLOOKUP_spp!$A$2:$D$103,4,1)</f>
        <v>Augochlora</v>
      </c>
      <c r="G506" t="str">
        <f>VLOOKUP($F506,VLOOKUP_spp!$A$2:$E$102,5,1)</f>
        <v>Hymenoptera</v>
      </c>
      <c r="H506" t="str">
        <f t="shared" si="7"/>
        <v>Oct</v>
      </c>
      <c r="I506">
        <v>1</v>
      </c>
    </row>
    <row r="507" spans="1:9" x14ac:dyDescent="0.35">
      <c r="A507">
        <v>506</v>
      </c>
      <c r="B507" s="2">
        <v>43746</v>
      </c>
      <c r="C507" t="s">
        <v>51</v>
      </c>
      <c r="D507" t="s">
        <v>158</v>
      </c>
      <c r="E507">
        <v>2</v>
      </c>
      <c r="F507" t="str">
        <f>VLOOKUP($C507,VLOOKUP_spp!$A$2:$D$103,4,1)</f>
        <v>Augochlora</v>
      </c>
      <c r="G507" t="str">
        <f>VLOOKUP($F507,VLOOKUP_spp!$A$2:$E$102,5,1)</f>
        <v>Hymenoptera</v>
      </c>
      <c r="H507" t="str">
        <f t="shared" si="7"/>
        <v>Oct</v>
      </c>
      <c r="I507">
        <v>1</v>
      </c>
    </row>
    <row r="508" spans="1:9" x14ac:dyDescent="0.35">
      <c r="A508">
        <v>507</v>
      </c>
      <c r="B508" s="2">
        <v>43746</v>
      </c>
      <c r="C508" t="s">
        <v>51</v>
      </c>
      <c r="D508" t="s">
        <v>172</v>
      </c>
      <c r="E508">
        <v>4</v>
      </c>
      <c r="F508" t="str">
        <f>VLOOKUP($C508,VLOOKUP_spp!$A$2:$D$103,4,1)</f>
        <v>Augochlora</v>
      </c>
      <c r="G508" t="str">
        <f>VLOOKUP($F508,VLOOKUP_spp!$A$2:$E$102,5,1)</f>
        <v>Hymenoptera</v>
      </c>
      <c r="H508" t="str">
        <f t="shared" si="7"/>
        <v>Oct</v>
      </c>
      <c r="I508">
        <v>1</v>
      </c>
    </row>
    <row r="509" spans="1:9" x14ac:dyDescent="0.35">
      <c r="A509">
        <v>508</v>
      </c>
      <c r="B509" s="2">
        <v>43746</v>
      </c>
      <c r="C509" t="s">
        <v>52</v>
      </c>
      <c r="D509" t="s">
        <v>169</v>
      </c>
      <c r="E509">
        <v>1</v>
      </c>
      <c r="F509" t="str">
        <f>VLOOKUP($C509,VLOOKUP_spp!$A$2:$D$103,4,1)</f>
        <v>Augochlorella</v>
      </c>
      <c r="G509" t="str">
        <f>VLOOKUP($F509,VLOOKUP_spp!$A$2:$E$102,5,1)</f>
        <v>Hymenoptera</v>
      </c>
      <c r="H509" t="str">
        <f t="shared" si="7"/>
        <v>Oct</v>
      </c>
      <c r="I509">
        <v>1</v>
      </c>
    </row>
    <row r="510" spans="1:9" x14ac:dyDescent="0.35">
      <c r="A510">
        <v>509</v>
      </c>
      <c r="B510" s="2">
        <v>43746</v>
      </c>
      <c r="C510" t="s">
        <v>53</v>
      </c>
      <c r="D510" t="s">
        <v>169</v>
      </c>
      <c r="E510">
        <v>2</v>
      </c>
      <c r="F510" t="str">
        <f>VLOOKUP($C510,VLOOKUP_spp!$A$2:$D$103,4,1)</f>
        <v>Augochloropsis</v>
      </c>
      <c r="G510" t="str">
        <f>VLOOKUP($F510,VLOOKUP_spp!$A$2:$E$102,5,1)</f>
        <v>Hymenoptera</v>
      </c>
      <c r="H510" t="str">
        <f t="shared" si="7"/>
        <v>Oct</v>
      </c>
      <c r="I510">
        <v>1</v>
      </c>
    </row>
    <row r="511" spans="1:9" x14ac:dyDescent="0.35">
      <c r="A511">
        <v>510</v>
      </c>
      <c r="B511" s="2">
        <v>43746</v>
      </c>
      <c r="C511" t="s">
        <v>53</v>
      </c>
      <c r="D511" t="s">
        <v>158</v>
      </c>
      <c r="E511">
        <v>1</v>
      </c>
      <c r="F511" t="str">
        <f>VLOOKUP($C511,VLOOKUP_spp!$A$2:$D$103,4,1)</f>
        <v>Augochloropsis</v>
      </c>
      <c r="G511" t="str">
        <f>VLOOKUP($F511,VLOOKUP_spp!$A$2:$E$102,5,1)</f>
        <v>Hymenoptera</v>
      </c>
      <c r="H511" t="str">
        <f t="shared" si="7"/>
        <v>Oct</v>
      </c>
      <c r="I511">
        <v>1</v>
      </c>
    </row>
    <row r="512" spans="1:9" x14ac:dyDescent="0.35">
      <c r="A512">
        <v>511</v>
      </c>
      <c r="B512" s="2">
        <v>43746</v>
      </c>
      <c r="C512" t="s">
        <v>53</v>
      </c>
      <c r="D512" t="s">
        <v>166</v>
      </c>
      <c r="E512">
        <v>2</v>
      </c>
      <c r="F512" t="str">
        <f>VLOOKUP($C512,VLOOKUP_spp!$A$2:$D$103,4,1)</f>
        <v>Augochloropsis</v>
      </c>
      <c r="G512" t="str">
        <f>VLOOKUP($F512,VLOOKUP_spp!$A$2:$E$102,5,1)</f>
        <v>Hymenoptera</v>
      </c>
      <c r="H512" t="str">
        <f t="shared" si="7"/>
        <v>Oct</v>
      </c>
      <c r="I512">
        <v>1</v>
      </c>
    </row>
    <row r="513" spans="1:9" x14ac:dyDescent="0.35">
      <c r="A513">
        <v>512</v>
      </c>
      <c r="B513" s="2">
        <v>43746</v>
      </c>
      <c r="C513" t="s">
        <v>53</v>
      </c>
      <c r="D513" t="s">
        <v>172</v>
      </c>
      <c r="E513">
        <v>1</v>
      </c>
      <c r="F513" t="str">
        <f>VLOOKUP($C513,VLOOKUP_spp!$A$2:$D$103,4,1)</f>
        <v>Augochloropsis</v>
      </c>
      <c r="G513" t="str">
        <f>VLOOKUP($F513,VLOOKUP_spp!$A$2:$E$102,5,1)</f>
        <v>Hymenoptera</v>
      </c>
      <c r="H513" t="str">
        <f t="shared" si="7"/>
        <v>Oct</v>
      </c>
      <c r="I513">
        <v>1</v>
      </c>
    </row>
    <row r="514" spans="1:9" x14ac:dyDescent="0.35">
      <c r="A514">
        <v>513</v>
      </c>
      <c r="B514" s="2">
        <v>43746</v>
      </c>
      <c r="C514" t="s">
        <v>67</v>
      </c>
      <c r="D514" t="s">
        <v>150</v>
      </c>
      <c r="E514">
        <v>5</v>
      </c>
      <c r="F514" t="str">
        <f>VLOOKUP($C514,VLOOKUP_spp!$A$2:$D$103,4,1)</f>
        <v>Bombus_impatiens</v>
      </c>
      <c r="G514" t="str">
        <f>VLOOKUP($F514,VLOOKUP_spp!$A$2:$E$102,5,1)</f>
        <v>Hymenoptera</v>
      </c>
      <c r="H514" t="str">
        <f t="shared" si="7"/>
        <v>Oct</v>
      </c>
      <c r="I514">
        <v>1</v>
      </c>
    </row>
    <row r="515" spans="1:9" x14ac:dyDescent="0.35">
      <c r="A515">
        <v>514</v>
      </c>
      <c r="B515" s="2">
        <v>43746</v>
      </c>
      <c r="C515" t="s">
        <v>80</v>
      </c>
      <c r="D515" t="s">
        <v>169</v>
      </c>
      <c r="E515">
        <v>1</v>
      </c>
      <c r="F515">
        <f>VLOOKUP($C515,VLOOKUP_spp!$A$2:$D$103,4,1)</f>
        <v>0</v>
      </c>
      <c r="G515" t="e">
        <f>VLOOKUP($F515,VLOOKUP_spp!$A$2:$E$102,5,1)</f>
        <v>#N/A</v>
      </c>
      <c r="H515" t="str">
        <f t="shared" ref="H515:H578" si="8">TEXT(B515, "mmm")</f>
        <v>Oct</v>
      </c>
      <c r="I515">
        <v>1</v>
      </c>
    </row>
    <row r="516" spans="1:9" x14ac:dyDescent="0.35">
      <c r="A516">
        <v>515</v>
      </c>
      <c r="B516" s="2">
        <v>43746</v>
      </c>
      <c r="C516" t="s">
        <v>7</v>
      </c>
      <c r="D516" t="s">
        <v>169</v>
      </c>
      <c r="E516">
        <v>1</v>
      </c>
      <c r="F516" t="str">
        <f>VLOOKUP($C516,VLOOKUP_spp!$A$2:$D$103,4,1)</f>
        <v>Coleoptera</v>
      </c>
      <c r="G516" t="str">
        <f>VLOOKUP($F516,VLOOKUP_spp!$A$2:$E$102,5,1)</f>
        <v>Coleoptera</v>
      </c>
      <c r="H516" t="str">
        <f t="shared" si="8"/>
        <v>Oct</v>
      </c>
      <c r="I516">
        <v>1</v>
      </c>
    </row>
    <row r="517" spans="1:9" x14ac:dyDescent="0.35">
      <c r="A517">
        <v>516</v>
      </c>
      <c r="B517" s="2">
        <v>43746</v>
      </c>
      <c r="C517" t="s">
        <v>90</v>
      </c>
      <c r="D517" t="s">
        <v>169</v>
      </c>
      <c r="E517">
        <v>1</v>
      </c>
      <c r="F517">
        <f>VLOOKUP($C517,VLOOKUP_spp!$A$2:$D$103,4,1)</f>
        <v>0</v>
      </c>
      <c r="G517" t="e">
        <f>VLOOKUP($F517,VLOOKUP_spp!$A$2:$E$102,5,1)</f>
        <v>#N/A</v>
      </c>
      <c r="H517" t="str">
        <f t="shared" si="8"/>
        <v>Oct</v>
      </c>
      <c r="I517">
        <v>1</v>
      </c>
    </row>
    <row r="518" spans="1:9" x14ac:dyDescent="0.35">
      <c r="A518">
        <v>517</v>
      </c>
      <c r="B518" s="2">
        <v>43746</v>
      </c>
      <c r="C518" t="s">
        <v>6</v>
      </c>
      <c r="D518" t="s">
        <v>169</v>
      </c>
      <c r="E518">
        <v>8</v>
      </c>
      <c r="F518" t="str">
        <f>VLOOKUP($C518,VLOOKUP_spp!$A$2:$D$103,4,1)</f>
        <v>Diptera</v>
      </c>
      <c r="G518" t="str">
        <f>VLOOKUP($F518,VLOOKUP_spp!$A$2:$E$102,5,1)</f>
        <v>Diptera</v>
      </c>
      <c r="H518" t="str">
        <f t="shared" si="8"/>
        <v>Oct</v>
      </c>
      <c r="I518">
        <v>1</v>
      </c>
    </row>
    <row r="519" spans="1:9" x14ac:dyDescent="0.35">
      <c r="A519">
        <v>518</v>
      </c>
      <c r="B519" s="2">
        <v>43746</v>
      </c>
      <c r="C519" t="s">
        <v>6</v>
      </c>
      <c r="D519" t="s">
        <v>166</v>
      </c>
      <c r="E519">
        <v>5</v>
      </c>
      <c r="F519" t="str">
        <f>VLOOKUP($C519,VLOOKUP_spp!$A$2:$D$103,4,1)</f>
        <v>Diptera</v>
      </c>
      <c r="G519" t="str">
        <f>VLOOKUP($F519,VLOOKUP_spp!$A$2:$E$102,5,1)</f>
        <v>Diptera</v>
      </c>
      <c r="H519" t="str">
        <f t="shared" si="8"/>
        <v>Oct</v>
      </c>
      <c r="I519">
        <v>1</v>
      </c>
    </row>
    <row r="520" spans="1:9" x14ac:dyDescent="0.35">
      <c r="A520">
        <v>519</v>
      </c>
      <c r="B520" s="2">
        <v>43746</v>
      </c>
      <c r="C520" t="s">
        <v>6</v>
      </c>
      <c r="D520" t="s">
        <v>172</v>
      </c>
      <c r="E520">
        <v>1</v>
      </c>
      <c r="F520" t="str">
        <f>VLOOKUP($C520,VLOOKUP_spp!$A$2:$D$103,4,1)</f>
        <v>Diptera</v>
      </c>
      <c r="G520" t="str">
        <f>VLOOKUP($F520,VLOOKUP_spp!$A$2:$E$102,5,1)</f>
        <v>Diptera</v>
      </c>
      <c r="H520" t="str">
        <f t="shared" si="8"/>
        <v>Oct</v>
      </c>
      <c r="I520">
        <v>1</v>
      </c>
    </row>
    <row r="521" spans="1:9" x14ac:dyDescent="0.35">
      <c r="A521">
        <v>520</v>
      </c>
      <c r="B521" s="2">
        <v>43746</v>
      </c>
      <c r="C521" t="s">
        <v>6</v>
      </c>
      <c r="D521" t="s">
        <v>150</v>
      </c>
      <c r="E521">
        <v>1</v>
      </c>
      <c r="F521" t="str">
        <f>VLOOKUP($C521,VLOOKUP_spp!$A$2:$D$103,4,1)</f>
        <v>Diptera</v>
      </c>
      <c r="G521" t="str">
        <f>VLOOKUP($F521,VLOOKUP_spp!$A$2:$E$102,5,1)</f>
        <v>Diptera</v>
      </c>
      <c r="H521" t="str">
        <f t="shared" si="8"/>
        <v>Oct</v>
      </c>
      <c r="I521">
        <v>1</v>
      </c>
    </row>
    <row r="522" spans="1:9" x14ac:dyDescent="0.35">
      <c r="A522">
        <v>521</v>
      </c>
      <c r="B522" s="2">
        <v>43746</v>
      </c>
      <c r="C522" t="s">
        <v>99</v>
      </c>
      <c r="D522" t="s">
        <v>169</v>
      </c>
      <c r="E522">
        <v>1</v>
      </c>
      <c r="F522" t="str">
        <f>VLOOKUP($C522,VLOOKUP_spp!$A$2:$D$103,4,1)</f>
        <v>Halictus_rubicundus</v>
      </c>
      <c r="G522" t="str">
        <f>VLOOKUP($F522,VLOOKUP_spp!$A$2:$E$102,5,1)</f>
        <v>Hymenoptera</v>
      </c>
      <c r="H522" t="str">
        <f t="shared" si="8"/>
        <v>Oct</v>
      </c>
      <c r="I522">
        <v>1</v>
      </c>
    </row>
    <row r="523" spans="1:9" x14ac:dyDescent="0.35">
      <c r="A523">
        <v>522</v>
      </c>
      <c r="B523" s="2">
        <v>43746</v>
      </c>
      <c r="C523" t="s">
        <v>101</v>
      </c>
      <c r="D523" t="s">
        <v>162</v>
      </c>
      <c r="E523">
        <v>1</v>
      </c>
      <c r="F523" t="str">
        <f>VLOOKUP($C523,VLOOKUP_spp!$A$2:$D$103,4,1)</f>
        <v>Halictus_tripartitus</v>
      </c>
      <c r="G523" t="str">
        <f>VLOOKUP($F523,VLOOKUP_spp!$A$2:$E$102,5,1)</f>
        <v>Hymenoptera</v>
      </c>
      <c r="H523" t="str">
        <f t="shared" si="8"/>
        <v>Oct</v>
      </c>
      <c r="I523">
        <v>1</v>
      </c>
    </row>
    <row r="524" spans="1:9" x14ac:dyDescent="0.35">
      <c r="A524">
        <v>523</v>
      </c>
      <c r="B524" s="2">
        <v>43746</v>
      </c>
      <c r="C524" t="s">
        <v>103</v>
      </c>
      <c r="D524" t="s">
        <v>160</v>
      </c>
      <c r="E524">
        <v>1</v>
      </c>
      <c r="F524" t="str">
        <f>VLOOKUP($C524,VLOOKUP_spp!$A$2:$D$103,4,1)</f>
        <v>Hylaeus</v>
      </c>
      <c r="G524" t="str">
        <f>VLOOKUP($F524,VLOOKUP_spp!$A$2:$E$102,5,1)</f>
        <v>Hymenoptera</v>
      </c>
      <c r="H524" t="str">
        <f t="shared" si="8"/>
        <v>Oct</v>
      </c>
      <c r="I524">
        <v>1</v>
      </c>
    </row>
    <row r="525" spans="1:9" x14ac:dyDescent="0.35">
      <c r="A525">
        <v>524</v>
      </c>
      <c r="B525" s="2">
        <v>43746</v>
      </c>
      <c r="C525" t="s">
        <v>103</v>
      </c>
      <c r="D525" t="s">
        <v>162</v>
      </c>
      <c r="E525">
        <v>1</v>
      </c>
      <c r="F525" t="str">
        <f>VLOOKUP($C525,VLOOKUP_spp!$A$2:$D$103,4,1)</f>
        <v>Hylaeus</v>
      </c>
      <c r="G525" t="str">
        <f>VLOOKUP($F525,VLOOKUP_spp!$A$2:$E$102,5,1)</f>
        <v>Hymenoptera</v>
      </c>
      <c r="H525" t="str">
        <f t="shared" si="8"/>
        <v>Oct</v>
      </c>
      <c r="I525">
        <v>1</v>
      </c>
    </row>
    <row r="526" spans="1:9" x14ac:dyDescent="0.35">
      <c r="A526">
        <v>525</v>
      </c>
      <c r="B526" s="2">
        <v>43746</v>
      </c>
      <c r="C526" t="s">
        <v>103</v>
      </c>
      <c r="D526" t="s">
        <v>147</v>
      </c>
      <c r="E526">
        <v>1</v>
      </c>
      <c r="F526" t="str">
        <f>VLOOKUP($C526,VLOOKUP_spp!$A$2:$D$103,4,1)</f>
        <v>Hylaeus</v>
      </c>
      <c r="G526" t="str">
        <f>VLOOKUP($F526,VLOOKUP_spp!$A$2:$E$102,5,1)</f>
        <v>Hymenoptera</v>
      </c>
      <c r="H526" t="str">
        <f t="shared" si="8"/>
        <v>Oct</v>
      </c>
      <c r="I526">
        <v>1</v>
      </c>
    </row>
    <row r="527" spans="1:9" x14ac:dyDescent="0.35">
      <c r="A527">
        <v>526</v>
      </c>
      <c r="B527" s="2">
        <v>43746</v>
      </c>
      <c r="C527" t="s">
        <v>106</v>
      </c>
      <c r="D527" t="s">
        <v>169</v>
      </c>
      <c r="E527">
        <v>3</v>
      </c>
      <c r="F527" t="str">
        <f>VLOOKUP($C527,VLOOKUP_spp!$A$2:$D$103,4,1)</f>
        <v>Lasioglossum</v>
      </c>
      <c r="G527" t="str">
        <f>VLOOKUP($F527,VLOOKUP_spp!$A$2:$E$102,5,1)</f>
        <v>Hymenoptera</v>
      </c>
      <c r="H527" t="str">
        <f t="shared" si="8"/>
        <v>Oct</v>
      </c>
      <c r="I527">
        <v>1</v>
      </c>
    </row>
    <row r="528" spans="1:9" x14ac:dyDescent="0.35">
      <c r="A528">
        <v>527</v>
      </c>
      <c r="B528" s="2">
        <v>43746</v>
      </c>
      <c r="C528" t="s">
        <v>106</v>
      </c>
      <c r="D528" t="s">
        <v>158</v>
      </c>
      <c r="E528">
        <v>1</v>
      </c>
      <c r="F528" t="str">
        <f>VLOOKUP($C528,VLOOKUP_spp!$A$2:$D$103,4,1)</f>
        <v>Lasioglossum</v>
      </c>
      <c r="G528" t="str">
        <f>VLOOKUP($F528,VLOOKUP_spp!$A$2:$E$102,5,1)</f>
        <v>Hymenoptera</v>
      </c>
      <c r="H528" t="str">
        <f t="shared" si="8"/>
        <v>Oct</v>
      </c>
      <c r="I528">
        <v>1</v>
      </c>
    </row>
    <row r="529" spans="1:9" x14ac:dyDescent="0.35">
      <c r="A529">
        <v>528</v>
      </c>
      <c r="B529" s="2">
        <v>43746</v>
      </c>
      <c r="C529" t="s">
        <v>8</v>
      </c>
      <c r="D529" t="s">
        <v>169</v>
      </c>
      <c r="E529">
        <v>4</v>
      </c>
      <c r="F529" t="str">
        <f>VLOOKUP($C529,VLOOKUP_spp!$A$2:$D$103,4,1)</f>
        <v>Lepidoptera</v>
      </c>
      <c r="G529" t="str">
        <f>VLOOKUP($F529,VLOOKUP_spp!$A$2:$E$102,5,1)</f>
        <v>Lepidoptera</v>
      </c>
      <c r="H529" t="str">
        <f t="shared" si="8"/>
        <v>Oct</v>
      </c>
      <c r="I529">
        <v>1</v>
      </c>
    </row>
    <row r="530" spans="1:9" x14ac:dyDescent="0.35">
      <c r="A530">
        <v>529</v>
      </c>
      <c r="B530" s="2">
        <v>43746</v>
      </c>
      <c r="C530" t="s">
        <v>8</v>
      </c>
      <c r="D530" t="s">
        <v>172</v>
      </c>
      <c r="E530">
        <v>1</v>
      </c>
      <c r="F530" t="str">
        <f>VLOOKUP($C530,VLOOKUP_spp!$A$2:$D$103,4,1)</f>
        <v>Lepidoptera</v>
      </c>
      <c r="G530" t="str">
        <f>VLOOKUP($F530,VLOOKUP_spp!$A$2:$E$102,5,1)</f>
        <v>Lepidoptera</v>
      </c>
      <c r="H530" t="str">
        <f t="shared" si="8"/>
        <v>Oct</v>
      </c>
      <c r="I530">
        <v>1</v>
      </c>
    </row>
    <row r="531" spans="1:9" x14ac:dyDescent="0.35">
      <c r="A531">
        <v>530</v>
      </c>
      <c r="B531" s="2">
        <v>43746</v>
      </c>
      <c r="C531" t="s">
        <v>120</v>
      </c>
      <c r="D531" t="s">
        <v>169</v>
      </c>
      <c r="E531">
        <v>1</v>
      </c>
      <c r="F531">
        <f>VLOOKUP($C531,VLOOKUP_spp!$A$2:$D$103,4,1)</f>
        <v>0</v>
      </c>
      <c r="G531" t="e">
        <f>VLOOKUP($F531,VLOOKUP_spp!$A$2:$E$102,5,1)</f>
        <v>#N/A</v>
      </c>
      <c r="H531" t="str">
        <f t="shared" si="8"/>
        <v>Oct</v>
      </c>
      <c r="I531">
        <v>1</v>
      </c>
    </row>
    <row r="532" spans="1:9" x14ac:dyDescent="0.35">
      <c r="A532">
        <v>531</v>
      </c>
      <c r="B532" s="2">
        <v>43746</v>
      </c>
      <c r="C532" t="s">
        <v>124</v>
      </c>
      <c r="D532" t="s">
        <v>166</v>
      </c>
      <c r="E532">
        <v>2</v>
      </c>
      <c r="F532" t="str">
        <f>VLOOKUP($C532,VLOOKUP_spp!$A$2:$D$103,4,1)</f>
        <v>Sphecodes</v>
      </c>
      <c r="G532" t="str">
        <f>VLOOKUP($F532,VLOOKUP_spp!$A$2:$E$102,5,1)</f>
        <v>Hymenoptera</v>
      </c>
      <c r="H532" t="str">
        <f t="shared" si="8"/>
        <v>Oct</v>
      </c>
      <c r="I532">
        <v>1</v>
      </c>
    </row>
    <row r="533" spans="1:9" x14ac:dyDescent="0.35">
      <c r="A533">
        <v>532</v>
      </c>
      <c r="B533" s="2">
        <v>43746</v>
      </c>
      <c r="C533" t="s">
        <v>124</v>
      </c>
      <c r="D533" t="s">
        <v>160</v>
      </c>
      <c r="E533">
        <v>2</v>
      </c>
      <c r="F533" t="str">
        <f>VLOOKUP($C533,VLOOKUP_spp!$A$2:$D$103,4,1)</f>
        <v>Sphecodes</v>
      </c>
      <c r="G533" t="str">
        <f>VLOOKUP($F533,VLOOKUP_spp!$A$2:$E$102,5,1)</f>
        <v>Hymenoptera</v>
      </c>
      <c r="H533" t="str">
        <f t="shared" si="8"/>
        <v>Oct</v>
      </c>
      <c r="I533">
        <v>1</v>
      </c>
    </row>
    <row r="534" spans="1:9" x14ac:dyDescent="0.35">
      <c r="A534">
        <v>533</v>
      </c>
      <c r="B534" s="2">
        <v>43746</v>
      </c>
      <c r="C534" t="s">
        <v>126</v>
      </c>
      <c r="D534" t="s">
        <v>169</v>
      </c>
      <c r="E534">
        <v>45</v>
      </c>
      <c r="F534" t="str">
        <f>VLOOKUP($C534,VLOOKUP_spp!$A$2:$D$103,4,1)</f>
        <v>Syrphidae</v>
      </c>
      <c r="G534" t="str">
        <f>VLOOKUP($F534,VLOOKUP_spp!$A$2:$E$102,5,1)</f>
        <v>Diptera</v>
      </c>
      <c r="H534" t="str">
        <f t="shared" si="8"/>
        <v>Oct</v>
      </c>
      <c r="I534">
        <v>1</v>
      </c>
    </row>
    <row r="535" spans="1:9" x14ac:dyDescent="0.35">
      <c r="A535">
        <v>534</v>
      </c>
      <c r="B535" s="2">
        <v>43746</v>
      </c>
      <c r="C535" t="s">
        <v>126</v>
      </c>
      <c r="D535" t="s">
        <v>166</v>
      </c>
      <c r="E535">
        <v>12</v>
      </c>
      <c r="F535" t="str">
        <f>VLOOKUP($C535,VLOOKUP_spp!$A$2:$D$103,4,1)</f>
        <v>Syrphidae</v>
      </c>
      <c r="G535" t="str">
        <f>VLOOKUP($F535,VLOOKUP_spp!$A$2:$E$102,5,1)</f>
        <v>Diptera</v>
      </c>
      <c r="H535" t="str">
        <f t="shared" si="8"/>
        <v>Oct</v>
      </c>
      <c r="I535">
        <v>1</v>
      </c>
    </row>
    <row r="536" spans="1:9" x14ac:dyDescent="0.35">
      <c r="A536">
        <v>535</v>
      </c>
      <c r="B536" s="2">
        <v>43746</v>
      </c>
      <c r="C536" t="s">
        <v>126</v>
      </c>
      <c r="D536" t="s">
        <v>172</v>
      </c>
      <c r="E536">
        <v>3</v>
      </c>
      <c r="F536" t="str">
        <f>VLOOKUP($C536,VLOOKUP_spp!$A$2:$D$103,4,1)</f>
        <v>Syrphidae</v>
      </c>
      <c r="G536" t="str">
        <f>VLOOKUP($F536,VLOOKUP_spp!$A$2:$E$102,5,1)</f>
        <v>Diptera</v>
      </c>
      <c r="H536" t="str">
        <f t="shared" si="8"/>
        <v>Oct</v>
      </c>
      <c r="I536">
        <v>1</v>
      </c>
    </row>
    <row r="537" spans="1:9" x14ac:dyDescent="0.35">
      <c r="A537">
        <v>536</v>
      </c>
      <c r="B537" s="2">
        <v>43746</v>
      </c>
      <c r="C537" t="s">
        <v>126</v>
      </c>
      <c r="D537" t="s">
        <v>150</v>
      </c>
      <c r="E537">
        <v>1</v>
      </c>
      <c r="F537" t="str">
        <f>VLOOKUP($C537,VLOOKUP_spp!$A$2:$D$103,4,1)</f>
        <v>Syrphidae</v>
      </c>
      <c r="G537" t="str">
        <f>VLOOKUP($F537,VLOOKUP_spp!$A$2:$E$102,5,1)</f>
        <v>Diptera</v>
      </c>
      <c r="H537" t="str">
        <f t="shared" si="8"/>
        <v>Oct</v>
      </c>
      <c r="I537">
        <v>1</v>
      </c>
    </row>
    <row r="538" spans="1:9" x14ac:dyDescent="0.35">
      <c r="A538">
        <v>537</v>
      </c>
      <c r="B538" s="2">
        <v>43746</v>
      </c>
      <c r="C538" t="s">
        <v>126</v>
      </c>
      <c r="D538" t="s">
        <v>162</v>
      </c>
      <c r="E538">
        <v>2</v>
      </c>
      <c r="F538" t="str">
        <f>VLOOKUP($C538,VLOOKUP_spp!$A$2:$D$103,4,1)</f>
        <v>Syrphidae</v>
      </c>
      <c r="G538" t="str">
        <f>VLOOKUP($F538,VLOOKUP_spp!$A$2:$E$102,5,1)</f>
        <v>Diptera</v>
      </c>
      <c r="H538" t="str">
        <f t="shared" si="8"/>
        <v>Oct</v>
      </c>
      <c r="I538">
        <v>1</v>
      </c>
    </row>
    <row r="539" spans="1:9" x14ac:dyDescent="0.35">
      <c r="A539">
        <v>538</v>
      </c>
      <c r="B539" s="2">
        <v>43746</v>
      </c>
      <c r="C539" t="s">
        <v>126</v>
      </c>
      <c r="D539" t="s">
        <v>147</v>
      </c>
      <c r="E539">
        <v>2</v>
      </c>
      <c r="F539" t="str">
        <f>VLOOKUP($C539,VLOOKUP_spp!$A$2:$D$103,4,1)</f>
        <v>Syrphidae</v>
      </c>
      <c r="G539" t="str">
        <f>VLOOKUP($F539,VLOOKUP_spp!$A$2:$E$102,5,1)</f>
        <v>Diptera</v>
      </c>
      <c r="H539" t="str">
        <f t="shared" si="8"/>
        <v>Oct</v>
      </c>
      <c r="I539">
        <v>1</v>
      </c>
    </row>
    <row r="540" spans="1:9" x14ac:dyDescent="0.35">
      <c r="A540">
        <v>539</v>
      </c>
      <c r="B540" s="2">
        <v>43746</v>
      </c>
      <c r="C540" t="s">
        <v>128</v>
      </c>
      <c r="D540" t="s">
        <v>169</v>
      </c>
      <c r="E540">
        <v>14</v>
      </c>
      <c r="F540" t="str">
        <f>VLOOKUP($C540,VLOOKUP_spp!$A$2:$D$103,4,1)</f>
        <v>Wasp</v>
      </c>
      <c r="G540" t="str">
        <f>VLOOKUP($F540,VLOOKUP_spp!$A$2:$E$102,5,1)</f>
        <v>Hymenoptera</v>
      </c>
      <c r="H540" t="str">
        <f t="shared" si="8"/>
        <v>Oct</v>
      </c>
      <c r="I540">
        <v>1</v>
      </c>
    </row>
    <row r="541" spans="1:9" x14ac:dyDescent="0.35">
      <c r="A541">
        <v>540</v>
      </c>
      <c r="B541" s="2">
        <v>43746</v>
      </c>
      <c r="C541" t="s">
        <v>128</v>
      </c>
      <c r="D541" t="s">
        <v>166</v>
      </c>
      <c r="E541">
        <v>4</v>
      </c>
      <c r="F541" t="str">
        <f>VLOOKUP($C541,VLOOKUP_spp!$A$2:$D$103,4,1)</f>
        <v>Wasp</v>
      </c>
      <c r="G541" t="str">
        <f>VLOOKUP($F541,VLOOKUP_spp!$A$2:$E$102,5,1)</f>
        <v>Hymenoptera</v>
      </c>
      <c r="H541" t="str">
        <f t="shared" si="8"/>
        <v>Oct</v>
      </c>
      <c r="I541">
        <v>1</v>
      </c>
    </row>
    <row r="542" spans="1:9" x14ac:dyDescent="0.35">
      <c r="A542">
        <v>541</v>
      </c>
      <c r="B542" s="2">
        <v>43746</v>
      </c>
      <c r="C542" t="s">
        <v>128</v>
      </c>
      <c r="D542" t="s">
        <v>172</v>
      </c>
      <c r="E542">
        <v>6</v>
      </c>
      <c r="F542" t="str">
        <f>VLOOKUP($C542,VLOOKUP_spp!$A$2:$D$103,4,1)</f>
        <v>Wasp</v>
      </c>
      <c r="G542" t="str">
        <f>VLOOKUP($F542,VLOOKUP_spp!$A$2:$E$102,5,1)</f>
        <v>Hymenoptera</v>
      </c>
      <c r="H542" t="str">
        <f t="shared" si="8"/>
        <v>Oct</v>
      </c>
      <c r="I542">
        <v>1</v>
      </c>
    </row>
    <row r="543" spans="1:9" x14ac:dyDescent="0.35">
      <c r="A543">
        <v>542</v>
      </c>
      <c r="B543" s="2">
        <v>43748</v>
      </c>
      <c r="C543" t="s">
        <v>27</v>
      </c>
      <c r="D543" t="s">
        <v>165</v>
      </c>
      <c r="E543">
        <v>1</v>
      </c>
      <c r="F543" t="str">
        <f>VLOOKUP($C543,VLOOKUP_spp!$A$2:$D$103,4,1)</f>
        <v>Agapostemon</v>
      </c>
      <c r="G543" t="str">
        <f>VLOOKUP($F543,VLOOKUP_spp!$A$2:$E$102,5,1)</f>
        <v>Hymenoptera</v>
      </c>
      <c r="H543" t="str">
        <f t="shared" si="8"/>
        <v>Oct</v>
      </c>
      <c r="I543">
        <v>1</v>
      </c>
    </row>
    <row r="544" spans="1:9" x14ac:dyDescent="0.35">
      <c r="A544">
        <v>543</v>
      </c>
      <c r="B544" s="2">
        <v>43748</v>
      </c>
      <c r="C544" t="s">
        <v>50</v>
      </c>
      <c r="D544" t="s">
        <v>169</v>
      </c>
      <c r="E544">
        <v>2</v>
      </c>
      <c r="F544" t="str">
        <f>VLOOKUP($C544,VLOOKUP_spp!$A$2:$D$103,4,1)</f>
        <v>Apis_mellifera</v>
      </c>
      <c r="G544" t="str">
        <f>VLOOKUP($F544,VLOOKUP_spp!$A$2:$E$102,5,1)</f>
        <v>Hymenoptera</v>
      </c>
      <c r="H544" t="str">
        <f t="shared" si="8"/>
        <v>Oct</v>
      </c>
      <c r="I544">
        <v>1</v>
      </c>
    </row>
    <row r="545" spans="1:9" x14ac:dyDescent="0.35">
      <c r="A545">
        <v>544</v>
      </c>
      <c r="B545" s="2">
        <v>43748</v>
      </c>
      <c r="C545" t="s">
        <v>50</v>
      </c>
      <c r="D545" t="s">
        <v>172</v>
      </c>
      <c r="E545">
        <v>5</v>
      </c>
      <c r="F545" t="str">
        <f>VLOOKUP($C545,VLOOKUP_spp!$A$2:$D$103,4,1)</f>
        <v>Apis_mellifera</v>
      </c>
      <c r="G545" t="str">
        <f>VLOOKUP($F545,VLOOKUP_spp!$A$2:$E$102,5,1)</f>
        <v>Hymenoptera</v>
      </c>
      <c r="H545" t="str">
        <f t="shared" si="8"/>
        <v>Oct</v>
      </c>
      <c r="I545">
        <v>1</v>
      </c>
    </row>
    <row r="546" spans="1:9" x14ac:dyDescent="0.35">
      <c r="A546">
        <v>545</v>
      </c>
      <c r="B546" s="2">
        <v>43748</v>
      </c>
      <c r="C546" t="s">
        <v>51</v>
      </c>
      <c r="D546" t="s">
        <v>169</v>
      </c>
      <c r="E546">
        <v>1</v>
      </c>
      <c r="F546" t="str">
        <f>VLOOKUP($C546,VLOOKUP_spp!$A$2:$D$103,4,1)</f>
        <v>Augochlora</v>
      </c>
      <c r="G546" t="str">
        <f>VLOOKUP($F546,VLOOKUP_spp!$A$2:$E$102,5,1)</f>
        <v>Hymenoptera</v>
      </c>
      <c r="H546" t="str">
        <f t="shared" si="8"/>
        <v>Oct</v>
      </c>
      <c r="I546">
        <v>1</v>
      </c>
    </row>
    <row r="547" spans="1:9" x14ac:dyDescent="0.35">
      <c r="A547">
        <v>546</v>
      </c>
      <c r="B547" s="2">
        <v>43748</v>
      </c>
      <c r="C547" t="s">
        <v>51</v>
      </c>
      <c r="D547" t="s">
        <v>166</v>
      </c>
      <c r="E547">
        <v>1</v>
      </c>
      <c r="F547" t="str">
        <f>VLOOKUP($C547,VLOOKUP_spp!$A$2:$D$103,4,1)</f>
        <v>Augochlora</v>
      </c>
      <c r="G547" t="str">
        <f>VLOOKUP($F547,VLOOKUP_spp!$A$2:$E$102,5,1)</f>
        <v>Hymenoptera</v>
      </c>
      <c r="H547" t="str">
        <f t="shared" si="8"/>
        <v>Oct</v>
      </c>
      <c r="I547">
        <v>1</v>
      </c>
    </row>
    <row r="548" spans="1:9" x14ac:dyDescent="0.35">
      <c r="A548">
        <v>547</v>
      </c>
      <c r="B548" s="2">
        <v>43748</v>
      </c>
      <c r="C548" t="s">
        <v>51</v>
      </c>
      <c r="D548" t="s">
        <v>172</v>
      </c>
      <c r="E548">
        <v>2</v>
      </c>
      <c r="F548" t="str">
        <f>VLOOKUP($C548,VLOOKUP_spp!$A$2:$D$103,4,1)</f>
        <v>Augochlora</v>
      </c>
      <c r="G548" t="str">
        <f>VLOOKUP($F548,VLOOKUP_spp!$A$2:$E$102,5,1)</f>
        <v>Hymenoptera</v>
      </c>
      <c r="H548" t="str">
        <f t="shared" si="8"/>
        <v>Oct</v>
      </c>
      <c r="I548">
        <v>1</v>
      </c>
    </row>
    <row r="549" spans="1:9" x14ac:dyDescent="0.35">
      <c r="A549">
        <v>548</v>
      </c>
      <c r="B549" s="2">
        <v>43748</v>
      </c>
      <c r="C549" t="s">
        <v>51</v>
      </c>
      <c r="D549" t="s">
        <v>150</v>
      </c>
      <c r="E549">
        <v>1</v>
      </c>
      <c r="F549" t="str">
        <f>VLOOKUP($C549,VLOOKUP_spp!$A$2:$D$103,4,1)</f>
        <v>Augochlora</v>
      </c>
      <c r="G549" t="str">
        <f>VLOOKUP($F549,VLOOKUP_spp!$A$2:$E$102,5,1)</f>
        <v>Hymenoptera</v>
      </c>
      <c r="H549" t="str">
        <f t="shared" si="8"/>
        <v>Oct</v>
      </c>
      <c r="I549">
        <v>1</v>
      </c>
    </row>
    <row r="550" spans="1:9" x14ac:dyDescent="0.35">
      <c r="A550">
        <v>549</v>
      </c>
      <c r="B550" s="2">
        <v>43748</v>
      </c>
      <c r="C550" t="s">
        <v>51</v>
      </c>
      <c r="D550" t="s">
        <v>162</v>
      </c>
      <c r="E550">
        <v>1</v>
      </c>
      <c r="F550" t="str">
        <f>VLOOKUP($C550,VLOOKUP_spp!$A$2:$D$103,4,1)</f>
        <v>Augochlora</v>
      </c>
      <c r="G550" t="str">
        <f>VLOOKUP($F550,VLOOKUP_spp!$A$2:$E$102,5,1)</f>
        <v>Hymenoptera</v>
      </c>
      <c r="H550" t="str">
        <f t="shared" si="8"/>
        <v>Oct</v>
      </c>
      <c r="I550">
        <v>1</v>
      </c>
    </row>
    <row r="551" spans="1:9" x14ac:dyDescent="0.35">
      <c r="A551">
        <v>550</v>
      </c>
      <c r="B551" s="2">
        <v>43748</v>
      </c>
      <c r="C551" t="s">
        <v>53</v>
      </c>
      <c r="D551" t="s">
        <v>166</v>
      </c>
      <c r="E551">
        <v>2</v>
      </c>
      <c r="F551" t="str">
        <f>VLOOKUP($C551,VLOOKUP_spp!$A$2:$D$103,4,1)</f>
        <v>Augochloropsis</v>
      </c>
      <c r="G551" t="str">
        <f>VLOOKUP($F551,VLOOKUP_spp!$A$2:$E$102,5,1)</f>
        <v>Hymenoptera</v>
      </c>
      <c r="H551" t="str">
        <f t="shared" si="8"/>
        <v>Oct</v>
      </c>
      <c r="I551">
        <v>1</v>
      </c>
    </row>
    <row r="552" spans="1:9" x14ac:dyDescent="0.35">
      <c r="A552">
        <v>551</v>
      </c>
      <c r="B552" s="2">
        <v>43748</v>
      </c>
      <c r="C552" t="s">
        <v>53</v>
      </c>
      <c r="D552" t="s">
        <v>172</v>
      </c>
      <c r="E552">
        <v>1</v>
      </c>
      <c r="F552" t="str">
        <f>VLOOKUP($C552,VLOOKUP_spp!$A$2:$D$103,4,1)</f>
        <v>Augochloropsis</v>
      </c>
      <c r="G552" t="str">
        <f>VLOOKUP($F552,VLOOKUP_spp!$A$2:$E$102,5,1)</f>
        <v>Hymenoptera</v>
      </c>
      <c r="H552" t="str">
        <f t="shared" si="8"/>
        <v>Oct</v>
      </c>
      <c r="I552">
        <v>1</v>
      </c>
    </row>
    <row r="553" spans="1:9" x14ac:dyDescent="0.35">
      <c r="A553">
        <v>552</v>
      </c>
      <c r="B553" s="2">
        <v>43748</v>
      </c>
      <c r="C553" t="s">
        <v>53</v>
      </c>
      <c r="D553" t="s">
        <v>162</v>
      </c>
      <c r="E553">
        <v>1</v>
      </c>
      <c r="F553" t="str">
        <f>VLOOKUP($C553,VLOOKUP_spp!$A$2:$D$103,4,1)</f>
        <v>Augochloropsis</v>
      </c>
      <c r="G553" t="str">
        <f>VLOOKUP($F553,VLOOKUP_spp!$A$2:$E$102,5,1)</f>
        <v>Hymenoptera</v>
      </c>
      <c r="H553" t="str">
        <f t="shared" si="8"/>
        <v>Oct</v>
      </c>
      <c r="I553">
        <v>1</v>
      </c>
    </row>
    <row r="554" spans="1:9" x14ac:dyDescent="0.35">
      <c r="A554">
        <v>553</v>
      </c>
      <c r="B554" s="2">
        <v>43748</v>
      </c>
      <c r="C554" t="s">
        <v>67</v>
      </c>
      <c r="D554" t="s">
        <v>147</v>
      </c>
      <c r="E554">
        <v>5</v>
      </c>
      <c r="F554" t="str">
        <f>VLOOKUP($C554,VLOOKUP_spp!$A$2:$D$103,4,1)</f>
        <v>Bombus_impatiens</v>
      </c>
      <c r="G554" t="str">
        <f>VLOOKUP($F554,VLOOKUP_spp!$A$2:$E$102,5,1)</f>
        <v>Hymenoptera</v>
      </c>
      <c r="H554" t="str">
        <f t="shared" si="8"/>
        <v>Oct</v>
      </c>
      <c r="I554">
        <v>1</v>
      </c>
    </row>
    <row r="555" spans="1:9" x14ac:dyDescent="0.35">
      <c r="A555">
        <v>554</v>
      </c>
      <c r="B555" s="2">
        <v>43748</v>
      </c>
      <c r="C555" t="s">
        <v>7</v>
      </c>
      <c r="D555" t="s">
        <v>160</v>
      </c>
      <c r="E555">
        <v>1</v>
      </c>
      <c r="F555" t="str">
        <f>VLOOKUP($C555,VLOOKUP_spp!$A$2:$D$103,4,1)</f>
        <v>Coleoptera</v>
      </c>
      <c r="G555" t="str">
        <f>VLOOKUP($F555,VLOOKUP_spp!$A$2:$E$102,5,1)</f>
        <v>Coleoptera</v>
      </c>
      <c r="H555" t="str">
        <f t="shared" si="8"/>
        <v>Oct</v>
      </c>
      <c r="I555">
        <v>1</v>
      </c>
    </row>
    <row r="556" spans="1:9" x14ac:dyDescent="0.35">
      <c r="A556">
        <v>555</v>
      </c>
      <c r="B556" s="2">
        <v>43748</v>
      </c>
      <c r="C556" t="s">
        <v>7</v>
      </c>
      <c r="D556" t="s">
        <v>162</v>
      </c>
      <c r="E556">
        <v>5</v>
      </c>
      <c r="F556" t="str">
        <f>VLOOKUP($C556,VLOOKUP_spp!$A$2:$D$103,4,1)</f>
        <v>Coleoptera</v>
      </c>
      <c r="G556" t="str">
        <f>VLOOKUP($F556,VLOOKUP_spp!$A$2:$E$102,5,1)</f>
        <v>Coleoptera</v>
      </c>
      <c r="H556" t="str">
        <f t="shared" si="8"/>
        <v>Oct</v>
      </c>
      <c r="I556">
        <v>1</v>
      </c>
    </row>
    <row r="557" spans="1:9" x14ac:dyDescent="0.35">
      <c r="A557">
        <v>556</v>
      </c>
      <c r="B557" s="2">
        <v>43748</v>
      </c>
      <c r="C557" t="s">
        <v>6</v>
      </c>
      <c r="D557" t="s">
        <v>166</v>
      </c>
      <c r="E557">
        <v>1</v>
      </c>
      <c r="F557" t="str">
        <f>VLOOKUP($C557,VLOOKUP_spp!$A$2:$D$103,4,1)</f>
        <v>Diptera</v>
      </c>
      <c r="G557" t="str">
        <f>VLOOKUP($F557,VLOOKUP_spp!$A$2:$E$102,5,1)</f>
        <v>Diptera</v>
      </c>
      <c r="H557" t="str">
        <f t="shared" si="8"/>
        <v>Oct</v>
      </c>
      <c r="I557">
        <v>1</v>
      </c>
    </row>
    <row r="558" spans="1:9" x14ac:dyDescent="0.35">
      <c r="A558">
        <v>557</v>
      </c>
      <c r="B558" s="2">
        <v>43748</v>
      </c>
      <c r="C558" t="s">
        <v>6</v>
      </c>
      <c r="D558" t="s">
        <v>147</v>
      </c>
      <c r="E558">
        <v>3</v>
      </c>
      <c r="F558" t="str">
        <f>VLOOKUP($C558,VLOOKUP_spp!$A$2:$D$103,4,1)</f>
        <v>Diptera</v>
      </c>
      <c r="G558" t="str">
        <f>VLOOKUP($F558,VLOOKUP_spp!$A$2:$E$102,5,1)</f>
        <v>Diptera</v>
      </c>
      <c r="H558" t="str">
        <f t="shared" si="8"/>
        <v>Oct</v>
      </c>
      <c r="I558">
        <v>1</v>
      </c>
    </row>
    <row r="559" spans="1:9" x14ac:dyDescent="0.35">
      <c r="A559">
        <v>558</v>
      </c>
      <c r="B559" s="2">
        <v>43748</v>
      </c>
      <c r="C559" t="s">
        <v>6</v>
      </c>
      <c r="D559" t="s">
        <v>156</v>
      </c>
      <c r="E559">
        <v>2</v>
      </c>
      <c r="F559" t="str">
        <f>VLOOKUP($C559,VLOOKUP_spp!$A$2:$D$103,4,1)</f>
        <v>Diptera</v>
      </c>
      <c r="G559" t="str">
        <f>VLOOKUP($F559,VLOOKUP_spp!$A$2:$E$102,5,1)</f>
        <v>Diptera</v>
      </c>
      <c r="H559" t="str">
        <f t="shared" si="8"/>
        <v>Oct</v>
      </c>
      <c r="I559">
        <v>1</v>
      </c>
    </row>
    <row r="560" spans="1:9" x14ac:dyDescent="0.35">
      <c r="A560">
        <v>559</v>
      </c>
      <c r="B560" s="2">
        <v>43748</v>
      </c>
      <c r="C560" t="s">
        <v>99</v>
      </c>
      <c r="D560" t="s">
        <v>162</v>
      </c>
      <c r="E560">
        <v>1</v>
      </c>
      <c r="F560" t="str">
        <f>VLOOKUP($C560,VLOOKUP_spp!$A$2:$D$103,4,1)</f>
        <v>Halictus_rubicundus</v>
      </c>
      <c r="G560" t="str">
        <f>VLOOKUP($F560,VLOOKUP_spp!$A$2:$E$102,5,1)</f>
        <v>Hymenoptera</v>
      </c>
      <c r="H560" t="str">
        <f t="shared" si="8"/>
        <v>Oct</v>
      </c>
      <c r="I560">
        <v>1</v>
      </c>
    </row>
    <row r="561" spans="1:9" x14ac:dyDescent="0.35">
      <c r="A561">
        <v>560</v>
      </c>
      <c r="B561" s="2">
        <v>43748</v>
      </c>
      <c r="C561" t="s">
        <v>106</v>
      </c>
      <c r="D561" t="s">
        <v>169</v>
      </c>
      <c r="E561">
        <v>3</v>
      </c>
      <c r="F561" t="str">
        <f>VLOOKUP($C561,VLOOKUP_spp!$A$2:$D$103,4,1)</f>
        <v>Lasioglossum</v>
      </c>
      <c r="G561" t="str">
        <f>VLOOKUP($F561,VLOOKUP_spp!$A$2:$E$102,5,1)</f>
        <v>Hymenoptera</v>
      </c>
      <c r="H561" t="str">
        <f t="shared" si="8"/>
        <v>Oct</v>
      </c>
      <c r="I561">
        <v>1</v>
      </c>
    </row>
    <row r="562" spans="1:9" x14ac:dyDescent="0.35">
      <c r="A562">
        <v>561</v>
      </c>
      <c r="B562" s="2">
        <v>43748</v>
      </c>
      <c r="C562" t="s">
        <v>106</v>
      </c>
      <c r="D562" t="s">
        <v>166</v>
      </c>
      <c r="E562">
        <v>2</v>
      </c>
      <c r="F562" t="str">
        <f>VLOOKUP($C562,VLOOKUP_spp!$A$2:$D$103,4,1)</f>
        <v>Lasioglossum</v>
      </c>
      <c r="G562" t="str">
        <f>VLOOKUP($F562,VLOOKUP_spp!$A$2:$E$102,5,1)</f>
        <v>Hymenoptera</v>
      </c>
      <c r="H562" t="str">
        <f t="shared" si="8"/>
        <v>Oct</v>
      </c>
      <c r="I562">
        <v>1</v>
      </c>
    </row>
    <row r="563" spans="1:9" x14ac:dyDescent="0.35">
      <c r="A563">
        <v>562</v>
      </c>
      <c r="B563" s="2">
        <v>43748</v>
      </c>
      <c r="C563" t="s">
        <v>106</v>
      </c>
      <c r="D563" t="s">
        <v>162</v>
      </c>
      <c r="E563">
        <v>5</v>
      </c>
      <c r="F563" t="str">
        <f>VLOOKUP($C563,VLOOKUP_spp!$A$2:$D$103,4,1)</f>
        <v>Lasioglossum</v>
      </c>
      <c r="G563" t="str">
        <f>VLOOKUP($F563,VLOOKUP_spp!$A$2:$E$102,5,1)</f>
        <v>Hymenoptera</v>
      </c>
      <c r="H563" t="str">
        <f t="shared" si="8"/>
        <v>Oct</v>
      </c>
      <c r="I563">
        <v>1</v>
      </c>
    </row>
    <row r="564" spans="1:9" x14ac:dyDescent="0.35">
      <c r="A564">
        <v>563</v>
      </c>
      <c r="B564" s="2">
        <v>43748</v>
      </c>
      <c r="C564" t="s">
        <v>106</v>
      </c>
      <c r="D564" t="s">
        <v>156</v>
      </c>
      <c r="E564">
        <v>1</v>
      </c>
      <c r="F564" t="str">
        <f>VLOOKUP($C564,VLOOKUP_spp!$A$2:$D$103,4,1)</f>
        <v>Lasioglossum</v>
      </c>
      <c r="G564" t="str">
        <f>VLOOKUP($F564,VLOOKUP_spp!$A$2:$E$102,5,1)</f>
        <v>Hymenoptera</v>
      </c>
      <c r="H564" t="str">
        <f t="shared" si="8"/>
        <v>Oct</v>
      </c>
      <c r="I564">
        <v>1</v>
      </c>
    </row>
    <row r="565" spans="1:9" x14ac:dyDescent="0.35">
      <c r="A565">
        <v>564</v>
      </c>
      <c r="B565" s="2">
        <v>43748</v>
      </c>
      <c r="C565" t="s">
        <v>8</v>
      </c>
      <c r="D565" t="s">
        <v>157</v>
      </c>
      <c r="E565">
        <v>5</v>
      </c>
      <c r="F565" t="str">
        <f>VLOOKUP($C565,VLOOKUP_spp!$A$2:$D$103,4,1)</f>
        <v>Lepidoptera</v>
      </c>
      <c r="G565" t="str">
        <f>VLOOKUP($F565,VLOOKUP_spp!$A$2:$E$102,5,1)</f>
        <v>Lepidoptera</v>
      </c>
      <c r="H565" t="str">
        <f t="shared" si="8"/>
        <v>Oct</v>
      </c>
      <c r="I565">
        <v>1</v>
      </c>
    </row>
    <row r="566" spans="1:9" x14ac:dyDescent="0.35">
      <c r="A566">
        <v>565</v>
      </c>
      <c r="B566" s="2">
        <v>43748</v>
      </c>
      <c r="C566" t="s">
        <v>8</v>
      </c>
      <c r="D566" t="s">
        <v>166</v>
      </c>
      <c r="E566">
        <v>3</v>
      </c>
      <c r="F566" t="str">
        <f>VLOOKUP($C566,VLOOKUP_spp!$A$2:$D$103,4,1)</f>
        <v>Lepidoptera</v>
      </c>
      <c r="G566" t="str">
        <f>VLOOKUP($F566,VLOOKUP_spp!$A$2:$E$102,5,1)</f>
        <v>Lepidoptera</v>
      </c>
      <c r="H566" t="str">
        <f t="shared" si="8"/>
        <v>Oct</v>
      </c>
      <c r="I566">
        <v>1</v>
      </c>
    </row>
    <row r="567" spans="1:9" x14ac:dyDescent="0.35">
      <c r="A567">
        <v>566</v>
      </c>
      <c r="B567" s="2">
        <v>43748</v>
      </c>
      <c r="C567" t="s">
        <v>8</v>
      </c>
      <c r="D567" t="s">
        <v>172</v>
      </c>
      <c r="E567">
        <v>7</v>
      </c>
      <c r="F567" t="str">
        <f>VLOOKUP($C567,VLOOKUP_spp!$A$2:$D$103,4,1)</f>
        <v>Lepidoptera</v>
      </c>
      <c r="G567" t="str">
        <f>VLOOKUP($F567,VLOOKUP_spp!$A$2:$E$102,5,1)</f>
        <v>Lepidoptera</v>
      </c>
      <c r="H567" t="str">
        <f t="shared" si="8"/>
        <v>Oct</v>
      </c>
      <c r="I567">
        <v>1</v>
      </c>
    </row>
    <row r="568" spans="1:9" x14ac:dyDescent="0.35">
      <c r="A568">
        <v>567</v>
      </c>
      <c r="B568" s="2">
        <v>43748</v>
      </c>
      <c r="C568" t="s">
        <v>8</v>
      </c>
      <c r="D568" t="s">
        <v>156</v>
      </c>
      <c r="E568">
        <v>1</v>
      </c>
      <c r="F568" t="str">
        <f>VLOOKUP($C568,VLOOKUP_spp!$A$2:$D$103,4,1)</f>
        <v>Lepidoptera</v>
      </c>
      <c r="G568" t="str">
        <f>VLOOKUP($F568,VLOOKUP_spp!$A$2:$E$102,5,1)</f>
        <v>Lepidoptera</v>
      </c>
      <c r="H568" t="str">
        <f t="shared" si="8"/>
        <v>Oct</v>
      </c>
      <c r="I568">
        <v>1</v>
      </c>
    </row>
    <row r="569" spans="1:9" x14ac:dyDescent="0.35">
      <c r="A569">
        <v>568</v>
      </c>
      <c r="B569" s="2">
        <v>43748</v>
      </c>
      <c r="C569" t="s">
        <v>126</v>
      </c>
      <c r="D569" t="s">
        <v>169</v>
      </c>
      <c r="E569">
        <v>13</v>
      </c>
      <c r="F569" t="str">
        <f>VLOOKUP($C569,VLOOKUP_spp!$A$2:$D$103,4,1)</f>
        <v>Syrphidae</v>
      </c>
      <c r="G569" t="str">
        <f>VLOOKUP($F569,VLOOKUP_spp!$A$2:$E$102,5,1)</f>
        <v>Diptera</v>
      </c>
      <c r="H569" t="str">
        <f t="shared" si="8"/>
        <v>Oct</v>
      </c>
      <c r="I569">
        <v>1</v>
      </c>
    </row>
    <row r="570" spans="1:9" x14ac:dyDescent="0.35">
      <c r="A570">
        <v>569</v>
      </c>
      <c r="B570" s="2">
        <v>43748</v>
      </c>
      <c r="C570" t="s">
        <v>126</v>
      </c>
      <c r="D570" t="s">
        <v>166</v>
      </c>
      <c r="E570">
        <v>5</v>
      </c>
      <c r="F570" t="str">
        <f>VLOOKUP($C570,VLOOKUP_spp!$A$2:$D$103,4,1)</f>
        <v>Syrphidae</v>
      </c>
      <c r="G570" t="str">
        <f>VLOOKUP($F570,VLOOKUP_spp!$A$2:$E$102,5,1)</f>
        <v>Diptera</v>
      </c>
      <c r="H570" t="str">
        <f t="shared" si="8"/>
        <v>Oct</v>
      </c>
      <c r="I570">
        <v>1</v>
      </c>
    </row>
    <row r="571" spans="1:9" x14ac:dyDescent="0.35">
      <c r="A571">
        <v>570</v>
      </c>
      <c r="B571" s="2">
        <v>43748</v>
      </c>
      <c r="C571" t="s">
        <v>126</v>
      </c>
      <c r="D571" t="s">
        <v>172</v>
      </c>
      <c r="E571">
        <v>4</v>
      </c>
      <c r="F571" t="str">
        <f>VLOOKUP($C571,VLOOKUP_spp!$A$2:$D$103,4,1)</f>
        <v>Syrphidae</v>
      </c>
      <c r="G571" t="str">
        <f>VLOOKUP($F571,VLOOKUP_spp!$A$2:$E$102,5,1)</f>
        <v>Diptera</v>
      </c>
      <c r="H571" t="str">
        <f t="shared" si="8"/>
        <v>Oct</v>
      </c>
      <c r="I571">
        <v>1</v>
      </c>
    </row>
    <row r="572" spans="1:9" x14ac:dyDescent="0.35">
      <c r="A572">
        <v>571</v>
      </c>
      <c r="B572" s="2">
        <v>43748</v>
      </c>
      <c r="C572" t="s">
        <v>126</v>
      </c>
      <c r="D572" t="s">
        <v>162</v>
      </c>
      <c r="E572">
        <v>4</v>
      </c>
      <c r="F572" t="str">
        <f>VLOOKUP($C572,VLOOKUP_spp!$A$2:$D$103,4,1)</f>
        <v>Syrphidae</v>
      </c>
      <c r="G572" t="str">
        <f>VLOOKUP($F572,VLOOKUP_spp!$A$2:$E$102,5,1)</f>
        <v>Diptera</v>
      </c>
      <c r="H572" t="str">
        <f t="shared" si="8"/>
        <v>Oct</v>
      </c>
      <c r="I572">
        <v>1</v>
      </c>
    </row>
    <row r="573" spans="1:9" x14ac:dyDescent="0.35">
      <c r="A573">
        <v>572</v>
      </c>
      <c r="B573" s="2">
        <v>43748</v>
      </c>
      <c r="C573" t="s">
        <v>126</v>
      </c>
      <c r="D573" t="s">
        <v>156</v>
      </c>
      <c r="E573">
        <v>1</v>
      </c>
      <c r="F573" t="str">
        <f>VLOOKUP($C573,VLOOKUP_spp!$A$2:$D$103,4,1)</f>
        <v>Syrphidae</v>
      </c>
      <c r="G573" t="str">
        <f>VLOOKUP($F573,VLOOKUP_spp!$A$2:$E$102,5,1)</f>
        <v>Diptera</v>
      </c>
      <c r="H573" t="str">
        <f t="shared" si="8"/>
        <v>Oct</v>
      </c>
      <c r="I573">
        <v>1</v>
      </c>
    </row>
    <row r="574" spans="1:9" x14ac:dyDescent="0.35">
      <c r="A574">
        <v>573</v>
      </c>
      <c r="B574" s="2">
        <v>43748</v>
      </c>
      <c r="C574" t="s">
        <v>128</v>
      </c>
      <c r="D574" t="s">
        <v>169</v>
      </c>
      <c r="E574">
        <v>2</v>
      </c>
      <c r="F574" t="str">
        <f>VLOOKUP($C574,VLOOKUP_spp!$A$2:$D$103,4,1)</f>
        <v>Wasp</v>
      </c>
      <c r="G574" t="str">
        <f>VLOOKUP($F574,VLOOKUP_spp!$A$2:$E$102,5,1)</f>
        <v>Hymenoptera</v>
      </c>
      <c r="H574" t="str">
        <f t="shared" si="8"/>
        <v>Oct</v>
      </c>
      <c r="I574">
        <v>1</v>
      </c>
    </row>
    <row r="575" spans="1:9" x14ac:dyDescent="0.35">
      <c r="A575">
        <v>574</v>
      </c>
      <c r="B575" s="2">
        <v>43748</v>
      </c>
      <c r="C575" t="s">
        <v>128</v>
      </c>
      <c r="D575" t="s">
        <v>165</v>
      </c>
      <c r="E575">
        <v>1</v>
      </c>
      <c r="F575" t="str">
        <f>VLOOKUP($C575,VLOOKUP_spp!$A$2:$D$103,4,1)</f>
        <v>Wasp</v>
      </c>
      <c r="G575" t="str">
        <f>VLOOKUP($F575,VLOOKUP_spp!$A$2:$E$102,5,1)</f>
        <v>Hymenoptera</v>
      </c>
      <c r="H575" t="str">
        <f t="shared" si="8"/>
        <v>Oct</v>
      </c>
      <c r="I575">
        <v>1</v>
      </c>
    </row>
    <row r="576" spans="1:9" x14ac:dyDescent="0.35">
      <c r="A576">
        <v>575</v>
      </c>
      <c r="B576" s="2">
        <v>43748</v>
      </c>
      <c r="C576" t="s">
        <v>128</v>
      </c>
      <c r="D576" t="s">
        <v>172</v>
      </c>
      <c r="E576">
        <v>4</v>
      </c>
      <c r="F576" t="str">
        <f>VLOOKUP($C576,VLOOKUP_spp!$A$2:$D$103,4,1)</f>
        <v>Wasp</v>
      </c>
      <c r="G576" t="str">
        <f>VLOOKUP($F576,VLOOKUP_spp!$A$2:$E$102,5,1)</f>
        <v>Hymenoptera</v>
      </c>
      <c r="H576" t="str">
        <f t="shared" si="8"/>
        <v>Oct</v>
      </c>
      <c r="I576">
        <v>1</v>
      </c>
    </row>
    <row r="577" spans="1:9" x14ac:dyDescent="0.35">
      <c r="A577">
        <v>576</v>
      </c>
      <c r="B577" s="2">
        <v>43748</v>
      </c>
      <c r="C577" t="s">
        <v>128</v>
      </c>
      <c r="D577" t="s">
        <v>147</v>
      </c>
      <c r="E577">
        <v>5</v>
      </c>
      <c r="F577" t="str">
        <f>VLOOKUP($C577,VLOOKUP_spp!$A$2:$D$103,4,1)</f>
        <v>Wasp</v>
      </c>
      <c r="G577" t="str">
        <f>VLOOKUP($F577,VLOOKUP_spp!$A$2:$E$102,5,1)</f>
        <v>Hymenoptera</v>
      </c>
      <c r="H577" t="str">
        <f t="shared" si="8"/>
        <v>Oct</v>
      </c>
      <c r="I577">
        <v>1</v>
      </c>
    </row>
    <row r="578" spans="1:9" x14ac:dyDescent="0.35">
      <c r="A578">
        <v>577</v>
      </c>
      <c r="B578" s="2">
        <v>43752</v>
      </c>
      <c r="C578" t="s">
        <v>50</v>
      </c>
      <c r="D578" t="s">
        <v>169</v>
      </c>
      <c r="E578">
        <v>3</v>
      </c>
      <c r="F578" t="str">
        <f>VLOOKUP($C578,VLOOKUP_spp!$A$2:$D$103,4,1)</f>
        <v>Apis_mellifera</v>
      </c>
      <c r="G578" t="str">
        <f>VLOOKUP($F578,VLOOKUP_spp!$A$2:$E$102,5,1)</f>
        <v>Hymenoptera</v>
      </c>
      <c r="H578" t="str">
        <f t="shared" si="8"/>
        <v>Oct</v>
      </c>
      <c r="I578">
        <v>1</v>
      </c>
    </row>
    <row r="579" spans="1:9" x14ac:dyDescent="0.35">
      <c r="A579">
        <v>578</v>
      </c>
      <c r="B579" s="2">
        <v>43752</v>
      </c>
      <c r="C579" t="s">
        <v>50</v>
      </c>
      <c r="D579" t="s">
        <v>162</v>
      </c>
      <c r="E579">
        <v>4</v>
      </c>
      <c r="F579" t="str">
        <f>VLOOKUP($C579,VLOOKUP_spp!$A$2:$D$103,4,1)</f>
        <v>Apis_mellifera</v>
      </c>
      <c r="G579" t="str">
        <f>VLOOKUP($F579,VLOOKUP_spp!$A$2:$E$102,5,1)</f>
        <v>Hymenoptera</v>
      </c>
      <c r="H579" t="str">
        <f t="shared" ref="H579:H642" si="9">TEXT(B579, "mmm")</f>
        <v>Oct</v>
      </c>
      <c r="I579">
        <v>1</v>
      </c>
    </row>
    <row r="580" spans="1:9" x14ac:dyDescent="0.35">
      <c r="A580">
        <v>579</v>
      </c>
      <c r="B580" s="2">
        <v>43752</v>
      </c>
      <c r="C580" t="s">
        <v>50</v>
      </c>
      <c r="D580" t="s">
        <v>156</v>
      </c>
      <c r="E580">
        <v>4</v>
      </c>
      <c r="F580" t="str">
        <f>VLOOKUP($C580,VLOOKUP_spp!$A$2:$D$103,4,1)</f>
        <v>Apis_mellifera</v>
      </c>
      <c r="G580" t="str">
        <f>VLOOKUP($F580,VLOOKUP_spp!$A$2:$E$102,5,1)</f>
        <v>Hymenoptera</v>
      </c>
      <c r="H580" t="str">
        <f t="shared" si="9"/>
        <v>Oct</v>
      </c>
      <c r="I580">
        <v>1</v>
      </c>
    </row>
    <row r="581" spans="1:9" x14ac:dyDescent="0.35">
      <c r="A581">
        <v>580</v>
      </c>
      <c r="B581" s="2">
        <v>43752</v>
      </c>
      <c r="C581" t="s">
        <v>51</v>
      </c>
      <c r="D581" t="s">
        <v>172</v>
      </c>
      <c r="E581">
        <v>4</v>
      </c>
      <c r="F581" t="str">
        <f>VLOOKUP($C581,VLOOKUP_spp!$A$2:$D$103,4,1)</f>
        <v>Augochlora</v>
      </c>
      <c r="G581" t="str">
        <f>VLOOKUP($F581,VLOOKUP_spp!$A$2:$E$102,5,1)</f>
        <v>Hymenoptera</v>
      </c>
      <c r="H581" t="str">
        <f t="shared" si="9"/>
        <v>Oct</v>
      </c>
      <c r="I581">
        <v>1</v>
      </c>
    </row>
    <row r="582" spans="1:9" x14ac:dyDescent="0.35">
      <c r="A582">
        <v>581</v>
      </c>
      <c r="B582" s="2">
        <v>43752</v>
      </c>
      <c r="C582" t="s">
        <v>53</v>
      </c>
      <c r="D582" t="s">
        <v>147</v>
      </c>
      <c r="E582">
        <v>1</v>
      </c>
      <c r="F582" t="str">
        <f>VLOOKUP($C582,VLOOKUP_spp!$A$2:$D$103,4,1)</f>
        <v>Augochloropsis</v>
      </c>
      <c r="G582" t="str">
        <f>VLOOKUP($F582,VLOOKUP_spp!$A$2:$E$102,5,1)</f>
        <v>Hymenoptera</v>
      </c>
      <c r="H582" t="str">
        <f t="shared" si="9"/>
        <v>Oct</v>
      </c>
      <c r="I582">
        <v>1</v>
      </c>
    </row>
    <row r="583" spans="1:9" x14ac:dyDescent="0.35">
      <c r="A583">
        <v>582</v>
      </c>
      <c r="B583" s="2">
        <v>43752</v>
      </c>
      <c r="C583" t="s">
        <v>57</v>
      </c>
      <c r="D583" t="s">
        <v>169</v>
      </c>
      <c r="E583">
        <v>1</v>
      </c>
      <c r="F583" t="str">
        <f>VLOOKUP($C583,VLOOKUP_spp!$A$2:$D$103,4,1)</f>
        <v>Bombus_bimaculatus</v>
      </c>
      <c r="G583" t="str">
        <f>VLOOKUP($F583,VLOOKUP_spp!$A$2:$E$102,5,1)</f>
        <v>Hymenoptera</v>
      </c>
      <c r="H583" t="str">
        <f t="shared" si="9"/>
        <v>Oct</v>
      </c>
      <c r="I583">
        <v>1</v>
      </c>
    </row>
    <row r="584" spans="1:9" x14ac:dyDescent="0.35">
      <c r="A584">
        <v>583</v>
      </c>
      <c r="B584" s="2">
        <v>43752</v>
      </c>
      <c r="C584" t="s">
        <v>67</v>
      </c>
      <c r="D584" t="s">
        <v>169</v>
      </c>
      <c r="E584">
        <v>8</v>
      </c>
      <c r="F584" t="str">
        <f>VLOOKUP($C584,VLOOKUP_spp!$A$2:$D$103,4,1)</f>
        <v>Bombus_impatiens</v>
      </c>
      <c r="G584" t="str">
        <f>VLOOKUP($F584,VLOOKUP_spp!$A$2:$E$102,5,1)</f>
        <v>Hymenoptera</v>
      </c>
      <c r="H584" t="str">
        <f t="shared" si="9"/>
        <v>Oct</v>
      </c>
      <c r="I584">
        <v>1</v>
      </c>
    </row>
    <row r="585" spans="1:9" x14ac:dyDescent="0.35">
      <c r="A585">
        <v>584</v>
      </c>
      <c r="B585" s="2">
        <v>43752</v>
      </c>
      <c r="C585" t="s">
        <v>7</v>
      </c>
      <c r="D585" t="s">
        <v>169</v>
      </c>
      <c r="E585">
        <v>1</v>
      </c>
      <c r="F585" t="str">
        <f>VLOOKUP($C585,VLOOKUP_spp!$A$2:$D$103,4,1)</f>
        <v>Coleoptera</v>
      </c>
      <c r="G585" t="str">
        <f>VLOOKUP($F585,VLOOKUP_spp!$A$2:$E$102,5,1)</f>
        <v>Coleoptera</v>
      </c>
      <c r="H585" t="str">
        <f t="shared" si="9"/>
        <v>Oct</v>
      </c>
      <c r="I585">
        <v>1</v>
      </c>
    </row>
    <row r="586" spans="1:9" x14ac:dyDescent="0.35">
      <c r="A586">
        <v>585</v>
      </c>
      <c r="B586" s="2">
        <v>43752</v>
      </c>
      <c r="C586" t="s">
        <v>91</v>
      </c>
      <c r="D586" t="s">
        <v>147</v>
      </c>
      <c r="E586">
        <v>1</v>
      </c>
      <c r="F586" t="str">
        <f>VLOOKUP($C586,VLOOKUP_spp!$A$2:$D$103,4,1)</f>
        <v>Diadasia</v>
      </c>
      <c r="G586" t="str">
        <f>VLOOKUP($F586,VLOOKUP_spp!$A$2:$E$102,5,1)</f>
        <v>Hymenoptera</v>
      </c>
      <c r="H586" t="str">
        <f t="shared" si="9"/>
        <v>Oct</v>
      </c>
      <c r="I586">
        <v>1</v>
      </c>
    </row>
    <row r="587" spans="1:9" x14ac:dyDescent="0.35">
      <c r="A587">
        <v>586</v>
      </c>
      <c r="B587" s="2">
        <v>43752</v>
      </c>
      <c r="C587" t="s">
        <v>6</v>
      </c>
      <c r="D587" t="s">
        <v>169</v>
      </c>
      <c r="E587">
        <v>5</v>
      </c>
      <c r="F587" t="str">
        <f>VLOOKUP($C587,VLOOKUP_spp!$A$2:$D$103,4,1)</f>
        <v>Diptera</v>
      </c>
      <c r="G587" t="str">
        <f>VLOOKUP($F587,VLOOKUP_spp!$A$2:$E$102,5,1)</f>
        <v>Diptera</v>
      </c>
      <c r="H587" t="str">
        <f t="shared" si="9"/>
        <v>Oct</v>
      </c>
      <c r="I587">
        <v>1</v>
      </c>
    </row>
    <row r="588" spans="1:9" x14ac:dyDescent="0.35">
      <c r="A588">
        <v>587</v>
      </c>
      <c r="B588" s="2">
        <v>43752</v>
      </c>
      <c r="C588" t="s">
        <v>126</v>
      </c>
      <c r="D588" t="s">
        <v>169</v>
      </c>
      <c r="E588">
        <v>37</v>
      </c>
      <c r="F588" t="str">
        <f>VLOOKUP($C588,VLOOKUP_spp!$A$2:$D$103,4,1)</f>
        <v>Syrphidae</v>
      </c>
      <c r="G588" t="str">
        <f>VLOOKUP($F588,VLOOKUP_spp!$A$2:$E$102,5,1)</f>
        <v>Diptera</v>
      </c>
      <c r="H588" t="str">
        <f t="shared" si="9"/>
        <v>Oct</v>
      </c>
      <c r="I588">
        <v>1</v>
      </c>
    </row>
    <row r="589" spans="1:9" x14ac:dyDescent="0.35">
      <c r="A589">
        <v>588</v>
      </c>
      <c r="B589" s="2">
        <v>43752</v>
      </c>
      <c r="C589" t="s">
        <v>126</v>
      </c>
      <c r="D589" t="s">
        <v>166</v>
      </c>
      <c r="E589">
        <v>4</v>
      </c>
      <c r="F589" t="str">
        <f>VLOOKUP($C589,VLOOKUP_spp!$A$2:$D$103,4,1)</f>
        <v>Syrphidae</v>
      </c>
      <c r="G589" t="str">
        <f>VLOOKUP($F589,VLOOKUP_spp!$A$2:$E$102,5,1)</f>
        <v>Diptera</v>
      </c>
      <c r="H589" t="str">
        <f t="shared" si="9"/>
        <v>Oct</v>
      </c>
      <c r="I589">
        <v>1</v>
      </c>
    </row>
    <row r="590" spans="1:9" x14ac:dyDescent="0.35">
      <c r="A590">
        <v>589</v>
      </c>
      <c r="B590" s="2">
        <v>43752</v>
      </c>
      <c r="C590" t="s">
        <v>126</v>
      </c>
      <c r="D590" t="s">
        <v>172</v>
      </c>
      <c r="E590">
        <v>10</v>
      </c>
      <c r="F590" t="str">
        <f>VLOOKUP($C590,VLOOKUP_spp!$A$2:$D$103,4,1)</f>
        <v>Syrphidae</v>
      </c>
      <c r="G590" t="str">
        <f>VLOOKUP($F590,VLOOKUP_spp!$A$2:$E$102,5,1)</f>
        <v>Diptera</v>
      </c>
      <c r="H590" t="str">
        <f t="shared" si="9"/>
        <v>Oct</v>
      </c>
      <c r="I590">
        <v>1</v>
      </c>
    </row>
    <row r="591" spans="1:9" x14ac:dyDescent="0.35">
      <c r="A591">
        <v>590</v>
      </c>
      <c r="B591" s="2">
        <v>43752</v>
      </c>
      <c r="C591" t="s">
        <v>126</v>
      </c>
      <c r="D591" t="s">
        <v>147</v>
      </c>
      <c r="E591">
        <v>8</v>
      </c>
      <c r="F591" t="str">
        <f>VLOOKUP($C591,VLOOKUP_spp!$A$2:$D$103,4,1)</f>
        <v>Syrphidae</v>
      </c>
      <c r="G591" t="str">
        <f>VLOOKUP($F591,VLOOKUP_spp!$A$2:$E$102,5,1)</f>
        <v>Diptera</v>
      </c>
      <c r="H591" t="str">
        <f t="shared" si="9"/>
        <v>Oct</v>
      </c>
      <c r="I591">
        <v>1</v>
      </c>
    </row>
    <row r="592" spans="1:9" x14ac:dyDescent="0.35">
      <c r="A592">
        <v>591</v>
      </c>
      <c r="B592" s="2">
        <v>43752</v>
      </c>
      <c r="C592" t="s">
        <v>128</v>
      </c>
      <c r="D592" t="s">
        <v>169</v>
      </c>
      <c r="E592">
        <v>5</v>
      </c>
      <c r="F592" t="str">
        <f>VLOOKUP($C592,VLOOKUP_spp!$A$2:$D$103,4,1)</f>
        <v>Wasp</v>
      </c>
      <c r="G592" t="str">
        <f>VLOOKUP($F592,VLOOKUP_spp!$A$2:$E$102,5,1)</f>
        <v>Hymenoptera</v>
      </c>
      <c r="H592" t="str">
        <f t="shared" si="9"/>
        <v>Oct</v>
      </c>
      <c r="I592">
        <v>1</v>
      </c>
    </row>
    <row r="593" spans="1:9" x14ac:dyDescent="0.35">
      <c r="A593">
        <v>592</v>
      </c>
      <c r="B593" s="2">
        <v>43752</v>
      </c>
      <c r="C593" t="s">
        <v>128</v>
      </c>
      <c r="D593" t="s">
        <v>166</v>
      </c>
      <c r="E593">
        <v>4</v>
      </c>
      <c r="F593" t="str">
        <f>VLOOKUP($C593,VLOOKUP_spp!$A$2:$D$103,4,1)</f>
        <v>Wasp</v>
      </c>
      <c r="G593" t="str">
        <f>VLOOKUP($F593,VLOOKUP_spp!$A$2:$E$102,5,1)</f>
        <v>Hymenoptera</v>
      </c>
      <c r="H593" t="str">
        <f t="shared" si="9"/>
        <v>Oct</v>
      </c>
      <c r="I593">
        <v>1</v>
      </c>
    </row>
    <row r="594" spans="1:9" x14ac:dyDescent="0.35">
      <c r="A594">
        <v>593</v>
      </c>
      <c r="B594" s="2">
        <v>43752</v>
      </c>
      <c r="C594" t="s">
        <v>128</v>
      </c>
      <c r="D594" t="s">
        <v>147</v>
      </c>
      <c r="E594">
        <v>4</v>
      </c>
      <c r="F594" t="str">
        <f>VLOOKUP($C594,VLOOKUP_spp!$A$2:$D$103,4,1)</f>
        <v>Wasp</v>
      </c>
      <c r="G594" t="str">
        <f>VLOOKUP($F594,VLOOKUP_spp!$A$2:$E$102,5,1)</f>
        <v>Hymenoptera</v>
      </c>
      <c r="H594" t="str">
        <f t="shared" si="9"/>
        <v>Oct</v>
      </c>
      <c r="I594">
        <v>1</v>
      </c>
    </row>
    <row r="595" spans="1:9" x14ac:dyDescent="0.35">
      <c r="A595">
        <v>594</v>
      </c>
      <c r="B595" s="2">
        <v>43752</v>
      </c>
      <c r="C595" t="s">
        <v>135</v>
      </c>
      <c r="D595" t="s">
        <v>169</v>
      </c>
      <c r="E595">
        <v>1</v>
      </c>
      <c r="F595" t="str">
        <f>VLOOKUP($C595,VLOOKUP_spp!$A$2:$D$103,4,1)</f>
        <v>Xylocopa</v>
      </c>
      <c r="G595" t="str">
        <f>VLOOKUP($F595,VLOOKUP_spp!$A$2:$E$102,5,1)</f>
        <v>Hymenoptera</v>
      </c>
      <c r="H595" t="str">
        <f t="shared" si="9"/>
        <v>Oct</v>
      </c>
      <c r="I595">
        <v>1</v>
      </c>
    </row>
    <row r="596" spans="1:9" x14ac:dyDescent="0.35">
      <c r="A596">
        <v>595</v>
      </c>
      <c r="B596" s="2">
        <v>43753</v>
      </c>
      <c r="C596" t="s">
        <v>34</v>
      </c>
      <c r="D596" t="s">
        <v>166</v>
      </c>
      <c r="E596">
        <v>1</v>
      </c>
      <c r="F596" t="str">
        <f>VLOOKUP($C596,VLOOKUP_spp!$A$2:$D$103,4,1)</f>
        <v>Andrena_milwaukeensis</v>
      </c>
      <c r="G596" t="str">
        <f>VLOOKUP($F596,VLOOKUP_spp!$A$2:$E$102,5,1)</f>
        <v>Hymenoptera</v>
      </c>
      <c r="H596" t="str">
        <f t="shared" si="9"/>
        <v>Oct</v>
      </c>
      <c r="I596">
        <v>1</v>
      </c>
    </row>
    <row r="597" spans="1:9" x14ac:dyDescent="0.35">
      <c r="A597">
        <v>596</v>
      </c>
      <c r="B597" s="2">
        <v>43753</v>
      </c>
      <c r="C597" t="s">
        <v>50</v>
      </c>
      <c r="D597" t="s">
        <v>148</v>
      </c>
      <c r="E597">
        <v>2</v>
      </c>
      <c r="F597" t="str">
        <f>VLOOKUP($C597,VLOOKUP_spp!$A$2:$D$103,4,1)</f>
        <v>Apis_mellifera</v>
      </c>
      <c r="G597" t="str">
        <f>VLOOKUP($F597,VLOOKUP_spp!$A$2:$E$102,5,1)</f>
        <v>Hymenoptera</v>
      </c>
      <c r="H597" t="str">
        <f t="shared" si="9"/>
        <v>Oct</v>
      </c>
      <c r="I597">
        <v>1</v>
      </c>
    </row>
    <row r="598" spans="1:9" x14ac:dyDescent="0.35">
      <c r="A598">
        <v>597</v>
      </c>
      <c r="B598" s="2">
        <v>43753</v>
      </c>
      <c r="C598" t="s">
        <v>50</v>
      </c>
      <c r="D598" t="s">
        <v>172</v>
      </c>
      <c r="E598">
        <v>10</v>
      </c>
      <c r="F598" t="str">
        <f>VLOOKUP($C598,VLOOKUP_spp!$A$2:$D$103,4,1)</f>
        <v>Apis_mellifera</v>
      </c>
      <c r="G598" t="str">
        <f>VLOOKUP($F598,VLOOKUP_spp!$A$2:$E$102,5,1)</f>
        <v>Hymenoptera</v>
      </c>
      <c r="H598" t="str">
        <f t="shared" si="9"/>
        <v>Oct</v>
      </c>
      <c r="I598">
        <v>1</v>
      </c>
    </row>
    <row r="599" spans="1:9" x14ac:dyDescent="0.35">
      <c r="A599">
        <v>598</v>
      </c>
      <c r="B599" s="2">
        <v>43753</v>
      </c>
      <c r="C599" t="s">
        <v>51</v>
      </c>
      <c r="D599" t="s">
        <v>169</v>
      </c>
      <c r="E599">
        <v>1</v>
      </c>
      <c r="F599" t="str">
        <f>VLOOKUP($C599,VLOOKUP_spp!$A$2:$D$103,4,1)</f>
        <v>Augochlora</v>
      </c>
      <c r="G599" t="str">
        <f>VLOOKUP($F599,VLOOKUP_spp!$A$2:$E$102,5,1)</f>
        <v>Hymenoptera</v>
      </c>
      <c r="H599" t="str">
        <f t="shared" si="9"/>
        <v>Oct</v>
      </c>
      <c r="I599">
        <v>1</v>
      </c>
    </row>
    <row r="600" spans="1:9" x14ac:dyDescent="0.35">
      <c r="A600">
        <v>599</v>
      </c>
      <c r="B600" s="2">
        <v>43753</v>
      </c>
      <c r="C600" t="s">
        <v>51</v>
      </c>
      <c r="D600" t="s">
        <v>166</v>
      </c>
      <c r="E600">
        <v>1</v>
      </c>
      <c r="F600" t="str">
        <f>VLOOKUP($C600,VLOOKUP_spp!$A$2:$D$103,4,1)</f>
        <v>Augochlora</v>
      </c>
      <c r="G600" t="str">
        <f>VLOOKUP($F600,VLOOKUP_spp!$A$2:$E$102,5,1)</f>
        <v>Hymenoptera</v>
      </c>
      <c r="H600" t="str">
        <f t="shared" si="9"/>
        <v>Oct</v>
      </c>
      <c r="I600">
        <v>1</v>
      </c>
    </row>
    <row r="601" spans="1:9" x14ac:dyDescent="0.35">
      <c r="A601">
        <v>600</v>
      </c>
      <c r="B601" s="2">
        <v>43753</v>
      </c>
      <c r="C601" t="s">
        <v>52</v>
      </c>
      <c r="D601" t="s">
        <v>169</v>
      </c>
      <c r="E601">
        <v>1</v>
      </c>
      <c r="F601" t="str">
        <f>VLOOKUP($C601,VLOOKUP_spp!$A$2:$D$103,4,1)</f>
        <v>Augochlorella</v>
      </c>
      <c r="G601" t="str">
        <f>VLOOKUP($F601,VLOOKUP_spp!$A$2:$E$102,5,1)</f>
        <v>Hymenoptera</v>
      </c>
      <c r="H601" t="str">
        <f t="shared" si="9"/>
        <v>Oct</v>
      </c>
      <c r="I601">
        <v>1</v>
      </c>
    </row>
    <row r="602" spans="1:9" x14ac:dyDescent="0.35">
      <c r="A602">
        <v>601</v>
      </c>
      <c r="B602" s="2">
        <v>43753</v>
      </c>
      <c r="C602" t="s">
        <v>52</v>
      </c>
      <c r="D602" t="s">
        <v>172</v>
      </c>
      <c r="E602">
        <v>1</v>
      </c>
      <c r="F602" t="str">
        <f>VLOOKUP($C602,VLOOKUP_spp!$A$2:$D$103,4,1)</f>
        <v>Augochlorella</v>
      </c>
      <c r="G602" t="str">
        <f>VLOOKUP($F602,VLOOKUP_spp!$A$2:$E$102,5,1)</f>
        <v>Hymenoptera</v>
      </c>
      <c r="H602" t="str">
        <f t="shared" si="9"/>
        <v>Oct</v>
      </c>
      <c r="I602">
        <v>1</v>
      </c>
    </row>
    <row r="603" spans="1:9" x14ac:dyDescent="0.35">
      <c r="A603">
        <v>602</v>
      </c>
      <c r="B603" s="2">
        <v>43753</v>
      </c>
      <c r="C603" t="s">
        <v>53</v>
      </c>
      <c r="D603" t="s">
        <v>169</v>
      </c>
      <c r="E603">
        <v>2</v>
      </c>
      <c r="F603" t="str">
        <f>VLOOKUP($C603,VLOOKUP_spp!$A$2:$D$103,4,1)</f>
        <v>Augochloropsis</v>
      </c>
      <c r="G603" t="str">
        <f>VLOOKUP($F603,VLOOKUP_spp!$A$2:$E$102,5,1)</f>
        <v>Hymenoptera</v>
      </c>
      <c r="H603" t="str">
        <f t="shared" si="9"/>
        <v>Oct</v>
      </c>
      <c r="I603">
        <v>1</v>
      </c>
    </row>
    <row r="604" spans="1:9" x14ac:dyDescent="0.35">
      <c r="A604">
        <v>603</v>
      </c>
      <c r="B604" s="2">
        <v>43753</v>
      </c>
      <c r="C604" t="s">
        <v>53</v>
      </c>
      <c r="D604" t="s">
        <v>166</v>
      </c>
      <c r="E604">
        <v>1</v>
      </c>
      <c r="F604" t="str">
        <f>VLOOKUP($C604,VLOOKUP_spp!$A$2:$D$103,4,1)</f>
        <v>Augochloropsis</v>
      </c>
      <c r="G604" t="str">
        <f>VLOOKUP($F604,VLOOKUP_spp!$A$2:$E$102,5,1)</f>
        <v>Hymenoptera</v>
      </c>
      <c r="H604" t="str">
        <f t="shared" si="9"/>
        <v>Oct</v>
      </c>
      <c r="I604">
        <v>1</v>
      </c>
    </row>
    <row r="605" spans="1:9" x14ac:dyDescent="0.35">
      <c r="A605">
        <v>604</v>
      </c>
      <c r="B605" s="2">
        <v>43753</v>
      </c>
      <c r="C605" t="s">
        <v>53</v>
      </c>
      <c r="D605" t="s">
        <v>172</v>
      </c>
      <c r="E605">
        <v>4</v>
      </c>
      <c r="F605" t="str">
        <f>VLOOKUP($C605,VLOOKUP_spp!$A$2:$D$103,4,1)</f>
        <v>Augochloropsis</v>
      </c>
      <c r="G605" t="str">
        <f>VLOOKUP($F605,VLOOKUP_spp!$A$2:$E$102,5,1)</f>
        <v>Hymenoptera</v>
      </c>
      <c r="H605" t="str">
        <f t="shared" si="9"/>
        <v>Oct</v>
      </c>
      <c r="I605">
        <v>1</v>
      </c>
    </row>
    <row r="606" spans="1:9" x14ac:dyDescent="0.35">
      <c r="A606">
        <v>605</v>
      </c>
      <c r="B606" s="2">
        <v>43753</v>
      </c>
      <c r="C606" t="s">
        <v>7</v>
      </c>
      <c r="D606" t="s">
        <v>169</v>
      </c>
      <c r="E606">
        <v>1</v>
      </c>
      <c r="F606" t="str">
        <f>VLOOKUP($C606,VLOOKUP_spp!$A$2:$D$103,4,1)</f>
        <v>Coleoptera</v>
      </c>
      <c r="G606" t="str">
        <f>VLOOKUP($F606,VLOOKUP_spp!$A$2:$E$102,5,1)</f>
        <v>Coleoptera</v>
      </c>
      <c r="H606" t="str">
        <f t="shared" si="9"/>
        <v>Oct</v>
      </c>
      <c r="I606">
        <v>1</v>
      </c>
    </row>
    <row r="607" spans="1:9" x14ac:dyDescent="0.35">
      <c r="A607">
        <v>606</v>
      </c>
      <c r="B607" s="2">
        <v>43753</v>
      </c>
      <c r="C607" t="s">
        <v>7</v>
      </c>
      <c r="D607" t="s">
        <v>166</v>
      </c>
      <c r="E607">
        <v>4</v>
      </c>
      <c r="F607" t="str">
        <f>VLOOKUP($C607,VLOOKUP_spp!$A$2:$D$103,4,1)</f>
        <v>Coleoptera</v>
      </c>
      <c r="G607" t="str">
        <f>VLOOKUP($F607,VLOOKUP_spp!$A$2:$E$102,5,1)</f>
        <v>Coleoptera</v>
      </c>
      <c r="H607" t="str">
        <f t="shared" si="9"/>
        <v>Oct</v>
      </c>
      <c r="I607">
        <v>1</v>
      </c>
    </row>
    <row r="608" spans="1:9" x14ac:dyDescent="0.35">
      <c r="A608">
        <v>607</v>
      </c>
      <c r="B608" s="2">
        <v>43753</v>
      </c>
      <c r="C608" t="s">
        <v>7</v>
      </c>
      <c r="D608" t="s">
        <v>162</v>
      </c>
      <c r="E608">
        <v>8</v>
      </c>
      <c r="F608" t="str">
        <f>VLOOKUP($C608,VLOOKUP_spp!$A$2:$D$103,4,1)</f>
        <v>Coleoptera</v>
      </c>
      <c r="G608" t="str">
        <f>VLOOKUP($F608,VLOOKUP_spp!$A$2:$E$102,5,1)</f>
        <v>Coleoptera</v>
      </c>
      <c r="H608" t="str">
        <f t="shared" si="9"/>
        <v>Oct</v>
      </c>
      <c r="I608">
        <v>1</v>
      </c>
    </row>
    <row r="609" spans="1:9" x14ac:dyDescent="0.35">
      <c r="A609">
        <v>608</v>
      </c>
      <c r="B609" s="2">
        <v>43753</v>
      </c>
      <c r="C609" t="s">
        <v>6</v>
      </c>
      <c r="D609" t="s">
        <v>172</v>
      </c>
      <c r="E609">
        <v>1</v>
      </c>
      <c r="F609" t="str">
        <f>VLOOKUP($C609,VLOOKUP_spp!$A$2:$D$103,4,1)</f>
        <v>Diptera</v>
      </c>
      <c r="G609" t="str">
        <f>VLOOKUP($F609,VLOOKUP_spp!$A$2:$E$102,5,1)</f>
        <v>Diptera</v>
      </c>
      <c r="H609" t="str">
        <f t="shared" si="9"/>
        <v>Oct</v>
      </c>
      <c r="I609">
        <v>1</v>
      </c>
    </row>
    <row r="610" spans="1:9" x14ac:dyDescent="0.35">
      <c r="A610">
        <v>609</v>
      </c>
      <c r="B610" s="2">
        <v>43753</v>
      </c>
      <c r="C610" t="s">
        <v>101</v>
      </c>
      <c r="D610" t="s">
        <v>172</v>
      </c>
      <c r="E610">
        <v>1</v>
      </c>
      <c r="F610" t="str">
        <f>VLOOKUP($C610,VLOOKUP_spp!$A$2:$D$103,4,1)</f>
        <v>Halictus_tripartitus</v>
      </c>
      <c r="G610" t="str">
        <f>VLOOKUP($F610,VLOOKUP_spp!$A$2:$E$102,5,1)</f>
        <v>Hymenoptera</v>
      </c>
      <c r="H610" t="str">
        <f t="shared" si="9"/>
        <v>Oct</v>
      </c>
      <c r="I610">
        <v>1</v>
      </c>
    </row>
    <row r="611" spans="1:9" x14ac:dyDescent="0.35">
      <c r="A611">
        <v>610</v>
      </c>
      <c r="B611" s="2">
        <v>43753</v>
      </c>
      <c r="C611" t="s">
        <v>106</v>
      </c>
      <c r="D611" t="s">
        <v>169</v>
      </c>
      <c r="E611">
        <v>3</v>
      </c>
      <c r="F611" t="str">
        <f>VLOOKUP($C611,VLOOKUP_spp!$A$2:$D$103,4,1)</f>
        <v>Lasioglossum</v>
      </c>
      <c r="G611" t="str">
        <f>VLOOKUP($F611,VLOOKUP_spp!$A$2:$E$102,5,1)</f>
        <v>Hymenoptera</v>
      </c>
      <c r="H611" t="str">
        <f t="shared" si="9"/>
        <v>Oct</v>
      </c>
      <c r="I611">
        <v>1</v>
      </c>
    </row>
    <row r="612" spans="1:9" x14ac:dyDescent="0.35">
      <c r="A612">
        <v>611</v>
      </c>
      <c r="B612" s="2">
        <v>43753</v>
      </c>
      <c r="C612" t="s">
        <v>106</v>
      </c>
      <c r="D612" t="s">
        <v>172</v>
      </c>
      <c r="E612">
        <v>2</v>
      </c>
      <c r="F612" t="str">
        <f>VLOOKUP($C612,VLOOKUP_spp!$A$2:$D$103,4,1)</f>
        <v>Lasioglossum</v>
      </c>
      <c r="G612" t="str">
        <f>VLOOKUP($F612,VLOOKUP_spp!$A$2:$E$102,5,1)</f>
        <v>Hymenoptera</v>
      </c>
      <c r="H612" t="str">
        <f t="shared" si="9"/>
        <v>Oct</v>
      </c>
      <c r="I612">
        <v>1</v>
      </c>
    </row>
    <row r="613" spans="1:9" x14ac:dyDescent="0.35">
      <c r="A613">
        <v>612</v>
      </c>
      <c r="B613" s="2">
        <v>43753</v>
      </c>
      <c r="C613" t="s">
        <v>126</v>
      </c>
      <c r="D613" t="s">
        <v>169</v>
      </c>
      <c r="E613">
        <v>54</v>
      </c>
      <c r="F613" t="str">
        <f>VLOOKUP($C613,VLOOKUP_spp!$A$2:$D$103,4,1)</f>
        <v>Syrphidae</v>
      </c>
      <c r="G613" t="str">
        <f>VLOOKUP($F613,VLOOKUP_spp!$A$2:$E$102,5,1)</f>
        <v>Diptera</v>
      </c>
      <c r="H613" t="str">
        <f t="shared" si="9"/>
        <v>Oct</v>
      </c>
      <c r="I613">
        <v>1</v>
      </c>
    </row>
    <row r="614" spans="1:9" x14ac:dyDescent="0.35">
      <c r="A614">
        <v>613</v>
      </c>
      <c r="B614" s="2">
        <v>43753</v>
      </c>
      <c r="C614" t="s">
        <v>126</v>
      </c>
      <c r="D614" t="s">
        <v>148</v>
      </c>
      <c r="E614">
        <v>2</v>
      </c>
      <c r="F614" t="str">
        <f>VLOOKUP($C614,VLOOKUP_spp!$A$2:$D$103,4,1)</f>
        <v>Syrphidae</v>
      </c>
      <c r="G614" t="str">
        <f>VLOOKUP($F614,VLOOKUP_spp!$A$2:$E$102,5,1)</f>
        <v>Diptera</v>
      </c>
      <c r="H614" t="str">
        <f t="shared" si="9"/>
        <v>Oct</v>
      </c>
      <c r="I614">
        <v>1</v>
      </c>
    </row>
    <row r="615" spans="1:9" x14ac:dyDescent="0.35">
      <c r="A615">
        <v>614</v>
      </c>
      <c r="B615" s="2">
        <v>43753</v>
      </c>
      <c r="C615" t="s">
        <v>126</v>
      </c>
      <c r="D615" t="s">
        <v>166</v>
      </c>
      <c r="E615">
        <v>21</v>
      </c>
      <c r="F615" t="str">
        <f>VLOOKUP($C615,VLOOKUP_spp!$A$2:$D$103,4,1)</f>
        <v>Syrphidae</v>
      </c>
      <c r="G615" t="str">
        <f>VLOOKUP($F615,VLOOKUP_spp!$A$2:$E$102,5,1)</f>
        <v>Diptera</v>
      </c>
      <c r="H615" t="str">
        <f t="shared" si="9"/>
        <v>Oct</v>
      </c>
      <c r="I615">
        <v>1</v>
      </c>
    </row>
    <row r="616" spans="1:9" x14ac:dyDescent="0.35">
      <c r="A616">
        <v>615</v>
      </c>
      <c r="B616" s="2">
        <v>43753</v>
      </c>
      <c r="C616" t="s">
        <v>126</v>
      </c>
      <c r="D616" t="s">
        <v>172</v>
      </c>
      <c r="E616">
        <v>33</v>
      </c>
      <c r="F616" t="str">
        <f>VLOOKUP($C616,VLOOKUP_spp!$A$2:$D$103,4,1)</f>
        <v>Syrphidae</v>
      </c>
      <c r="G616" t="str">
        <f>VLOOKUP($F616,VLOOKUP_spp!$A$2:$E$102,5,1)</f>
        <v>Diptera</v>
      </c>
      <c r="H616" t="str">
        <f t="shared" si="9"/>
        <v>Oct</v>
      </c>
      <c r="I616">
        <v>1</v>
      </c>
    </row>
    <row r="617" spans="1:9" x14ac:dyDescent="0.35">
      <c r="A617">
        <v>616</v>
      </c>
      <c r="B617" s="2">
        <v>43753</v>
      </c>
      <c r="C617" t="s">
        <v>126</v>
      </c>
      <c r="D617" t="s">
        <v>162</v>
      </c>
      <c r="E617">
        <v>1</v>
      </c>
      <c r="F617" t="str">
        <f>VLOOKUP($C617,VLOOKUP_spp!$A$2:$D$103,4,1)</f>
        <v>Syrphidae</v>
      </c>
      <c r="G617" t="str">
        <f>VLOOKUP($F617,VLOOKUP_spp!$A$2:$E$102,5,1)</f>
        <v>Diptera</v>
      </c>
      <c r="H617" t="str">
        <f t="shared" si="9"/>
        <v>Oct</v>
      </c>
      <c r="I617">
        <v>1</v>
      </c>
    </row>
    <row r="618" spans="1:9" x14ac:dyDescent="0.35">
      <c r="A618">
        <v>617</v>
      </c>
      <c r="B618" s="2">
        <v>43753</v>
      </c>
      <c r="C618" t="s">
        <v>126</v>
      </c>
      <c r="D618" t="s">
        <v>147</v>
      </c>
      <c r="E618">
        <v>8</v>
      </c>
      <c r="F618" t="str">
        <f>VLOOKUP($C618,VLOOKUP_spp!$A$2:$D$103,4,1)</f>
        <v>Syrphidae</v>
      </c>
      <c r="G618" t="str">
        <f>VLOOKUP($F618,VLOOKUP_spp!$A$2:$E$102,5,1)</f>
        <v>Diptera</v>
      </c>
      <c r="H618" t="str">
        <f t="shared" si="9"/>
        <v>Oct</v>
      </c>
      <c r="I618">
        <v>1</v>
      </c>
    </row>
    <row r="619" spans="1:9" x14ac:dyDescent="0.35">
      <c r="A619">
        <v>618</v>
      </c>
      <c r="B619" s="2">
        <v>43753</v>
      </c>
      <c r="C619" t="s">
        <v>128</v>
      </c>
      <c r="D619" t="s">
        <v>166</v>
      </c>
      <c r="E619">
        <v>4</v>
      </c>
      <c r="F619" t="str">
        <f>VLOOKUP($C619,VLOOKUP_spp!$A$2:$D$103,4,1)</f>
        <v>Wasp</v>
      </c>
      <c r="G619" t="str">
        <f>VLOOKUP($F619,VLOOKUP_spp!$A$2:$E$102,5,1)</f>
        <v>Hymenoptera</v>
      </c>
      <c r="H619" t="str">
        <f t="shared" si="9"/>
        <v>Oct</v>
      </c>
      <c r="I619">
        <v>1</v>
      </c>
    </row>
    <row r="620" spans="1:9" x14ac:dyDescent="0.35">
      <c r="A620">
        <v>619</v>
      </c>
      <c r="B620" s="2">
        <v>43753</v>
      </c>
      <c r="C620" t="s">
        <v>128</v>
      </c>
      <c r="D620" t="s">
        <v>172</v>
      </c>
      <c r="E620">
        <v>4</v>
      </c>
      <c r="F620" t="str">
        <f>VLOOKUP($C620,VLOOKUP_spp!$A$2:$D$103,4,1)</f>
        <v>Wasp</v>
      </c>
      <c r="G620" t="str">
        <f>VLOOKUP($F620,VLOOKUP_spp!$A$2:$E$102,5,1)</f>
        <v>Hymenoptera</v>
      </c>
      <c r="H620" t="str">
        <f t="shared" si="9"/>
        <v>Oct</v>
      </c>
      <c r="I620">
        <v>1</v>
      </c>
    </row>
    <row r="621" spans="1:9" x14ac:dyDescent="0.35">
      <c r="A621">
        <v>620</v>
      </c>
      <c r="B621" s="2">
        <v>43753</v>
      </c>
      <c r="C621" t="s">
        <v>128</v>
      </c>
      <c r="D621" t="s">
        <v>147</v>
      </c>
      <c r="E621">
        <v>4</v>
      </c>
      <c r="F621" t="str">
        <f>VLOOKUP($C621,VLOOKUP_spp!$A$2:$D$103,4,1)</f>
        <v>Wasp</v>
      </c>
      <c r="G621" t="str">
        <f>VLOOKUP($F621,VLOOKUP_spp!$A$2:$E$102,5,1)</f>
        <v>Hymenoptera</v>
      </c>
      <c r="H621" t="str">
        <f t="shared" si="9"/>
        <v>Oct</v>
      </c>
      <c r="I621">
        <v>1</v>
      </c>
    </row>
    <row r="622" spans="1:9" x14ac:dyDescent="0.35">
      <c r="A622">
        <v>621</v>
      </c>
      <c r="B622" s="2">
        <v>43753</v>
      </c>
      <c r="C622" t="s">
        <v>133</v>
      </c>
      <c r="D622" t="s">
        <v>166</v>
      </c>
      <c r="E622">
        <v>1</v>
      </c>
      <c r="F622" t="str">
        <f>VLOOKUP($C622,VLOOKUP_spp!$A$2:$D$103,4,1)</f>
        <v>Xylocopa</v>
      </c>
      <c r="G622" t="str">
        <f>VLOOKUP($F622,VLOOKUP_spp!$A$2:$E$102,5,1)</f>
        <v>Hymenoptera</v>
      </c>
      <c r="H622" t="str">
        <f t="shared" si="9"/>
        <v>Oct</v>
      </c>
      <c r="I622">
        <v>1</v>
      </c>
    </row>
    <row r="623" spans="1:9" x14ac:dyDescent="0.35">
      <c r="A623">
        <v>622</v>
      </c>
      <c r="B623" s="2">
        <v>43755</v>
      </c>
      <c r="C623" t="s">
        <v>50</v>
      </c>
      <c r="D623" t="s">
        <v>169</v>
      </c>
      <c r="E623">
        <v>2</v>
      </c>
      <c r="F623" t="str">
        <f>VLOOKUP($C623,VLOOKUP_spp!$A$2:$D$103,4,1)</f>
        <v>Apis_mellifera</v>
      </c>
      <c r="G623" t="str">
        <f>VLOOKUP($F623,VLOOKUP_spp!$A$2:$E$102,5,1)</f>
        <v>Hymenoptera</v>
      </c>
      <c r="H623" t="str">
        <f t="shared" si="9"/>
        <v>Oct</v>
      </c>
      <c r="I623">
        <v>1</v>
      </c>
    </row>
    <row r="624" spans="1:9" x14ac:dyDescent="0.35">
      <c r="A624">
        <v>623</v>
      </c>
      <c r="B624" s="2">
        <v>43757</v>
      </c>
      <c r="C624" t="s">
        <v>29</v>
      </c>
      <c r="D624" t="s">
        <v>157</v>
      </c>
      <c r="E624">
        <v>1</v>
      </c>
      <c r="F624" t="str">
        <f>VLOOKUP($C624,VLOOKUP_spp!$A$2:$D$103,4,1)</f>
        <v>Agapostemon_splendens</v>
      </c>
      <c r="G624" t="str">
        <f>VLOOKUP($F624,VLOOKUP_spp!$A$2:$E$102,5,1)</f>
        <v>Hymenoptera</v>
      </c>
      <c r="H624" t="str">
        <f t="shared" si="9"/>
        <v>Oct</v>
      </c>
      <c r="I624">
        <v>1</v>
      </c>
    </row>
    <row r="625" spans="1:9" x14ac:dyDescent="0.35">
      <c r="A625">
        <v>624</v>
      </c>
      <c r="B625" s="2">
        <v>43757</v>
      </c>
      <c r="C625" t="s">
        <v>30</v>
      </c>
      <c r="D625" t="s">
        <v>173</v>
      </c>
      <c r="E625">
        <v>1</v>
      </c>
      <c r="F625" t="str">
        <f>VLOOKUP($C625,VLOOKUP_spp!$A$2:$D$103,4,1)</f>
        <v>Andrena</v>
      </c>
      <c r="G625" t="str">
        <f>VLOOKUP($F625,VLOOKUP_spp!$A$2:$E$102,5,1)</f>
        <v>Hymenoptera</v>
      </c>
      <c r="H625" t="str">
        <f t="shared" si="9"/>
        <v>Oct</v>
      </c>
      <c r="I625">
        <v>1</v>
      </c>
    </row>
    <row r="626" spans="1:9" x14ac:dyDescent="0.35">
      <c r="A626">
        <v>625</v>
      </c>
      <c r="B626" s="2">
        <v>43757</v>
      </c>
      <c r="C626" t="s">
        <v>33</v>
      </c>
      <c r="D626" t="s">
        <v>169</v>
      </c>
      <c r="E626">
        <v>2</v>
      </c>
      <c r="F626" t="str">
        <f>VLOOKUP($C626,VLOOKUP_spp!$A$2:$D$103,4,1)</f>
        <v>Andrena</v>
      </c>
      <c r="G626" t="str">
        <f>VLOOKUP($F626,VLOOKUP_spp!$A$2:$E$102,5,1)</f>
        <v>Hymenoptera</v>
      </c>
      <c r="H626" t="str">
        <f t="shared" si="9"/>
        <v>Oct</v>
      </c>
      <c r="I626">
        <v>1</v>
      </c>
    </row>
    <row r="627" spans="1:9" x14ac:dyDescent="0.35">
      <c r="A627">
        <v>626</v>
      </c>
      <c r="B627" s="2">
        <v>43757</v>
      </c>
      <c r="C627" t="s">
        <v>34</v>
      </c>
      <c r="D627" t="s">
        <v>169</v>
      </c>
      <c r="E627">
        <v>3</v>
      </c>
      <c r="F627" t="str">
        <f>VLOOKUP($C627,VLOOKUP_spp!$A$2:$D$103,4,1)</f>
        <v>Andrena_milwaukeensis</v>
      </c>
      <c r="G627" t="str">
        <f>VLOOKUP($F627,VLOOKUP_spp!$A$2:$E$102,5,1)</f>
        <v>Hymenoptera</v>
      </c>
      <c r="H627" t="str">
        <f t="shared" si="9"/>
        <v>Oct</v>
      </c>
      <c r="I627">
        <v>1</v>
      </c>
    </row>
    <row r="628" spans="1:9" x14ac:dyDescent="0.35">
      <c r="A628">
        <v>627</v>
      </c>
      <c r="B628" s="2">
        <v>43757</v>
      </c>
      <c r="C628" t="s">
        <v>47</v>
      </c>
      <c r="D628" t="s">
        <v>158</v>
      </c>
      <c r="E628">
        <v>1</v>
      </c>
      <c r="F628" t="str">
        <f>VLOOKUP($C628,VLOOKUP_spp!$A$2:$D$103,4,1)</f>
        <v>Anthophora_plumipes</v>
      </c>
      <c r="G628" t="str">
        <f>VLOOKUP($F628,VLOOKUP_spp!$A$2:$E$102,5,1)</f>
        <v>Hymenoptera</v>
      </c>
      <c r="H628" t="str">
        <f t="shared" si="9"/>
        <v>Oct</v>
      </c>
      <c r="I628">
        <v>1</v>
      </c>
    </row>
    <row r="629" spans="1:9" x14ac:dyDescent="0.35">
      <c r="A629">
        <v>628</v>
      </c>
      <c r="B629" s="2">
        <v>43757</v>
      </c>
      <c r="C629" t="s">
        <v>50</v>
      </c>
      <c r="D629" t="s">
        <v>169</v>
      </c>
      <c r="E629">
        <v>2</v>
      </c>
      <c r="F629" t="str">
        <f>VLOOKUP($C629,VLOOKUP_spp!$A$2:$D$103,4,1)</f>
        <v>Apis_mellifera</v>
      </c>
      <c r="G629" t="str">
        <f>VLOOKUP($F629,VLOOKUP_spp!$A$2:$E$102,5,1)</f>
        <v>Hymenoptera</v>
      </c>
      <c r="H629" t="str">
        <f t="shared" si="9"/>
        <v>Oct</v>
      </c>
      <c r="I629">
        <v>1</v>
      </c>
    </row>
    <row r="630" spans="1:9" x14ac:dyDescent="0.35">
      <c r="A630">
        <v>629</v>
      </c>
      <c r="B630" s="2">
        <v>43757</v>
      </c>
      <c r="C630" t="s">
        <v>50</v>
      </c>
      <c r="D630" t="s">
        <v>158</v>
      </c>
      <c r="E630">
        <v>4</v>
      </c>
      <c r="F630" t="str">
        <f>VLOOKUP($C630,VLOOKUP_spp!$A$2:$D$103,4,1)</f>
        <v>Apis_mellifera</v>
      </c>
      <c r="G630" t="str">
        <f>VLOOKUP($F630,VLOOKUP_spp!$A$2:$E$102,5,1)</f>
        <v>Hymenoptera</v>
      </c>
      <c r="H630" t="str">
        <f t="shared" si="9"/>
        <v>Oct</v>
      </c>
      <c r="I630">
        <v>1</v>
      </c>
    </row>
    <row r="631" spans="1:9" x14ac:dyDescent="0.35">
      <c r="A631">
        <v>630</v>
      </c>
      <c r="B631" s="2">
        <v>43757</v>
      </c>
      <c r="C631" t="s">
        <v>50</v>
      </c>
      <c r="D631" t="s">
        <v>160</v>
      </c>
      <c r="E631">
        <v>1</v>
      </c>
      <c r="F631" t="str">
        <f>VLOOKUP($C631,VLOOKUP_spp!$A$2:$D$103,4,1)</f>
        <v>Apis_mellifera</v>
      </c>
      <c r="G631" t="str">
        <f>VLOOKUP($F631,VLOOKUP_spp!$A$2:$E$102,5,1)</f>
        <v>Hymenoptera</v>
      </c>
      <c r="H631" t="str">
        <f t="shared" si="9"/>
        <v>Oct</v>
      </c>
      <c r="I631">
        <v>1</v>
      </c>
    </row>
    <row r="632" spans="1:9" x14ac:dyDescent="0.35">
      <c r="A632">
        <v>631</v>
      </c>
      <c r="B632" s="2">
        <v>43757</v>
      </c>
      <c r="C632" t="s">
        <v>57</v>
      </c>
      <c r="D632" t="s">
        <v>157</v>
      </c>
      <c r="E632">
        <v>1</v>
      </c>
      <c r="F632" t="str">
        <f>VLOOKUP($C632,VLOOKUP_spp!$A$2:$D$103,4,1)</f>
        <v>Bombus_bimaculatus</v>
      </c>
      <c r="G632" t="str">
        <f>VLOOKUP($F632,VLOOKUP_spp!$A$2:$E$102,5,1)</f>
        <v>Hymenoptera</v>
      </c>
      <c r="H632" t="str">
        <f t="shared" si="9"/>
        <v>Oct</v>
      </c>
      <c r="I632">
        <v>1</v>
      </c>
    </row>
    <row r="633" spans="1:9" x14ac:dyDescent="0.35">
      <c r="A633">
        <v>632</v>
      </c>
      <c r="B633" s="2">
        <v>43757</v>
      </c>
      <c r="C633" t="s">
        <v>57</v>
      </c>
      <c r="D633" t="s">
        <v>158</v>
      </c>
      <c r="E633">
        <v>1</v>
      </c>
      <c r="F633" t="str">
        <f>VLOOKUP($C633,VLOOKUP_spp!$A$2:$D$103,4,1)</f>
        <v>Bombus_bimaculatus</v>
      </c>
      <c r="G633" t="str">
        <f>VLOOKUP($F633,VLOOKUP_spp!$A$2:$E$102,5,1)</f>
        <v>Hymenoptera</v>
      </c>
      <c r="H633" t="str">
        <f t="shared" si="9"/>
        <v>Oct</v>
      </c>
      <c r="I633">
        <v>1</v>
      </c>
    </row>
    <row r="634" spans="1:9" x14ac:dyDescent="0.35">
      <c r="A634">
        <v>633</v>
      </c>
      <c r="B634" s="2">
        <v>43757</v>
      </c>
      <c r="C634" t="s">
        <v>57</v>
      </c>
      <c r="D634" t="s">
        <v>172</v>
      </c>
      <c r="E634">
        <v>1</v>
      </c>
      <c r="F634" t="str">
        <f>VLOOKUP($C634,VLOOKUP_spp!$A$2:$D$103,4,1)</f>
        <v>Bombus_bimaculatus</v>
      </c>
      <c r="G634" t="str">
        <f>VLOOKUP($F634,VLOOKUP_spp!$A$2:$E$102,5,1)</f>
        <v>Hymenoptera</v>
      </c>
      <c r="H634" t="str">
        <f t="shared" si="9"/>
        <v>Oct</v>
      </c>
      <c r="I634">
        <v>1</v>
      </c>
    </row>
    <row r="635" spans="1:9" x14ac:dyDescent="0.35">
      <c r="A635">
        <v>634</v>
      </c>
      <c r="B635" s="2">
        <v>43757</v>
      </c>
      <c r="C635" t="s">
        <v>58</v>
      </c>
      <c r="D635" t="s">
        <v>163</v>
      </c>
      <c r="E635">
        <v>1</v>
      </c>
      <c r="F635" t="str">
        <f>VLOOKUP($C635,VLOOKUP_spp!$A$2:$D$103,4,1)</f>
        <v>Bombus_citrinus</v>
      </c>
      <c r="G635" t="str">
        <f>VLOOKUP($F635,VLOOKUP_spp!$A$2:$E$102,5,1)</f>
        <v>Hymenoptera</v>
      </c>
      <c r="H635" t="str">
        <f t="shared" si="9"/>
        <v>Oct</v>
      </c>
      <c r="I635">
        <v>1</v>
      </c>
    </row>
    <row r="636" spans="1:9" x14ac:dyDescent="0.35">
      <c r="A636">
        <v>635</v>
      </c>
      <c r="B636" s="2">
        <v>43757</v>
      </c>
      <c r="C636" t="s">
        <v>64</v>
      </c>
      <c r="D636" t="s">
        <v>163</v>
      </c>
      <c r="E636">
        <v>1</v>
      </c>
      <c r="F636" t="str">
        <f>VLOOKUP($C636,VLOOKUP_spp!$A$2:$D$103,4,1)</f>
        <v>Bombus</v>
      </c>
      <c r="G636" t="str">
        <f>VLOOKUP($F636,VLOOKUP_spp!$A$2:$E$102,5,1)</f>
        <v>Hymenoptera</v>
      </c>
      <c r="H636" t="str">
        <f t="shared" si="9"/>
        <v>Oct</v>
      </c>
      <c r="I636">
        <v>1</v>
      </c>
    </row>
    <row r="637" spans="1:9" x14ac:dyDescent="0.35">
      <c r="A637">
        <v>636</v>
      </c>
      <c r="B637" s="2">
        <v>43757</v>
      </c>
      <c r="C637" t="s">
        <v>67</v>
      </c>
      <c r="D637" t="s">
        <v>171</v>
      </c>
      <c r="E637">
        <v>14</v>
      </c>
      <c r="F637" t="str">
        <f>VLOOKUP($C637,VLOOKUP_spp!$A$2:$D$103,4,1)</f>
        <v>Bombus_impatiens</v>
      </c>
      <c r="G637" t="str">
        <f>VLOOKUP($F637,VLOOKUP_spp!$A$2:$E$102,5,1)</f>
        <v>Hymenoptera</v>
      </c>
      <c r="H637" t="str">
        <f t="shared" si="9"/>
        <v>Oct</v>
      </c>
      <c r="I637">
        <v>1</v>
      </c>
    </row>
    <row r="638" spans="1:9" x14ac:dyDescent="0.35">
      <c r="A638">
        <v>637</v>
      </c>
      <c r="B638" s="2">
        <v>43757</v>
      </c>
      <c r="C638" t="s">
        <v>67</v>
      </c>
      <c r="D638" t="s">
        <v>169</v>
      </c>
      <c r="E638">
        <v>8</v>
      </c>
      <c r="F638" t="str">
        <f>VLOOKUP($C638,VLOOKUP_spp!$A$2:$D$103,4,1)</f>
        <v>Bombus_impatiens</v>
      </c>
      <c r="G638" t="str">
        <f>VLOOKUP($F638,VLOOKUP_spp!$A$2:$E$102,5,1)</f>
        <v>Hymenoptera</v>
      </c>
      <c r="H638" t="str">
        <f t="shared" si="9"/>
        <v>Oct</v>
      </c>
      <c r="I638">
        <v>1</v>
      </c>
    </row>
    <row r="639" spans="1:9" x14ac:dyDescent="0.35">
      <c r="A639">
        <v>638</v>
      </c>
      <c r="B639" s="2">
        <v>43757</v>
      </c>
      <c r="C639" t="s">
        <v>67</v>
      </c>
      <c r="D639" t="s">
        <v>157</v>
      </c>
      <c r="E639">
        <v>32</v>
      </c>
      <c r="F639" t="str">
        <f>VLOOKUP($C639,VLOOKUP_spp!$A$2:$D$103,4,1)</f>
        <v>Bombus_impatiens</v>
      </c>
      <c r="G639" t="str">
        <f>VLOOKUP($F639,VLOOKUP_spp!$A$2:$E$102,5,1)</f>
        <v>Hymenoptera</v>
      </c>
      <c r="H639" t="str">
        <f t="shared" si="9"/>
        <v>Oct</v>
      </c>
      <c r="I639">
        <v>1</v>
      </c>
    </row>
    <row r="640" spans="1:9" x14ac:dyDescent="0.35">
      <c r="A640">
        <v>639</v>
      </c>
      <c r="B640" s="2">
        <v>43757</v>
      </c>
      <c r="C640" t="s">
        <v>67</v>
      </c>
      <c r="D640" t="s">
        <v>158</v>
      </c>
      <c r="E640">
        <v>13</v>
      </c>
      <c r="F640" t="str">
        <f>VLOOKUP($C640,VLOOKUP_spp!$A$2:$D$103,4,1)</f>
        <v>Bombus_impatiens</v>
      </c>
      <c r="G640" t="str">
        <f>VLOOKUP($F640,VLOOKUP_spp!$A$2:$E$102,5,1)</f>
        <v>Hymenoptera</v>
      </c>
      <c r="H640" t="str">
        <f t="shared" si="9"/>
        <v>Oct</v>
      </c>
      <c r="I640">
        <v>1</v>
      </c>
    </row>
    <row r="641" spans="1:9" x14ac:dyDescent="0.35">
      <c r="A641">
        <v>640</v>
      </c>
      <c r="B641" s="2">
        <v>43757</v>
      </c>
      <c r="C641" t="s">
        <v>67</v>
      </c>
      <c r="D641" t="s">
        <v>173</v>
      </c>
      <c r="E641">
        <v>9</v>
      </c>
      <c r="F641" t="str">
        <f>VLOOKUP($C641,VLOOKUP_spp!$A$2:$D$103,4,1)</f>
        <v>Bombus_impatiens</v>
      </c>
      <c r="G641" t="str">
        <f>VLOOKUP($F641,VLOOKUP_spp!$A$2:$E$102,5,1)</f>
        <v>Hymenoptera</v>
      </c>
      <c r="H641" t="str">
        <f t="shared" si="9"/>
        <v>Oct</v>
      </c>
      <c r="I641">
        <v>1</v>
      </c>
    </row>
    <row r="642" spans="1:9" x14ac:dyDescent="0.35">
      <c r="A642">
        <v>641</v>
      </c>
      <c r="B642" s="2">
        <v>43757</v>
      </c>
      <c r="C642" t="s">
        <v>67</v>
      </c>
      <c r="D642" t="s">
        <v>154</v>
      </c>
      <c r="E642">
        <v>2</v>
      </c>
      <c r="F642" t="str">
        <f>VLOOKUP($C642,VLOOKUP_spp!$A$2:$D$103,4,1)</f>
        <v>Bombus_impatiens</v>
      </c>
      <c r="G642" t="str">
        <f>VLOOKUP($F642,VLOOKUP_spp!$A$2:$E$102,5,1)</f>
        <v>Hymenoptera</v>
      </c>
      <c r="H642" t="str">
        <f t="shared" si="9"/>
        <v>Oct</v>
      </c>
      <c r="I642">
        <v>1</v>
      </c>
    </row>
    <row r="643" spans="1:9" x14ac:dyDescent="0.35">
      <c r="A643">
        <v>642</v>
      </c>
      <c r="B643" s="2">
        <v>43757</v>
      </c>
      <c r="C643" t="s">
        <v>67</v>
      </c>
      <c r="D643" t="s">
        <v>172</v>
      </c>
      <c r="E643">
        <v>3</v>
      </c>
      <c r="F643" t="str">
        <f>VLOOKUP($C643,VLOOKUP_spp!$A$2:$D$103,4,1)</f>
        <v>Bombus_impatiens</v>
      </c>
      <c r="G643" t="str">
        <f>VLOOKUP($F643,VLOOKUP_spp!$A$2:$E$102,5,1)</f>
        <v>Hymenoptera</v>
      </c>
      <c r="H643" t="str">
        <f t="shared" ref="H643:H706" si="10">TEXT(B643, "mmm")</f>
        <v>Oct</v>
      </c>
      <c r="I643">
        <v>1</v>
      </c>
    </row>
    <row r="644" spans="1:9" x14ac:dyDescent="0.35">
      <c r="A644">
        <v>643</v>
      </c>
      <c r="B644" s="2">
        <v>43757</v>
      </c>
      <c r="C644" t="s">
        <v>67</v>
      </c>
      <c r="D644" t="s">
        <v>163</v>
      </c>
      <c r="E644">
        <v>3</v>
      </c>
      <c r="F644" t="str">
        <f>VLOOKUP($C644,VLOOKUP_spp!$A$2:$D$103,4,1)</f>
        <v>Bombus_impatiens</v>
      </c>
      <c r="G644" t="str">
        <f>VLOOKUP($F644,VLOOKUP_spp!$A$2:$E$102,5,1)</f>
        <v>Hymenoptera</v>
      </c>
      <c r="H644" t="str">
        <f t="shared" si="10"/>
        <v>Oct</v>
      </c>
      <c r="I644">
        <v>1</v>
      </c>
    </row>
    <row r="645" spans="1:9" x14ac:dyDescent="0.35">
      <c r="A645">
        <v>644</v>
      </c>
      <c r="B645" s="2">
        <v>43757</v>
      </c>
      <c r="C645" t="s">
        <v>67</v>
      </c>
      <c r="D645" t="s">
        <v>160</v>
      </c>
      <c r="E645">
        <v>16</v>
      </c>
      <c r="F645" t="str">
        <f>VLOOKUP($C645,VLOOKUP_spp!$A$2:$D$103,4,1)</f>
        <v>Bombus_impatiens</v>
      </c>
      <c r="G645" t="str">
        <f>VLOOKUP($F645,VLOOKUP_spp!$A$2:$E$102,5,1)</f>
        <v>Hymenoptera</v>
      </c>
      <c r="H645" t="str">
        <f t="shared" si="10"/>
        <v>Oct</v>
      </c>
      <c r="I645">
        <v>1</v>
      </c>
    </row>
    <row r="646" spans="1:9" x14ac:dyDescent="0.35">
      <c r="A646">
        <v>645</v>
      </c>
      <c r="B646" s="2">
        <v>43757</v>
      </c>
      <c r="C646" t="s">
        <v>67</v>
      </c>
      <c r="D646" t="s">
        <v>161</v>
      </c>
      <c r="E646">
        <v>7</v>
      </c>
      <c r="F646" t="str">
        <f>VLOOKUP($C646,VLOOKUP_spp!$A$2:$D$103,4,1)</f>
        <v>Bombus_impatiens</v>
      </c>
      <c r="G646" t="str">
        <f>VLOOKUP($F646,VLOOKUP_spp!$A$2:$E$102,5,1)</f>
        <v>Hymenoptera</v>
      </c>
      <c r="H646" t="str">
        <f t="shared" si="10"/>
        <v>Oct</v>
      </c>
      <c r="I646">
        <v>1</v>
      </c>
    </row>
    <row r="647" spans="1:9" x14ac:dyDescent="0.35">
      <c r="A647">
        <v>646</v>
      </c>
      <c r="B647" s="2">
        <v>43757</v>
      </c>
      <c r="C647" t="s">
        <v>67</v>
      </c>
      <c r="D647" t="s">
        <v>162</v>
      </c>
      <c r="E647">
        <v>30</v>
      </c>
      <c r="F647" t="str">
        <f>VLOOKUP($C647,VLOOKUP_spp!$A$2:$D$103,4,1)</f>
        <v>Bombus_impatiens</v>
      </c>
      <c r="G647" t="str">
        <f>VLOOKUP($F647,VLOOKUP_spp!$A$2:$E$102,5,1)</f>
        <v>Hymenoptera</v>
      </c>
      <c r="H647" t="str">
        <f t="shared" si="10"/>
        <v>Oct</v>
      </c>
      <c r="I647">
        <v>1</v>
      </c>
    </row>
    <row r="648" spans="1:9" x14ac:dyDescent="0.35">
      <c r="A648">
        <v>647</v>
      </c>
      <c r="B648" s="2">
        <v>43757</v>
      </c>
      <c r="C648" t="s">
        <v>67</v>
      </c>
      <c r="D648" t="s">
        <v>164</v>
      </c>
      <c r="E648">
        <v>1</v>
      </c>
      <c r="F648" t="str">
        <f>VLOOKUP($C648,VLOOKUP_spp!$A$2:$D$103,4,1)</f>
        <v>Bombus_impatiens</v>
      </c>
      <c r="G648" t="str">
        <f>VLOOKUP($F648,VLOOKUP_spp!$A$2:$E$102,5,1)</f>
        <v>Hymenoptera</v>
      </c>
      <c r="H648" t="str">
        <f t="shared" si="10"/>
        <v>Oct</v>
      </c>
      <c r="I648">
        <v>1</v>
      </c>
    </row>
    <row r="649" spans="1:9" x14ac:dyDescent="0.35">
      <c r="A649">
        <v>648</v>
      </c>
      <c r="B649" s="2">
        <v>43757</v>
      </c>
      <c r="C649" t="s">
        <v>68</v>
      </c>
      <c r="D649" t="s">
        <v>163</v>
      </c>
      <c r="E649">
        <v>1</v>
      </c>
      <c r="F649" t="str">
        <f>VLOOKUP($C649,VLOOKUP_spp!$A$2:$D$103,4,1)</f>
        <v>Bombus</v>
      </c>
      <c r="G649" t="str">
        <f>VLOOKUP($F649,VLOOKUP_spp!$A$2:$E$102,5,1)</f>
        <v>Hymenoptera</v>
      </c>
      <c r="H649" t="str">
        <f t="shared" si="10"/>
        <v>Oct</v>
      </c>
      <c r="I649">
        <v>1</v>
      </c>
    </row>
    <row r="650" spans="1:9" x14ac:dyDescent="0.35">
      <c r="A650">
        <v>649</v>
      </c>
      <c r="B650" s="2">
        <v>43757</v>
      </c>
      <c r="C650" t="s">
        <v>7</v>
      </c>
      <c r="D650" t="s">
        <v>154</v>
      </c>
      <c r="E650">
        <v>2</v>
      </c>
      <c r="F650" t="str">
        <f>VLOOKUP($C650,VLOOKUP_spp!$A$2:$D$103,4,1)</f>
        <v>Coleoptera</v>
      </c>
      <c r="G650" t="str">
        <f>VLOOKUP($F650,VLOOKUP_spp!$A$2:$E$102,5,1)</f>
        <v>Coleoptera</v>
      </c>
      <c r="H650" t="str">
        <f t="shared" si="10"/>
        <v>Oct</v>
      </c>
      <c r="I650">
        <v>1</v>
      </c>
    </row>
    <row r="651" spans="1:9" x14ac:dyDescent="0.35">
      <c r="A651">
        <v>650</v>
      </c>
      <c r="B651" s="2">
        <v>43757</v>
      </c>
      <c r="C651" t="s">
        <v>6</v>
      </c>
      <c r="D651" t="s">
        <v>173</v>
      </c>
      <c r="E651">
        <v>3</v>
      </c>
      <c r="F651" t="str">
        <f>VLOOKUP($C651,VLOOKUP_spp!$A$2:$D$103,4,1)</f>
        <v>Diptera</v>
      </c>
      <c r="G651" t="str">
        <f>VLOOKUP($F651,VLOOKUP_spp!$A$2:$E$102,5,1)</f>
        <v>Diptera</v>
      </c>
      <c r="H651" t="str">
        <f t="shared" si="10"/>
        <v>Oct</v>
      </c>
      <c r="I651">
        <v>1</v>
      </c>
    </row>
    <row r="652" spans="1:9" x14ac:dyDescent="0.35">
      <c r="A652">
        <v>651</v>
      </c>
      <c r="B652" s="2">
        <v>43757</v>
      </c>
      <c r="C652" t="s">
        <v>6</v>
      </c>
      <c r="D652" t="s">
        <v>161</v>
      </c>
      <c r="E652">
        <v>1</v>
      </c>
      <c r="F652" t="str">
        <f>VLOOKUP($C652,VLOOKUP_spp!$A$2:$D$103,4,1)</f>
        <v>Diptera</v>
      </c>
      <c r="G652" t="str">
        <f>VLOOKUP($F652,VLOOKUP_spp!$A$2:$E$102,5,1)</f>
        <v>Diptera</v>
      </c>
      <c r="H652" t="str">
        <f t="shared" si="10"/>
        <v>Oct</v>
      </c>
      <c r="I652">
        <v>1</v>
      </c>
    </row>
    <row r="653" spans="1:9" x14ac:dyDescent="0.35">
      <c r="A653">
        <v>652</v>
      </c>
      <c r="B653" s="2">
        <v>43757</v>
      </c>
      <c r="C653" t="s">
        <v>96</v>
      </c>
      <c r="D653" t="s">
        <v>158</v>
      </c>
      <c r="E653">
        <v>1</v>
      </c>
      <c r="F653" t="str">
        <f>VLOOKUP($C653,VLOOKUP_spp!$A$2:$D$103,4,1)</f>
        <v>Habropoda</v>
      </c>
      <c r="G653" t="str">
        <f>VLOOKUP($F653,VLOOKUP_spp!$A$2:$E$102,5,1)</f>
        <v>Hymenoptera</v>
      </c>
      <c r="H653" t="str">
        <f t="shared" si="10"/>
        <v>Oct</v>
      </c>
      <c r="I653">
        <v>1</v>
      </c>
    </row>
    <row r="654" spans="1:9" x14ac:dyDescent="0.35">
      <c r="A654">
        <v>653</v>
      </c>
      <c r="B654" s="2">
        <v>43757</v>
      </c>
      <c r="C654" t="s">
        <v>96</v>
      </c>
      <c r="D654" t="s">
        <v>163</v>
      </c>
      <c r="E654">
        <v>1</v>
      </c>
      <c r="F654" t="str">
        <f>VLOOKUP($C654,VLOOKUP_spp!$A$2:$D$103,4,1)</f>
        <v>Habropoda</v>
      </c>
      <c r="G654" t="str">
        <f>VLOOKUP($F654,VLOOKUP_spp!$A$2:$E$102,5,1)</f>
        <v>Hymenoptera</v>
      </c>
      <c r="H654" t="str">
        <f t="shared" si="10"/>
        <v>Oct</v>
      </c>
      <c r="I654">
        <v>1</v>
      </c>
    </row>
    <row r="655" spans="1:9" x14ac:dyDescent="0.35">
      <c r="A655">
        <v>654</v>
      </c>
      <c r="B655" s="2">
        <v>43757</v>
      </c>
      <c r="C655" t="s">
        <v>104</v>
      </c>
      <c r="D655" t="s">
        <v>173</v>
      </c>
      <c r="E655">
        <v>2</v>
      </c>
      <c r="F655" t="str">
        <f>VLOOKUP($C655,VLOOKUP_spp!$A$2:$D$103,4,1)</f>
        <v>Hylaeus_leptocephalus</v>
      </c>
      <c r="G655" t="str">
        <f>VLOOKUP($F655,VLOOKUP_spp!$A$2:$E$102,5,1)</f>
        <v>Hymenoptera</v>
      </c>
      <c r="H655" t="str">
        <f t="shared" si="10"/>
        <v>Oct</v>
      </c>
      <c r="I655">
        <v>1</v>
      </c>
    </row>
    <row r="656" spans="1:9" x14ac:dyDescent="0.35">
      <c r="A656">
        <v>655</v>
      </c>
      <c r="B656" s="2">
        <v>43757</v>
      </c>
      <c r="C656" t="s">
        <v>106</v>
      </c>
      <c r="D656" t="s">
        <v>173</v>
      </c>
      <c r="E656">
        <v>1</v>
      </c>
      <c r="F656" t="str">
        <f>VLOOKUP($C656,VLOOKUP_spp!$A$2:$D$103,4,1)</f>
        <v>Lasioglossum</v>
      </c>
      <c r="G656" t="str">
        <f>VLOOKUP($F656,VLOOKUP_spp!$A$2:$E$102,5,1)</f>
        <v>Hymenoptera</v>
      </c>
      <c r="H656" t="str">
        <f t="shared" si="10"/>
        <v>Oct</v>
      </c>
      <c r="I656">
        <v>1</v>
      </c>
    </row>
    <row r="657" spans="1:9" x14ac:dyDescent="0.35">
      <c r="A657">
        <v>656</v>
      </c>
      <c r="B657" s="2">
        <v>43757</v>
      </c>
      <c r="C657" t="s">
        <v>8</v>
      </c>
      <c r="D657" t="s">
        <v>169</v>
      </c>
      <c r="E657">
        <v>6</v>
      </c>
      <c r="F657" t="str">
        <f>VLOOKUP($C657,VLOOKUP_spp!$A$2:$D$103,4,1)</f>
        <v>Lepidoptera</v>
      </c>
      <c r="G657" t="str">
        <f>VLOOKUP($F657,VLOOKUP_spp!$A$2:$E$102,5,1)</f>
        <v>Lepidoptera</v>
      </c>
      <c r="H657" t="str">
        <f t="shared" si="10"/>
        <v>Oct</v>
      </c>
      <c r="I657">
        <v>1</v>
      </c>
    </row>
    <row r="658" spans="1:9" x14ac:dyDescent="0.35">
      <c r="A658">
        <v>657</v>
      </c>
      <c r="B658" s="2">
        <v>43757</v>
      </c>
      <c r="C658" t="s">
        <v>8</v>
      </c>
      <c r="D658" t="s">
        <v>157</v>
      </c>
      <c r="E658">
        <v>3</v>
      </c>
      <c r="F658" t="str">
        <f>VLOOKUP($C658,VLOOKUP_spp!$A$2:$D$103,4,1)</f>
        <v>Lepidoptera</v>
      </c>
      <c r="G658" t="str">
        <f>VLOOKUP($F658,VLOOKUP_spp!$A$2:$E$102,5,1)</f>
        <v>Lepidoptera</v>
      </c>
      <c r="H658" t="str">
        <f t="shared" si="10"/>
        <v>Oct</v>
      </c>
      <c r="I658">
        <v>1</v>
      </c>
    </row>
    <row r="659" spans="1:9" x14ac:dyDescent="0.35">
      <c r="A659">
        <v>658</v>
      </c>
      <c r="B659" s="2">
        <v>43757</v>
      </c>
      <c r="C659" t="s">
        <v>8</v>
      </c>
      <c r="D659" t="s">
        <v>158</v>
      </c>
      <c r="E659">
        <v>2</v>
      </c>
      <c r="F659" t="str">
        <f>VLOOKUP($C659,VLOOKUP_spp!$A$2:$D$103,4,1)</f>
        <v>Lepidoptera</v>
      </c>
      <c r="G659" t="str">
        <f>VLOOKUP($F659,VLOOKUP_spp!$A$2:$E$102,5,1)</f>
        <v>Lepidoptera</v>
      </c>
      <c r="H659" t="str">
        <f t="shared" si="10"/>
        <v>Oct</v>
      </c>
      <c r="I659">
        <v>1</v>
      </c>
    </row>
    <row r="660" spans="1:9" x14ac:dyDescent="0.35">
      <c r="A660">
        <v>659</v>
      </c>
      <c r="B660" s="2">
        <v>43757</v>
      </c>
      <c r="C660" t="s">
        <v>8</v>
      </c>
      <c r="D660" t="s">
        <v>173</v>
      </c>
      <c r="E660">
        <v>2</v>
      </c>
      <c r="F660" t="str">
        <f>VLOOKUP($C660,VLOOKUP_spp!$A$2:$D$103,4,1)</f>
        <v>Lepidoptera</v>
      </c>
      <c r="G660" t="str">
        <f>VLOOKUP($F660,VLOOKUP_spp!$A$2:$E$102,5,1)</f>
        <v>Lepidoptera</v>
      </c>
      <c r="H660" t="str">
        <f t="shared" si="10"/>
        <v>Oct</v>
      </c>
      <c r="I660">
        <v>1</v>
      </c>
    </row>
    <row r="661" spans="1:9" x14ac:dyDescent="0.35">
      <c r="A661">
        <v>660</v>
      </c>
      <c r="B661" s="2">
        <v>43757</v>
      </c>
      <c r="C661" t="s">
        <v>8</v>
      </c>
      <c r="D661" t="s">
        <v>154</v>
      </c>
      <c r="E661">
        <v>1</v>
      </c>
      <c r="F661" t="str">
        <f>VLOOKUP($C661,VLOOKUP_spp!$A$2:$D$103,4,1)</f>
        <v>Lepidoptera</v>
      </c>
      <c r="G661" t="str">
        <f>VLOOKUP($F661,VLOOKUP_spp!$A$2:$E$102,5,1)</f>
        <v>Lepidoptera</v>
      </c>
      <c r="H661" t="str">
        <f t="shared" si="10"/>
        <v>Oct</v>
      </c>
      <c r="I661">
        <v>1</v>
      </c>
    </row>
    <row r="662" spans="1:9" x14ac:dyDescent="0.35">
      <c r="A662">
        <v>661</v>
      </c>
      <c r="B662" s="2">
        <v>43757</v>
      </c>
      <c r="C662" t="s">
        <v>8</v>
      </c>
      <c r="D662" t="s">
        <v>161</v>
      </c>
      <c r="E662">
        <v>1</v>
      </c>
      <c r="F662" t="str">
        <f>VLOOKUP($C662,VLOOKUP_spp!$A$2:$D$103,4,1)</f>
        <v>Lepidoptera</v>
      </c>
      <c r="G662" t="str">
        <f>VLOOKUP($F662,VLOOKUP_spp!$A$2:$E$102,5,1)</f>
        <v>Lepidoptera</v>
      </c>
      <c r="H662" t="str">
        <f t="shared" si="10"/>
        <v>Oct</v>
      </c>
      <c r="I662">
        <v>1</v>
      </c>
    </row>
    <row r="663" spans="1:9" x14ac:dyDescent="0.35">
      <c r="A663">
        <v>662</v>
      </c>
      <c r="B663" s="2">
        <v>43757</v>
      </c>
      <c r="C663" t="s">
        <v>108</v>
      </c>
      <c r="D663" t="s">
        <v>173</v>
      </c>
      <c r="E663">
        <v>1</v>
      </c>
      <c r="F663" t="str">
        <f>VLOOKUP($C663,VLOOKUP_spp!$A$2:$D$103,4,1)</f>
        <v>Macropis</v>
      </c>
      <c r="G663" t="str">
        <f>VLOOKUP($F663,VLOOKUP_spp!$A$2:$E$102,5,1)</f>
        <v>Hymenoptera</v>
      </c>
      <c r="H663" t="str">
        <f t="shared" si="10"/>
        <v>Oct</v>
      </c>
      <c r="I663">
        <v>1</v>
      </c>
    </row>
    <row r="664" spans="1:9" x14ac:dyDescent="0.35">
      <c r="A664">
        <v>663</v>
      </c>
      <c r="B664" s="2">
        <v>43757</v>
      </c>
      <c r="C664" t="s">
        <v>121</v>
      </c>
      <c r="D664" t="s">
        <v>173</v>
      </c>
      <c r="E664">
        <v>1</v>
      </c>
      <c r="F664" t="str">
        <f>VLOOKUP($C664,VLOOKUP_spp!$A$2:$D$103,4,1)</f>
        <v>Pseudopanurgus</v>
      </c>
      <c r="G664" t="str">
        <f>VLOOKUP($F664,VLOOKUP_spp!$A$2:$E$102,5,1)</f>
        <v>Hymenoptera</v>
      </c>
      <c r="H664" t="str">
        <f t="shared" si="10"/>
        <v>Oct</v>
      </c>
      <c r="I664">
        <v>1</v>
      </c>
    </row>
    <row r="665" spans="1:9" x14ac:dyDescent="0.35">
      <c r="A665">
        <v>664</v>
      </c>
      <c r="B665" s="2">
        <v>43757</v>
      </c>
      <c r="C665" t="s">
        <v>126</v>
      </c>
      <c r="D665" t="s">
        <v>173</v>
      </c>
      <c r="E665">
        <v>7</v>
      </c>
      <c r="F665" t="str">
        <f>VLOOKUP($C665,VLOOKUP_spp!$A$2:$D$103,4,1)</f>
        <v>Syrphidae</v>
      </c>
      <c r="G665" t="str">
        <f>VLOOKUP($F665,VLOOKUP_spp!$A$2:$E$102,5,1)</f>
        <v>Diptera</v>
      </c>
      <c r="H665" t="str">
        <f t="shared" si="10"/>
        <v>Oct</v>
      </c>
      <c r="I665">
        <v>1</v>
      </c>
    </row>
    <row r="666" spans="1:9" x14ac:dyDescent="0.35">
      <c r="A666">
        <v>665</v>
      </c>
      <c r="B666" s="2">
        <v>43757</v>
      </c>
      <c r="C666" t="s">
        <v>126</v>
      </c>
      <c r="D666" t="s">
        <v>150</v>
      </c>
      <c r="E666">
        <v>1</v>
      </c>
      <c r="F666" t="str">
        <f>VLOOKUP($C666,VLOOKUP_spp!$A$2:$D$103,4,1)</f>
        <v>Syrphidae</v>
      </c>
      <c r="G666" t="str">
        <f>VLOOKUP($F666,VLOOKUP_spp!$A$2:$E$102,5,1)</f>
        <v>Diptera</v>
      </c>
      <c r="H666" t="str">
        <f t="shared" si="10"/>
        <v>Oct</v>
      </c>
      <c r="I666">
        <v>1</v>
      </c>
    </row>
    <row r="667" spans="1:9" x14ac:dyDescent="0.35">
      <c r="A667">
        <v>666</v>
      </c>
      <c r="B667" s="2">
        <v>43757</v>
      </c>
      <c r="C667" t="s">
        <v>128</v>
      </c>
      <c r="D667" t="s">
        <v>157</v>
      </c>
      <c r="E667">
        <v>2</v>
      </c>
      <c r="F667" t="str">
        <f>VLOOKUP($C667,VLOOKUP_spp!$A$2:$D$103,4,1)</f>
        <v>Wasp</v>
      </c>
      <c r="G667" t="str">
        <f>VLOOKUP($F667,VLOOKUP_spp!$A$2:$E$102,5,1)</f>
        <v>Hymenoptera</v>
      </c>
      <c r="H667" t="str">
        <f t="shared" si="10"/>
        <v>Oct</v>
      </c>
      <c r="I667">
        <v>1</v>
      </c>
    </row>
    <row r="668" spans="1:9" x14ac:dyDescent="0.35">
      <c r="A668">
        <v>667</v>
      </c>
      <c r="B668" s="2">
        <v>43757</v>
      </c>
      <c r="C668" t="s">
        <v>128</v>
      </c>
      <c r="D668" t="s">
        <v>158</v>
      </c>
      <c r="E668">
        <v>1</v>
      </c>
      <c r="F668" t="str">
        <f>VLOOKUP($C668,VLOOKUP_spp!$A$2:$D$103,4,1)</f>
        <v>Wasp</v>
      </c>
      <c r="G668" t="str">
        <f>VLOOKUP($F668,VLOOKUP_spp!$A$2:$E$102,5,1)</f>
        <v>Hymenoptera</v>
      </c>
      <c r="H668" t="str">
        <f t="shared" si="10"/>
        <v>Oct</v>
      </c>
      <c r="I668">
        <v>1</v>
      </c>
    </row>
    <row r="669" spans="1:9" x14ac:dyDescent="0.35">
      <c r="A669">
        <v>668</v>
      </c>
      <c r="B669" s="2">
        <v>43757</v>
      </c>
      <c r="C669" t="s">
        <v>128</v>
      </c>
      <c r="D669" t="s">
        <v>173</v>
      </c>
      <c r="E669">
        <v>1</v>
      </c>
      <c r="F669" t="str">
        <f>VLOOKUP($C669,VLOOKUP_spp!$A$2:$D$103,4,1)</f>
        <v>Wasp</v>
      </c>
      <c r="G669" t="str">
        <f>VLOOKUP($F669,VLOOKUP_spp!$A$2:$E$102,5,1)</f>
        <v>Hymenoptera</v>
      </c>
      <c r="H669" t="str">
        <f t="shared" si="10"/>
        <v>Oct</v>
      </c>
      <c r="I669">
        <v>1</v>
      </c>
    </row>
    <row r="670" spans="1:9" x14ac:dyDescent="0.35">
      <c r="A670">
        <v>669</v>
      </c>
      <c r="B670" s="2">
        <v>43757</v>
      </c>
      <c r="C670" t="s">
        <v>128</v>
      </c>
      <c r="D670" t="s">
        <v>154</v>
      </c>
      <c r="E670">
        <v>1</v>
      </c>
      <c r="F670" t="str">
        <f>VLOOKUP($C670,VLOOKUP_spp!$A$2:$D$103,4,1)</f>
        <v>Wasp</v>
      </c>
      <c r="G670" t="str">
        <f>VLOOKUP($F670,VLOOKUP_spp!$A$2:$E$102,5,1)</f>
        <v>Hymenoptera</v>
      </c>
      <c r="H670" t="str">
        <f t="shared" si="10"/>
        <v>Oct</v>
      </c>
      <c r="I670">
        <v>1</v>
      </c>
    </row>
    <row r="671" spans="1:9" x14ac:dyDescent="0.35">
      <c r="A671">
        <v>670</v>
      </c>
      <c r="B671" s="2">
        <v>43757</v>
      </c>
      <c r="C671" t="s">
        <v>128</v>
      </c>
      <c r="D671" t="s">
        <v>162</v>
      </c>
      <c r="E671">
        <v>3</v>
      </c>
      <c r="F671" t="str">
        <f>VLOOKUP($C671,VLOOKUP_spp!$A$2:$D$103,4,1)</f>
        <v>Wasp</v>
      </c>
      <c r="G671" t="str">
        <f>VLOOKUP($F671,VLOOKUP_spp!$A$2:$E$102,5,1)</f>
        <v>Hymenoptera</v>
      </c>
      <c r="H671" t="str">
        <f t="shared" si="10"/>
        <v>Oct</v>
      </c>
      <c r="I671">
        <v>1</v>
      </c>
    </row>
    <row r="672" spans="1:9" x14ac:dyDescent="0.35">
      <c r="A672">
        <v>671</v>
      </c>
      <c r="B672" s="2">
        <v>43757</v>
      </c>
      <c r="C672" t="s">
        <v>128</v>
      </c>
      <c r="D672" t="s">
        <v>147</v>
      </c>
      <c r="E672">
        <v>10</v>
      </c>
      <c r="F672" t="str">
        <f>VLOOKUP($C672,VLOOKUP_spp!$A$2:$D$103,4,1)</f>
        <v>Wasp</v>
      </c>
      <c r="G672" t="str">
        <f>VLOOKUP($F672,VLOOKUP_spp!$A$2:$E$102,5,1)</f>
        <v>Hymenoptera</v>
      </c>
      <c r="H672" t="str">
        <f t="shared" si="10"/>
        <v>Oct</v>
      </c>
      <c r="I672">
        <v>1</v>
      </c>
    </row>
    <row r="673" spans="1:9" x14ac:dyDescent="0.35">
      <c r="A673">
        <v>672</v>
      </c>
      <c r="B673" s="2">
        <v>44022</v>
      </c>
      <c r="C673" t="s">
        <v>50</v>
      </c>
      <c r="D673" t="s">
        <v>146</v>
      </c>
      <c r="E673">
        <v>20</v>
      </c>
      <c r="F673" t="str">
        <f>VLOOKUP($C673,VLOOKUP_spp!$A$2:$D$103,4,1)</f>
        <v>Apis_mellifera</v>
      </c>
      <c r="G673" t="str">
        <f>VLOOKUP($F673,VLOOKUP_spp!$A$2:$E$102,5,1)</f>
        <v>Hymenoptera</v>
      </c>
      <c r="H673" t="str">
        <f t="shared" si="10"/>
        <v>Jul</v>
      </c>
      <c r="I673">
        <v>1</v>
      </c>
    </row>
    <row r="674" spans="1:9" x14ac:dyDescent="0.35">
      <c r="A674">
        <v>673</v>
      </c>
      <c r="B674" s="2">
        <v>44022</v>
      </c>
      <c r="C674" t="s">
        <v>54</v>
      </c>
      <c r="D674" t="s">
        <v>146</v>
      </c>
      <c r="E674">
        <v>6</v>
      </c>
      <c r="F674" t="str">
        <f>VLOOKUP($C674,VLOOKUP_spp!$A$2:$D$103,4,1)</f>
        <v>Bombus_affinis</v>
      </c>
      <c r="G674" t="str">
        <f>VLOOKUP($F674,VLOOKUP_spp!$A$2:$E$102,5,1)</f>
        <v>Hymenoptera</v>
      </c>
      <c r="H674" t="str">
        <f t="shared" si="10"/>
        <v>Jul</v>
      </c>
      <c r="I674">
        <v>1</v>
      </c>
    </row>
    <row r="675" spans="1:9" x14ac:dyDescent="0.35">
      <c r="A675">
        <v>674</v>
      </c>
      <c r="B675" s="2">
        <v>44022</v>
      </c>
      <c r="C675" t="s">
        <v>74</v>
      </c>
      <c r="D675" t="s">
        <v>146</v>
      </c>
      <c r="E675">
        <v>1</v>
      </c>
      <c r="F675" t="str">
        <f>VLOOKUP($C675,VLOOKUP_spp!$A$2:$D$103,4,1)</f>
        <v>Bombus_perplexus</v>
      </c>
      <c r="G675" t="str">
        <f>VLOOKUP($F675,VLOOKUP_spp!$A$2:$E$102,5,1)</f>
        <v>Hymenoptera</v>
      </c>
      <c r="H675" t="str">
        <f t="shared" si="10"/>
        <v>Jul</v>
      </c>
      <c r="I675">
        <v>1</v>
      </c>
    </row>
    <row r="676" spans="1:9" x14ac:dyDescent="0.35">
      <c r="A676">
        <v>675</v>
      </c>
      <c r="B676" s="2">
        <v>44022</v>
      </c>
      <c r="C676" t="s">
        <v>7</v>
      </c>
      <c r="D676" t="s">
        <v>146</v>
      </c>
      <c r="E676">
        <v>6</v>
      </c>
      <c r="F676" t="str">
        <f>VLOOKUP($C676,VLOOKUP_spp!$A$2:$D$103,4,1)</f>
        <v>Coleoptera</v>
      </c>
      <c r="G676" t="str">
        <f>VLOOKUP($F676,VLOOKUP_spp!$A$2:$E$102,5,1)</f>
        <v>Coleoptera</v>
      </c>
      <c r="H676" t="str">
        <f t="shared" si="10"/>
        <v>Jul</v>
      </c>
      <c r="I676">
        <v>1</v>
      </c>
    </row>
    <row r="677" spans="1:9" x14ac:dyDescent="0.35">
      <c r="A677">
        <v>676</v>
      </c>
      <c r="B677" s="2">
        <v>44022</v>
      </c>
      <c r="C677" t="s">
        <v>6</v>
      </c>
      <c r="D677" t="s">
        <v>146</v>
      </c>
      <c r="E677">
        <v>15</v>
      </c>
      <c r="F677" t="str">
        <f>VLOOKUP($C677,VLOOKUP_spp!$A$2:$D$103,4,1)</f>
        <v>Diptera</v>
      </c>
      <c r="G677" t="str">
        <f>VLOOKUP($F677,VLOOKUP_spp!$A$2:$E$102,5,1)</f>
        <v>Diptera</v>
      </c>
      <c r="H677" t="str">
        <f t="shared" si="10"/>
        <v>Jul</v>
      </c>
      <c r="I677">
        <v>1</v>
      </c>
    </row>
    <row r="678" spans="1:9" x14ac:dyDescent="0.35">
      <c r="A678">
        <v>677</v>
      </c>
      <c r="B678" s="2">
        <v>44022</v>
      </c>
      <c r="C678" t="s">
        <v>6</v>
      </c>
      <c r="D678" t="s">
        <v>174</v>
      </c>
      <c r="E678">
        <v>1</v>
      </c>
      <c r="F678" t="str">
        <f>VLOOKUP($C678,VLOOKUP_spp!$A$2:$D$103,4,1)</f>
        <v>Diptera</v>
      </c>
      <c r="G678" t="str">
        <f>VLOOKUP($F678,VLOOKUP_spp!$A$2:$E$102,5,1)</f>
        <v>Diptera</v>
      </c>
      <c r="H678" t="str">
        <f t="shared" si="10"/>
        <v>Jul</v>
      </c>
      <c r="I678">
        <v>1</v>
      </c>
    </row>
    <row r="679" spans="1:9" x14ac:dyDescent="0.35">
      <c r="A679">
        <v>678</v>
      </c>
      <c r="B679" s="2">
        <v>44022</v>
      </c>
      <c r="C679" t="s">
        <v>97</v>
      </c>
      <c r="D679" t="s">
        <v>146</v>
      </c>
      <c r="E679">
        <v>1</v>
      </c>
      <c r="F679" t="str">
        <f>VLOOKUP($C679,VLOOKUP_spp!$A$2:$D$103,4,1)</f>
        <v>Halictus</v>
      </c>
      <c r="G679" t="str">
        <f>VLOOKUP($F679,VLOOKUP_spp!$A$2:$E$102,5,1)</f>
        <v>Hymenoptera</v>
      </c>
      <c r="H679" t="str">
        <f t="shared" si="10"/>
        <v>Jul</v>
      </c>
      <c r="I679">
        <v>1</v>
      </c>
    </row>
    <row r="680" spans="1:9" x14ac:dyDescent="0.35">
      <c r="A680">
        <v>679</v>
      </c>
      <c r="B680" s="2">
        <v>44022</v>
      </c>
      <c r="C680" t="s">
        <v>99</v>
      </c>
      <c r="D680" t="s">
        <v>146</v>
      </c>
      <c r="E680">
        <v>3</v>
      </c>
      <c r="F680" t="str">
        <f>VLOOKUP($C680,VLOOKUP_spp!$A$2:$D$103,4,1)</f>
        <v>Halictus_rubicundus</v>
      </c>
      <c r="G680" t="str">
        <f>VLOOKUP($F680,VLOOKUP_spp!$A$2:$E$102,5,1)</f>
        <v>Hymenoptera</v>
      </c>
      <c r="H680" t="str">
        <f t="shared" si="10"/>
        <v>Jul</v>
      </c>
      <c r="I680">
        <v>1</v>
      </c>
    </row>
    <row r="681" spans="1:9" x14ac:dyDescent="0.35">
      <c r="A681">
        <v>680</v>
      </c>
      <c r="B681" s="2">
        <v>44022</v>
      </c>
      <c r="C681" t="s">
        <v>101</v>
      </c>
      <c r="D681" t="s">
        <v>146</v>
      </c>
      <c r="E681">
        <v>4</v>
      </c>
      <c r="F681" t="str">
        <f>VLOOKUP($C681,VLOOKUP_spp!$A$2:$D$103,4,1)</f>
        <v>Halictus_tripartitus</v>
      </c>
      <c r="G681" t="str">
        <f>VLOOKUP($F681,VLOOKUP_spp!$A$2:$E$102,5,1)</f>
        <v>Hymenoptera</v>
      </c>
      <c r="H681" t="str">
        <f t="shared" si="10"/>
        <v>Jul</v>
      </c>
      <c r="I681">
        <v>1</v>
      </c>
    </row>
    <row r="682" spans="1:9" x14ac:dyDescent="0.35">
      <c r="A682">
        <v>681</v>
      </c>
      <c r="B682" s="2">
        <v>44022</v>
      </c>
      <c r="C682" t="s">
        <v>105</v>
      </c>
      <c r="D682" t="s">
        <v>146</v>
      </c>
      <c r="E682">
        <v>1</v>
      </c>
      <c r="F682" t="str">
        <f>VLOOKUP($C682,VLOOKUP_spp!$A$2:$D$103,4,1)</f>
        <v>Hylaeus_modestus</v>
      </c>
      <c r="G682" t="str">
        <f>VLOOKUP($F682,VLOOKUP_spp!$A$2:$E$102,5,1)</f>
        <v>Hymenoptera</v>
      </c>
      <c r="H682" t="str">
        <f t="shared" si="10"/>
        <v>Jul</v>
      </c>
      <c r="I682">
        <v>1</v>
      </c>
    </row>
    <row r="683" spans="1:9" x14ac:dyDescent="0.35">
      <c r="A683">
        <v>682</v>
      </c>
      <c r="B683" s="2">
        <v>44022</v>
      </c>
      <c r="C683" t="s">
        <v>106</v>
      </c>
      <c r="D683" t="s">
        <v>146</v>
      </c>
      <c r="E683">
        <v>5</v>
      </c>
      <c r="F683" t="str">
        <f>VLOOKUP($C683,VLOOKUP_spp!$A$2:$D$103,4,1)</f>
        <v>Lasioglossum</v>
      </c>
      <c r="G683" t="str">
        <f>VLOOKUP($F683,VLOOKUP_spp!$A$2:$E$102,5,1)</f>
        <v>Hymenoptera</v>
      </c>
      <c r="H683" t="str">
        <f t="shared" si="10"/>
        <v>Jul</v>
      </c>
      <c r="I683">
        <v>1</v>
      </c>
    </row>
    <row r="684" spans="1:9" x14ac:dyDescent="0.35">
      <c r="A684">
        <v>683</v>
      </c>
      <c r="B684" s="2">
        <v>44022</v>
      </c>
      <c r="C684" t="s">
        <v>126</v>
      </c>
      <c r="D684" t="s">
        <v>148</v>
      </c>
      <c r="E684">
        <v>1</v>
      </c>
      <c r="F684" t="str">
        <f>VLOOKUP($C684,VLOOKUP_spp!$A$2:$D$103,4,1)</f>
        <v>Syrphidae</v>
      </c>
      <c r="G684" t="str">
        <f>VLOOKUP($F684,VLOOKUP_spp!$A$2:$E$102,5,1)</f>
        <v>Diptera</v>
      </c>
      <c r="H684" t="str">
        <f t="shared" si="10"/>
        <v>Jul</v>
      </c>
      <c r="I684">
        <v>1</v>
      </c>
    </row>
    <row r="685" spans="1:9" x14ac:dyDescent="0.35">
      <c r="A685">
        <v>684</v>
      </c>
      <c r="B685" s="2">
        <v>44022</v>
      </c>
      <c r="C685" t="s">
        <v>126</v>
      </c>
      <c r="D685" t="s">
        <v>146</v>
      </c>
      <c r="E685">
        <v>13</v>
      </c>
      <c r="F685" t="str">
        <f>VLOOKUP($C685,VLOOKUP_spp!$A$2:$D$103,4,1)</f>
        <v>Syrphidae</v>
      </c>
      <c r="G685" t="str">
        <f>VLOOKUP($F685,VLOOKUP_spp!$A$2:$E$102,5,1)</f>
        <v>Diptera</v>
      </c>
      <c r="H685" t="str">
        <f t="shared" si="10"/>
        <v>Jul</v>
      </c>
      <c r="I685">
        <v>1</v>
      </c>
    </row>
    <row r="686" spans="1:9" x14ac:dyDescent="0.35">
      <c r="A686">
        <v>685</v>
      </c>
      <c r="B686" s="2">
        <v>44022</v>
      </c>
      <c r="C686" t="s">
        <v>126</v>
      </c>
      <c r="D686" t="s">
        <v>147</v>
      </c>
      <c r="E686">
        <v>4</v>
      </c>
      <c r="F686" t="str">
        <f>VLOOKUP($C686,VLOOKUP_spp!$A$2:$D$103,4,1)</f>
        <v>Syrphidae</v>
      </c>
      <c r="G686" t="str">
        <f>VLOOKUP($F686,VLOOKUP_spp!$A$2:$E$102,5,1)</f>
        <v>Diptera</v>
      </c>
      <c r="H686" t="str">
        <f t="shared" si="10"/>
        <v>Jul</v>
      </c>
      <c r="I686">
        <v>1</v>
      </c>
    </row>
    <row r="687" spans="1:9" x14ac:dyDescent="0.35">
      <c r="A687">
        <v>686</v>
      </c>
      <c r="B687" s="2">
        <v>44022</v>
      </c>
      <c r="C687" t="s">
        <v>128</v>
      </c>
      <c r="D687" t="s">
        <v>146</v>
      </c>
      <c r="E687">
        <v>20</v>
      </c>
      <c r="F687" t="str">
        <f>VLOOKUP($C687,VLOOKUP_spp!$A$2:$D$103,4,1)</f>
        <v>Wasp</v>
      </c>
      <c r="G687" t="str">
        <f>VLOOKUP($F687,VLOOKUP_spp!$A$2:$E$102,5,1)</f>
        <v>Hymenoptera</v>
      </c>
      <c r="H687" t="str">
        <f t="shared" si="10"/>
        <v>Jul</v>
      </c>
      <c r="I687">
        <v>1</v>
      </c>
    </row>
    <row r="688" spans="1:9" x14ac:dyDescent="0.35">
      <c r="A688">
        <v>687</v>
      </c>
      <c r="B688" s="2">
        <v>44022</v>
      </c>
      <c r="C688" t="s">
        <v>128</v>
      </c>
      <c r="D688" t="s">
        <v>147</v>
      </c>
      <c r="E688">
        <v>5</v>
      </c>
      <c r="F688" t="str">
        <f>VLOOKUP($C688,VLOOKUP_spp!$A$2:$D$103,4,1)</f>
        <v>Wasp</v>
      </c>
      <c r="G688" t="str">
        <f>VLOOKUP($F688,VLOOKUP_spp!$A$2:$E$102,5,1)</f>
        <v>Hymenoptera</v>
      </c>
      <c r="H688" t="str">
        <f t="shared" si="10"/>
        <v>Jul</v>
      </c>
      <c r="I688">
        <v>1</v>
      </c>
    </row>
    <row r="689" spans="1:9" x14ac:dyDescent="0.35">
      <c r="A689">
        <v>688</v>
      </c>
      <c r="B689" s="2">
        <v>44025</v>
      </c>
      <c r="C689" t="s">
        <v>50</v>
      </c>
      <c r="D689" t="s">
        <v>146</v>
      </c>
      <c r="E689">
        <v>6</v>
      </c>
      <c r="F689" t="str">
        <f>VLOOKUP($C689,VLOOKUP_spp!$A$2:$D$103,4,1)</f>
        <v>Apis_mellifera</v>
      </c>
      <c r="G689" t="str">
        <f>VLOOKUP($F689,VLOOKUP_spp!$A$2:$E$102,5,1)</f>
        <v>Hymenoptera</v>
      </c>
      <c r="H689" t="str">
        <f t="shared" si="10"/>
        <v>Jul</v>
      </c>
      <c r="I689">
        <v>1</v>
      </c>
    </row>
    <row r="690" spans="1:9" x14ac:dyDescent="0.35">
      <c r="A690">
        <v>689</v>
      </c>
      <c r="B690" s="2">
        <v>44025</v>
      </c>
      <c r="C690" t="s">
        <v>87</v>
      </c>
      <c r="D690" t="s">
        <v>146</v>
      </c>
      <c r="E690">
        <v>1</v>
      </c>
      <c r="F690" t="str">
        <f>VLOOKUP($C690,VLOOKUP_spp!$A$2:$D$103,4,1)</f>
        <v>Chelostoma</v>
      </c>
      <c r="G690" t="str">
        <f>VLOOKUP($F690,VLOOKUP_spp!$A$2:$E$102,5,1)</f>
        <v>Hymenoptera</v>
      </c>
      <c r="H690" t="str">
        <f t="shared" si="10"/>
        <v>Jul</v>
      </c>
      <c r="I690">
        <v>1</v>
      </c>
    </row>
    <row r="691" spans="1:9" x14ac:dyDescent="0.35">
      <c r="A691">
        <v>690</v>
      </c>
      <c r="B691" s="2">
        <v>44025</v>
      </c>
      <c r="C691" t="s">
        <v>6</v>
      </c>
      <c r="D691" t="s">
        <v>146</v>
      </c>
      <c r="E691">
        <v>4</v>
      </c>
      <c r="F691" t="str">
        <f>VLOOKUP($C691,VLOOKUP_spp!$A$2:$D$103,4,1)</f>
        <v>Diptera</v>
      </c>
      <c r="G691" t="str">
        <f>VLOOKUP($F691,VLOOKUP_spp!$A$2:$E$102,5,1)</f>
        <v>Diptera</v>
      </c>
      <c r="H691" t="str">
        <f t="shared" si="10"/>
        <v>Jul</v>
      </c>
      <c r="I691">
        <v>1</v>
      </c>
    </row>
    <row r="692" spans="1:9" x14ac:dyDescent="0.35">
      <c r="A692">
        <v>691</v>
      </c>
      <c r="B692" s="2">
        <v>44025</v>
      </c>
      <c r="C692" t="s">
        <v>104</v>
      </c>
      <c r="D692" t="s">
        <v>146</v>
      </c>
      <c r="E692">
        <v>1</v>
      </c>
      <c r="F692" t="str">
        <f>VLOOKUP($C692,VLOOKUP_spp!$A$2:$D$103,4,1)</f>
        <v>Hylaeus_leptocephalus</v>
      </c>
      <c r="G692" t="str">
        <f>VLOOKUP($F692,VLOOKUP_spp!$A$2:$E$102,5,1)</f>
        <v>Hymenoptera</v>
      </c>
      <c r="H692" t="str">
        <f t="shared" si="10"/>
        <v>Jul</v>
      </c>
      <c r="I692">
        <v>1</v>
      </c>
    </row>
    <row r="693" spans="1:9" x14ac:dyDescent="0.35">
      <c r="A693">
        <v>692</v>
      </c>
      <c r="B693" s="2">
        <v>44025</v>
      </c>
      <c r="C693" t="s">
        <v>106</v>
      </c>
      <c r="D693" t="s">
        <v>146</v>
      </c>
      <c r="E693">
        <v>2</v>
      </c>
      <c r="F693" t="str">
        <f>VLOOKUP($C693,VLOOKUP_spp!$A$2:$D$103,4,1)</f>
        <v>Lasioglossum</v>
      </c>
      <c r="G693" t="str">
        <f>VLOOKUP($F693,VLOOKUP_spp!$A$2:$E$102,5,1)</f>
        <v>Hymenoptera</v>
      </c>
      <c r="H693" t="str">
        <f t="shared" si="10"/>
        <v>Jul</v>
      </c>
      <c r="I693">
        <v>1</v>
      </c>
    </row>
    <row r="694" spans="1:9" x14ac:dyDescent="0.35">
      <c r="A694">
        <v>693</v>
      </c>
      <c r="B694" s="2">
        <v>44025</v>
      </c>
      <c r="C694" t="s">
        <v>126</v>
      </c>
      <c r="D694" t="s">
        <v>146</v>
      </c>
      <c r="E694">
        <v>2</v>
      </c>
      <c r="F694" t="str">
        <f>VLOOKUP($C694,VLOOKUP_spp!$A$2:$D$103,4,1)</f>
        <v>Syrphidae</v>
      </c>
      <c r="G694" t="str">
        <f>VLOOKUP($F694,VLOOKUP_spp!$A$2:$E$102,5,1)</f>
        <v>Diptera</v>
      </c>
      <c r="H694" t="str">
        <f t="shared" si="10"/>
        <v>Jul</v>
      </c>
      <c r="I694">
        <v>1</v>
      </c>
    </row>
    <row r="695" spans="1:9" x14ac:dyDescent="0.35">
      <c r="A695">
        <v>694</v>
      </c>
      <c r="B695" s="2">
        <v>44025</v>
      </c>
      <c r="C695" t="s">
        <v>128</v>
      </c>
      <c r="D695" t="s">
        <v>146</v>
      </c>
      <c r="E695">
        <v>6</v>
      </c>
      <c r="F695" t="str">
        <f>VLOOKUP($C695,VLOOKUP_spp!$A$2:$D$103,4,1)</f>
        <v>Wasp</v>
      </c>
      <c r="G695" t="str">
        <f>VLOOKUP($F695,VLOOKUP_spp!$A$2:$E$102,5,1)</f>
        <v>Hymenoptera</v>
      </c>
      <c r="H695" t="str">
        <f t="shared" si="10"/>
        <v>Jul</v>
      </c>
      <c r="I695">
        <v>1</v>
      </c>
    </row>
    <row r="696" spans="1:9" x14ac:dyDescent="0.35">
      <c r="A696">
        <v>695</v>
      </c>
      <c r="B696" s="2">
        <v>44025</v>
      </c>
      <c r="C696" t="s">
        <v>128</v>
      </c>
      <c r="D696" t="s">
        <v>147</v>
      </c>
      <c r="E696">
        <v>3</v>
      </c>
      <c r="F696" t="str">
        <f>VLOOKUP($C696,VLOOKUP_spp!$A$2:$D$103,4,1)</f>
        <v>Wasp</v>
      </c>
      <c r="G696" t="str">
        <f>VLOOKUP($F696,VLOOKUP_spp!$A$2:$E$102,5,1)</f>
        <v>Hymenoptera</v>
      </c>
      <c r="H696" t="str">
        <f t="shared" si="10"/>
        <v>Jul</v>
      </c>
      <c r="I696">
        <v>1</v>
      </c>
    </row>
    <row r="697" spans="1:9" x14ac:dyDescent="0.35">
      <c r="A697">
        <v>696</v>
      </c>
      <c r="B697" s="2">
        <v>44025</v>
      </c>
      <c r="C697" t="s">
        <v>133</v>
      </c>
      <c r="D697" t="s">
        <v>146</v>
      </c>
      <c r="E697">
        <v>1</v>
      </c>
      <c r="F697" t="str">
        <f>VLOOKUP($C697,VLOOKUP_spp!$A$2:$D$103,4,1)</f>
        <v>Xylocopa</v>
      </c>
      <c r="G697" t="str">
        <f>VLOOKUP($F697,VLOOKUP_spp!$A$2:$E$102,5,1)</f>
        <v>Hymenoptera</v>
      </c>
      <c r="H697" t="str">
        <f t="shared" si="10"/>
        <v>Jul</v>
      </c>
      <c r="I697">
        <v>1</v>
      </c>
    </row>
    <row r="698" spans="1:9" x14ac:dyDescent="0.35">
      <c r="A698">
        <v>697</v>
      </c>
      <c r="B698" s="2">
        <v>44032</v>
      </c>
      <c r="C698" t="s">
        <v>50</v>
      </c>
      <c r="D698" t="s">
        <v>146</v>
      </c>
      <c r="E698">
        <v>5</v>
      </c>
      <c r="F698" t="str">
        <f>VLOOKUP($C698,VLOOKUP_spp!$A$2:$D$103,4,1)</f>
        <v>Apis_mellifera</v>
      </c>
      <c r="G698" t="str">
        <f>VLOOKUP($F698,VLOOKUP_spp!$A$2:$E$102,5,1)</f>
        <v>Hymenoptera</v>
      </c>
      <c r="H698" t="str">
        <f t="shared" si="10"/>
        <v>Jul</v>
      </c>
      <c r="I698">
        <v>1</v>
      </c>
    </row>
    <row r="699" spans="1:9" x14ac:dyDescent="0.35">
      <c r="A699">
        <v>698</v>
      </c>
      <c r="B699" s="2">
        <v>44032</v>
      </c>
      <c r="C699" t="s">
        <v>50</v>
      </c>
      <c r="D699" t="s">
        <v>149</v>
      </c>
      <c r="E699">
        <v>7</v>
      </c>
      <c r="F699" t="str">
        <f>VLOOKUP($C699,VLOOKUP_spp!$A$2:$D$103,4,1)</f>
        <v>Apis_mellifera</v>
      </c>
      <c r="G699" t="str">
        <f>VLOOKUP($F699,VLOOKUP_spp!$A$2:$E$102,5,1)</f>
        <v>Hymenoptera</v>
      </c>
      <c r="H699" t="str">
        <f t="shared" si="10"/>
        <v>Jul</v>
      </c>
      <c r="I699">
        <v>1</v>
      </c>
    </row>
    <row r="700" spans="1:9" x14ac:dyDescent="0.35">
      <c r="A700">
        <v>699</v>
      </c>
      <c r="B700" s="2">
        <v>44032</v>
      </c>
      <c r="C700" t="s">
        <v>50</v>
      </c>
      <c r="D700" t="s">
        <v>147</v>
      </c>
      <c r="E700">
        <v>4</v>
      </c>
      <c r="F700" t="str">
        <f>VLOOKUP($C700,VLOOKUP_spp!$A$2:$D$103,4,1)</f>
        <v>Apis_mellifera</v>
      </c>
      <c r="G700" t="str">
        <f>VLOOKUP($F700,VLOOKUP_spp!$A$2:$E$102,5,1)</f>
        <v>Hymenoptera</v>
      </c>
      <c r="H700" t="str">
        <f t="shared" si="10"/>
        <v>Jul</v>
      </c>
      <c r="I700">
        <v>1</v>
      </c>
    </row>
    <row r="701" spans="1:9" x14ac:dyDescent="0.35">
      <c r="A701">
        <v>700</v>
      </c>
      <c r="B701" s="2">
        <v>44032</v>
      </c>
      <c r="C701" t="s">
        <v>67</v>
      </c>
      <c r="D701" t="s">
        <v>146</v>
      </c>
      <c r="E701">
        <v>7</v>
      </c>
      <c r="F701" t="str">
        <f>VLOOKUP($C701,VLOOKUP_spp!$A$2:$D$103,4,1)</f>
        <v>Bombus_impatiens</v>
      </c>
      <c r="G701" t="str">
        <f>VLOOKUP($F701,VLOOKUP_spp!$A$2:$E$102,5,1)</f>
        <v>Hymenoptera</v>
      </c>
      <c r="H701" t="str">
        <f t="shared" si="10"/>
        <v>Jul</v>
      </c>
      <c r="I701">
        <v>1</v>
      </c>
    </row>
    <row r="702" spans="1:9" x14ac:dyDescent="0.35">
      <c r="A702">
        <v>701</v>
      </c>
      <c r="B702" s="2">
        <v>44032</v>
      </c>
      <c r="C702" t="s">
        <v>7</v>
      </c>
      <c r="D702" t="s">
        <v>148</v>
      </c>
      <c r="E702">
        <v>2</v>
      </c>
      <c r="F702" t="str">
        <f>VLOOKUP($C702,VLOOKUP_spp!$A$2:$D$103,4,1)</f>
        <v>Coleoptera</v>
      </c>
      <c r="G702" t="str">
        <f>VLOOKUP($F702,VLOOKUP_spp!$A$2:$E$102,5,1)</f>
        <v>Coleoptera</v>
      </c>
      <c r="H702" t="str">
        <f t="shared" si="10"/>
        <v>Jul</v>
      </c>
      <c r="I702">
        <v>1</v>
      </c>
    </row>
    <row r="703" spans="1:9" x14ac:dyDescent="0.35">
      <c r="A703">
        <v>702</v>
      </c>
      <c r="B703" s="2">
        <v>44032</v>
      </c>
      <c r="C703" t="s">
        <v>7</v>
      </c>
      <c r="D703" t="s">
        <v>146</v>
      </c>
      <c r="E703">
        <v>1</v>
      </c>
      <c r="F703" t="str">
        <f>VLOOKUP($C703,VLOOKUP_spp!$A$2:$D$103,4,1)</f>
        <v>Coleoptera</v>
      </c>
      <c r="G703" t="str">
        <f>VLOOKUP($F703,VLOOKUP_spp!$A$2:$E$102,5,1)</f>
        <v>Coleoptera</v>
      </c>
      <c r="H703" t="str">
        <f t="shared" si="10"/>
        <v>Jul</v>
      </c>
      <c r="I703">
        <v>1</v>
      </c>
    </row>
    <row r="704" spans="1:9" x14ac:dyDescent="0.35">
      <c r="A704">
        <v>703</v>
      </c>
      <c r="B704" s="2">
        <v>44032</v>
      </c>
      <c r="C704" t="s">
        <v>7</v>
      </c>
      <c r="D704" t="s">
        <v>149</v>
      </c>
      <c r="E704">
        <v>2</v>
      </c>
      <c r="F704" t="str">
        <f>VLOOKUP($C704,VLOOKUP_spp!$A$2:$D$103,4,1)</f>
        <v>Coleoptera</v>
      </c>
      <c r="G704" t="str">
        <f>VLOOKUP($F704,VLOOKUP_spp!$A$2:$E$102,5,1)</f>
        <v>Coleoptera</v>
      </c>
      <c r="H704" t="str">
        <f t="shared" si="10"/>
        <v>Jul</v>
      </c>
      <c r="I704">
        <v>1</v>
      </c>
    </row>
    <row r="705" spans="1:9" x14ac:dyDescent="0.35">
      <c r="A705">
        <v>704</v>
      </c>
      <c r="B705" s="2">
        <v>44032</v>
      </c>
      <c r="C705" t="s">
        <v>7</v>
      </c>
      <c r="D705" t="s">
        <v>147</v>
      </c>
      <c r="E705">
        <v>3</v>
      </c>
      <c r="F705" t="str">
        <f>VLOOKUP($C705,VLOOKUP_spp!$A$2:$D$103,4,1)</f>
        <v>Coleoptera</v>
      </c>
      <c r="G705" t="str">
        <f>VLOOKUP($F705,VLOOKUP_spp!$A$2:$E$102,5,1)</f>
        <v>Coleoptera</v>
      </c>
      <c r="H705" t="str">
        <f t="shared" si="10"/>
        <v>Jul</v>
      </c>
      <c r="I705">
        <v>1</v>
      </c>
    </row>
    <row r="706" spans="1:9" x14ac:dyDescent="0.35">
      <c r="A706">
        <v>705</v>
      </c>
      <c r="B706" s="2">
        <v>44032</v>
      </c>
      <c r="C706" t="s">
        <v>6</v>
      </c>
      <c r="D706" t="s">
        <v>146</v>
      </c>
      <c r="E706">
        <v>2</v>
      </c>
      <c r="F706" t="str">
        <f>VLOOKUP($C706,VLOOKUP_spp!$A$2:$D$103,4,1)</f>
        <v>Diptera</v>
      </c>
      <c r="G706" t="str">
        <f>VLOOKUP($F706,VLOOKUP_spp!$A$2:$E$102,5,1)</f>
        <v>Diptera</v>
      </c>
      <c r="H706" t="str">
        <f t="shared" si="10"/>
        <v>Jul</v>
      </c>
      <c r="I706">
        <v>1</v>
      </c>
    </row>
    <row r="707" spans="1:9" x14ac:dyDescent="0.35">
      <c r="A707">
        <v>706</v>
      </c>
      <c r="B707" s="2">
        <v>44032</v>
      </c>
      <c r="C707" t="s">
        <v>6</v>
      </c>
      <c r="D707" t="s">
        <v>149</v>
      </c>
      <c r="E707">
        <v>3</v>
      </c>
      <c r="F707" t="str">
        <f>VLOOKUP($C707,VLOOKUP_spp!$A$2:$D$103,4,1)</f>
        <v>Diptera</v>
      </c>
      <c r="G707" t="str">
        <f>VLOOKUP($F707,VLOOKUP_spp!$A$2:$E$102,5,1)</f>
        <v>Diptera</v>
      </c>
      <c r="H707" t="str">
        <f t="shared" ref="H707:H770" si="11">TEXT(B707, "mmm")</f>
        <v>Jul</v>
      </c>
      <c r="I707">
        <v>1</v>
      </c>
    </row>
    <row r="708" spans="1:9" x14ac:dyDescent="0.35">
      <c r="A708">
        <v>707</v>
      </c>
      <c r="B708" s="2">
        <v>44032</v>
      </c>
      <c r="C708" t="s">
        <v>6</v>
      </c>
      <c r="D708" t="s">
        <v>147</v>
      </c>
      <c r="E708">
        <v>4</v>
      </c>
      <c r="F708" t="str">
        <f>VLOOKUP($C708,VLOOKUP_spp!$A$2:$D$103,4,1)</f>
        <v>Diptera</v>
      </c>
      <c r="G708" t="str">
        <f>VLOOKUP($F708,VLOOKUP_spp!$A$2:$E$102,5,1)</f>
        <v>Diptera</v>
      </c>
      <c r="H708" t="str">
        <f t="shared" si="11"/>
        <v>Jul</v>
      </c>
      <c r="I708">
        <v>1</v>
      </c>
    </row>
    <row r="709" spans="1:9" x14ac:dyDescent="0.35">
      <c r="A709">
        <v>708</v>
      </c>
      <c r="B709" s="2">
        <v>44032</v>
      </c>
      <c r="C709" t="s">
        <v>101</v>
      </c>
      <c r="D709" t="s">
        <v>146</v>
      </c>
      <c r="E709">
        <v>1</v>
      </c>
      <c r="F709" t="str">
        <f>VLOOKUP($C709,VLOOKUP_spp!$A$2:$D$103,4,1)</f>
        <v>Halictus_tripartitus</v>
      </c>
      <c r="G709" t="str">
        <f>VLOOKUP($F709,VLOOKUP_spp!$A$2:$E$102,5,1)</f>
        <v>Hymenoptera</v>
      </c>
      <c r="H709" t="str">
        <f t="shared" si="11"/>
        <v>Jul</v>
      </c>
      <c r="I709">
        <v>1</v>
      </c>
    </row>
    <row r="710" spans="1:9" x14ac:dyDescent="0.35">
      <c r="A710">
        <v>709</v>
      </c>
      <c r="B710" s="2">
        <v>44032</v>
      </c>
      <c r="C710" t="s">
        <v>103</v>
      </c>
      <c r="D710" t="s">
        <v>146</v>
      </c>
      <c r="E710">
        <v>1</v>
      </c>
      <c r="F710" t="str">
        <f>VLOOKUP($C710,VLOOKUP_spp!$A$2:$D$103,4,1)</f>
        <v>Hylaeus</v>
      </c>
      <c r="G710" t="str">
        <f>VLOOKUP($F710,VLOOKUP_spp!$A$2:$E$102,5,1)</f>
        <v>Hymenoptera</v>
      </c>
      <c r="H710" t="str">
        <f t="shared" si="11"/>
        <v>Jul</v>
      </c>
      <c r="I710">
        <v>1</v>
      </c>
    </row>
    <row r="711" spans="1:9" x14ac:dyDescent="0.35">
      <c r="A711">
        <v>710</v>
      </c>
      <c r="B711" s="2">
        <v>44032</v>
      </c>
      <c r="C711" t="s">
        <v>105</v>
      </c>
      <c r="D711" t="s">
        <v>146</v>
      </c>
      <c r="E711">
        <v>1</v>
      </c>
      <c r="F711" t="str">
        <f>VLOOKUP($C711,VLOOKUP_spp!$A$2:$D$103,4,1)</f>
        <v>Hylaeus_modestus</v>
      </c>
      <c r="G711" t="str">
        <f>VLOOKUP($F711,VLOOKUP_spp!$A$2:$E$102,5,1)</f>
        <v>Hymenoptera</v>
      </c>
      <c r="H711" t="str">
        <f t="shared" si="11"/>
        <v>Jul</v>
      </c>
      <c r="I711">
        <v>1</v>
      </c>
    </row>
    <row r="712" spans="1:9" x14ac:dyDescent="0.35">
      <c r="A712">
        <v>711</v>
      </c>
      <c r="B712" s="2">
        <v>44032</v>
      </c>
      <c r="C712" t="s">
        <v>106</v>
      </c>
      <c r="D712" t="s">
        <v>146</v>
      </c>
      <c r="E712">
        <v>2</v>
      </c>
      <c r="F712" t="str">
        <f>VLOOKUP($C712,VLOOKUP_spp!$A$2:$D$103,4,1)</f>
        <v>Lasioglossum</v>
      </c>
      <c r="G712" t="str">
        <f>VLOOKUP($F712,VLOOKUP_spp!$A$2:$E$102,5,1)</f>
        <v>Hymenoptera</v>
      </c>
      <c r="H712" t="str">
        <f t="shared" si="11"/>
        <v>Jul</v>
      </c>
      <c r="I712">
        <v>1</v>
      </c>
    </row>
    <row r="713" spans="1:9" x14ac:dyDescent="0.35">
      <c r="A713">
        <v>712</v>
      </c>
      <c r="B713" s="2">
        <v>44032</v>
      </c>
      <c r="C713" t="s">
        <v>108</v>
      </c>
      <c r="D713" t="s">
        <v>146</v>
      </c>
      <c r="E713">
        <v>1</v>
      </c>
      <c r="F713" t="str">
        <f>VLOOKUP($C713,VLOOKUP_spp!$A$2:$D$103,4,1)</f>
        <v>Macropis</v>
      </c>
      <c r="G713" t="str">
        <f>VLOOKUP($F713,VLOOKUP_spp!$A$2:$E$102,5,1)</f>
        <v>Hymenoptera</v>
      </c>
      <c r="H713" t="str">
        <f t="shared" si="11"/>
        <v>Jul</v>
      </c>
      <c r="I713">
        <v>1</v>
      </c>
    </row>
    <row r="714" spans="1:9" x14ac:dyDescent="0.35">
      <c r="A714">
        <v>713</v>
      </c>
      <c r="B714" s="2">
        <v>44032</v>
      </c>
      <c r="C714" t="s">
        <v>124</v>
      </c>
      <c r="D714" t="s">
        <v>146</v>
      </c>
      <c r="E714">
        <v>1</v>
      </c>
      <c r="F714" t="str">
        <f>VLOOKUP($C714,VLOOKUP_spp!$A$2:$D$103,4,1)</f>
        <v>Sphecodes</v>
      </c>
      <c r="G714" t="str">
        <f>VLOOKUP($F714,VLOOKUP_spp!$A$2:$E$102,5,1)</f>
        <v>Hymenoptera</v>
      </c>
      <c r="H714" t="str">
        <f t="shared" si="11"/>
        <v>Jul</v>
      </c>
      <c r="I714">
        <v>1</v>
      </c>
    </row>
    <row r="715" spans="1:9" x14ac:dyDescent="0.35">
      <c r="A715">
        <v>714</v>
      </c>
      <c r="B715" s="2">
        <v>44032</v>
      </c>
      <c r="C715" t="s">
        <v>126</v>
      </c>
      <c r="D715" t="s">
        <v>146</v>
      </c>
      <c r="E715">
        <v>3</v>
      </c>
      <c r="F715" t="str">
        <f>VLOOKUP($C715,VLOOKUP_spp!$A$2:$D$103,4,1)</f>
        <v>Syrphidae</v>
      </c>
      <c r="G715" t="str">
        <f>VLOOKUP($F715,VLOOKUP_spp!$A$2:$E$102,5,1)</f>
        <v>Diptera</v>
      </c>
      <c r="H715" t="str">
        <f t="shared" si="11"/>
        <v>Jul</v>
      </c>
      <c r="I715">
        <v>1</v>
      </c>
    </row>
    <row r="716" spans="1:9" x14ac:dyDescent="0.35">
      <c r="A716">
        <v>715</v>
      </c>
      <c r="B716" s="2">
        <v>44032</v>
      </c>
      <c r="C716" t="s">
        <v>128</v>
      </c>
      <c r="D716" t="s">
        <v>146</v>
      </c>
      <c r="E716">
        <v>16</v>
      </c>
      <c r="F716" t="str">
        <f>VLOOKUP($C716,VLOOKUP_spp!$A$2:$D$103,4,1)</f>
        <v>Wasp</v>
      </c>
      <c r="G716" t="str">
        <f>VLOOKUP($F716,VLOOKUP_spp!$A$2:$E$102,5,1)</f>
        <v>Hymenoptera</v>
      </c>
      <c r="H716" t="str">
        <f t="shared" si="11"/>
        <v>Jul</v>
      </c>
      <c r="I716">
        <v>1</v>
      </c>
    </row>
    <row r="717" spans="1:9" x14ac:dyDescent="0.35">
      <c r="A717">
        <v>716</v>
      </c>
      <c r="B717" s="2">
        <v>44032</v>
      </c>
      <c r="C717" t="s">
        <v>128</v>
      </c>
      <c r="D717" t="s">
        <v>149</v>
      </c>
      <c r="E717">
        <v>4</v>
      </c>
      <c r="F717" t="str">
        <f>VLOOKUP($C717,VLOOKUP_spp!$A$2:$D$103,4,1)</f>
        <v>Wasp</v>
      </c>
      <c r="G717" t="str">
        <f>VLOOKUP($F717,VLOOKUP_spp!$A$2:$E$102,5,1)</f>
        <v>Hymenoptera</v>
      </c>
      <c r="H717" t="str">
        <f t="shared" si="11"/>
        <v>Jul</v>
      </c>
      <c r="I717">
        <v>1</v>
      </c>
    </row>
    <row r="718" spans="1:9" x14ac:dyDescent="0.35">
      <c r="A718">
        <v>717</v>
      </c>
      <c r="B718" s="2">
        <v>44032</v>
      </c>
      <c r="C718" t="s">
        <v>128</v>
      </c>
      <c r="D718" t="s">
        <v>147</v>
      </c>
      <c r="E718">
        <v>1</v>
      </c>
      <c r="F718" t="str">
        <f>VLOOKUP($C718,VLOOKUP_spp!$A$2:$D$103,4,1)</f>
        <v>Wasp</v>
      </c>
      <c r="G718" t="str">
        <f>VLOOKUP($F718,VLOOKUP_spp!$A$2:$E$102,5,1)</f>
        <v>Hymenoptera</v>
      </c>
      <c r="H718" t="str">
        <f t="shared" si="11"/>
        <v>Jul</v>
      </c>
      <c r="I718">
        <v>1</v>
      </c>
    </row>
    <row r="719" spans="1:9" x14ac:dyDescent="0.35">
      <c r="A719">
        <v>718</v>
      </c>
      <c r="B719" s="2">
        <v>44039</v>
      </c>
      <c r="C719" t="s">
        <v>50</v>
      </c>
      <c r="D719" t="s">
        <v>147</v>
      </c>
      <c r="E719">
        <v>1</v>
      </c>
      <c r="F719" t="str">
        <f>VLOOKUP($C719,VLOOKUP_spp!$A$2:$D$103,4,1)</f>
        <v>Apis_mellifera</v>
      </c>
      <c r="G719" t="str">
        <f>VLOOKUP($F719,VLOOKUP_spp!$A$2:$E$102,5,1)</f>
        <v>Hymenoptera</v>
      </c>
      <c r="H719" t="str">
        <f t="shared" si="11"/>
        <v>Jul</v>
      </c>
      <c r="I719">
        <v>1</v>
      </c>
    </row>
    <row r="720" spans="1:9" x14ac:dyDescent="0.35">
      <c r="A720">
        <v>719</v>
      </c>
      <c r="B720" s="2">
        <v>44039</v>
      </c>
      <c r="C720" t="s">
        <v>50</v>
      </c>
      <c r="D720" t="s">
        <v>151</v>
      </c>
      <c r="E720">
        <v>1</v>
      </c>
      <c r="F720" t="str">
        <f>VLOOKUP($C720,VLOOKUP_spp!$A$2:$D$103,4,1)</f>
        <v>Apis_mellifera</v>
      </c>
      <c r="G720" t="str">
        <f>VLOOKUP($F720,VLOOKUP_spp!$A$2:$E$102,5,1)</f>
        <v>Hymenoptera</v>
      </c>
      <c r="H720" t="str">
        <f t="shared" si="11"/>
        <v>Jul</v>
      </c>
      <c r="I720">
        <v>1</v>
      </c>
    </row>
    <row r="721" spans="1:9" x14ac:dyDescent="0.35">
      <c r="A721">
        <v>720</v>
      </c>
      <c r="B721" s="2">
        <v>44039</v>
      </c>
      <c r="C721" t="s">
        <v>7</v>
      </c>
      <c r="D721" t="s">
        <v>147</v>
      </c>
      <c r="E721">
        <v>1</v>
      </c>
      <c r="F721" t="str">
        <f>VLOOKUP($C721,VLOOKUP_spp!$A$2:$D$103,4,1)</f>
        <v>Coleoptera</v>
      </c>
      <c r="G721" t="str">
        <f>VLOOKUP($F721,VLOOKUP_spp!$A$2:$E$102,5,1)</f>
        <v>Coleoptera</v>
      </c>
      <c r="H721" t="str">
        <f t="shared" si="11"/>
        <v>Jul</v>
      </c>
      <c r="I721">
        <v>1</v>
      </c>
    </row>
    <row r="722" spans="1:9" x14ac:dyDescent="0.35">
      <c r="A722">
        <v>721</v>
      </c>
      <c r="B722" s="2">
        <v>44039</v>
      </c>
      <c r="C722" t="s">
        <v>6</v>
      </c>
      <c r="D722" t="s">
        <v>147</v>
      </c>
      <c r="E722">
        <v>7</v>
      </c>
      <c r="F722" t="str">
        <f>VLOOKUP($C722,VLOOKUP_spp!$A$2:$D$103,4,1)</f>
        <v>Diptera</v>
      </c>
      <c r="G722" t="str">
        <f>VLOOKUP($F722,VLOOKUP_spp!$A$2:$E$102,5,1)</f>
        <v>Diptera</v>
      </c>
      <c r="H722" t="str">
        <f t="shared" si="11"/>
        <v>Jul</v>
      </c>
      <c r="I722">
        <v>1</v>
      </c>
    </row>
    <row r="723" spans="1:9" x14ac:dyDescent="0.35">
      <c r="A723">
        <v>722</v>
      </c>
      <c r="B723" s="2">
        <v>44039</v>
      </c>
      <c r="C723" t="s">
        <v>101</v>
      </c>
      <c r="D723" t="s">
        <v>146</v>
      </c>
      <c r="E723">
        <v>2</v>
      </c>
      <c r="F723" t="str">
        <f>VLOOKUP($C723,VLOOKUP_spp!$A$2:$D$103,4,1)</f>
        <v>Halictus_tripartitus</v>
      </c>
      <c r="G723" t="str">
        <f>VLOOKUP($F723,VLOOKUP_spp!$A$2:$E$102,5,1)</f>
        <v>Hymenoptera</v>
      </c>
      <c r="H723" t="str">
        <f t="shared" si="11"/>
        <v>Jul</v>
      </c>
      <c r="I723">
        <v>1</v>
      </c>
    </row>
    <row r="724" spans="1:9" x14ac:dyDescent="0.35">
      <c r="A724">
        <v>723</v>
      </c>
      <c r="B724" s="2">
        <v>44039</v>
      </c>
      <c r="C724" t="s">
        <v>101</v>
      </c>
      <c r="D724" t="s">
        <v>149</v>
      </c>
      <c r="E724">
        <v>2</v>
      </c>
      <c r="F724" t="str">
        <f>VLOOKUP($C724,VLOOKUP_spp!$A$2:$D$103,4,1)</f>
        <v>Halictus_tripartitus</v>
      </c>
      <c r="G724" t="str">
        <f>VLOOKUP($F724,VLOOKUP_spp!$A$2:$E$102,5,1)</f>
        <v>Hymenoptera</v>
      </c>
      <c r="H724" t="str">
        <f t="shared" si="11"/>
        <v>Jul</v>
      </c>
      <c r="I724">
        <v>1</v>
      </c>
    </row>
    <row r="725" spans="1:9" x14ac:dyDescent="0.35">
      <c r="A725">
        <v>724</v>
      </c>
      <c r="B725" s="2">
        <v>44039</v>
      </c>
      <c r="C725" t="s">
        <v>111</v>
      </c>
      <c r="D725" t="s">
        <v>147</v>
      </c>
      <c r="E725">
        <v>1</v>
      </c>
      <c r="F725">
        <f>VLOOKUP($C725,VLOOKUP_spp!$A$2:$D$103,4,1)</f>
        <v>0</v>
      </c>
      <c r="G725" t="e">
        <f>VLOOKUP($F725,VLOOKUP_spp!$A$2:$E$102,5,1)</f>
        <v>#N/A</v>
      </c>
      <c r="H725" t="str">
        <f t="shared" si="11"/>
        <v>Jul</v>
      </c>
      <c r="I725">
        <v>1</v>
      </c>
    </row>
    <row r="726" spans="1:9" x14ac:dyDescent="0.35">
      <c r="A726">
        <v>725</v>
      </c>
      <c r="B726" s="2">
        <v>44039</v>
      </c>
      <c r="C726" t="s">
        <v>124</v>
      </c>
      <c r="D726" t="s">
        <v>149</v>
      </c>
      <c r="E726">
        <v>1</v>
      </c>
      <c r="F726" t="str">
        <f>VLOOKUP($C726,VLOOKUP_spp!$A$2:$D$103,4,1)</f>
        <v>Sphecodes</v>
      </c>
      <c r="G726" t="str">
        <f>VLOOKUP($F726,VLOOKUP_spp!$A$2:$E$102,5,1)</f>
        <v>Hymenoptera</v>
      </c>
      <c r="H726" t="str">
        <f t="shared" si="11"/>
        <v>Jul</v>
      </c>
      <c r="I726">
        <v>1</v>
      </c>
    </row>
    <row r="727" spans="1:9" x14ac:dyDescent="0.35">
      <c r="A727">
        <v>726</v>
      </c>
      <c r="B727" s="2">
        <v>44039</v>
      </c>
      <c r="C727" t="s">
        <v>126</v>
      </c>
      <c r="D727" t="s">
        <v>149</v>
      </c>
      <c r="E727">
        <v>1</v>
      </c>
      <c r="F727" t="str">
        <f>VLOOKUP($C727,VLOOKUP_spp!$A$2:$D$103,4,1)</f>
        <v>Syrphidae</v>
      </c>
      <c r="G727" t="str">
        <f>VLOOKUP($F727,VLOOKUP_spp!$A$2:$E$102,5,1)</f>
        <v>Diptera</v>
      </c>
      <c r="H727" t="str">
        <f t="shared" si="11"/>
        <v>Jul</v>
      </c>
      <c r="I727">
        <v>1</v>
      </c>
    </row>
    <row r="728" spans="1:9" x14ac:dyDescent="0.35">
      <c r="A728">
        <v>727</v>
      </c>
      <c r="B728" s="2">
        <v>44039</v>
      </c>
      <c r="C728" t="s">
        <v>126</v>
      </c>
      <c r="D728" t="s">
        <v>147</v>
      </c>
      <c r="E728">
        <v>2</v>
      </c>
      <c r="F728" t="str">
        <f>VLOOKUP($C728,VLOOKUP_spp!$A$2:$D$103,4,1)</f>
        <v>Syrphidae</v>
      </c>
      <c r="G728" t="str">
        <f>VLOOKUP($F728,VLOOKUP_spp!$A$2:$E$102,5,1)</f>
        <v>Diptera</v>
      </c>
      <c r="H728" t="str">
        <f t="shared" si="11"/>
        <v>Jul</v>
      </c>
      <c r="I728">
        <v>1</v>
      </c>
    </row>
    <row r="729" spans="1:9" x14ac:dyDescent="0.35">
      <c r="A729">
        <v>728</v>
      </c>
      <c r="B729" s="2">
        <v>44039</v>
      </c>
      <c r="C729" t="s">
        <v>128</v>
      </c>
      <c r="D729" t="s">
        <v>146</v>
      </c>
      <c r="E729">
        <v>1</v>
      </c>
      <c r="F729" t="str">
        <f>VLOOKUP($C729,VLOOKUP_spp!$A$2:$D$103,4,1)</f>
        <v>Wasp</v>
      </c>
      <c r="G729" t="str">
        <f>VLOOKUP($F729,VLOOKUP_spp!$A$2:$E$102,5,1)</f>
        <v>Hymenoptera</v>
      </c>
      <c r="H729" t="str">
        <f t="shared" si="11"/>
        <v>Jul</v>
      </c>
      <c r="I729">
        <v>1</v>
      </c>
    </row>
    <row r="730" spans="1:9" x14ac:dyDescent="0.35">
      <c r="A730">
        <v>729</v>
      </c>
      <c r="B730" s="2">
        <v>44039</v>
      </c>
      <c r="C730" t="s">
        <v>128</v>
      </c>
      <c r="D730" t="s">
        <v>147</v>
      </c>
      <c r="E730">
        <v>33</v>
      </c>
      <c r="F730" t="str">
        <f>VLOOKUP($C730,VLOOKUP_spp!$A$2:$D$103,4,1)</f>
        <v>Wasp</v>
      </c>
      <c r="G730" t="str">
        <f>VLOOKUP($F730,VLOOKUP_spp!$A$2:$E$102,5,1)</f>
        <v>Hymenoptera</v>
      </c>
      <c r="H730" t="str">
        <f t="shared" si="11"/>
        <v>Jul</v>
      </c>
      <c r="I730">
        <v>1</v>
      </c>
    </row>
    <row r="731" spans="1:9" x14ac:dyDescent="0.35">
      <c r="A731">
        <v>730</v>
      </c>
      <c r="B731" s="2">
        <v>44039</v>
      </c>
      <c r="C731" t="s">
        <v>128</v>
      </c>
      <c r="D731" t="s">
        <v>151</v>
      </c>
      <c r="E731">
        <v>1</v>
      </c>
      <c r="F731" t="str">
        <f>VLOOKUP($C731,VLOOKUP_spp!$A$2:$D$103,4,1)</f>
        <v>Wasp</v>
      </c>
      <c r="G731" t="str">
        <f>VLOOKUP($F731,VLOOKUP_spp!$A$2:$E$102,5,1)</f>
        <v>Hymenoptera</v>
      </c>
      <c r="H731" t="str">
        <f t="shared" si="11"/>
        <v>Jul</v>
      </c>
      <c r="I731">
        <v>1</v>
      </c>
    </row>
    <row r="732" spans="1:9" x14ac:dyDescent="0.35">
      <c r="A732">
        <v>731</v>
      </c>
      <c r="B732" s="2">
        <v>44062</v>
      </c>
      <c r="C732" t="s">
        <v>50</v>
      </c>
      <c r="D732" t="s">
        <v>157</v>
      </c>
      <c r="E732">
        <v>3</v>
      </c>
      <c r="F732" t="str">
        <f>VLOOKUP($C732,VLOOKUP_spp!$A$2:$D$103,4,1)</f>
        <v>Apis_mellifera</v>
      </c>
      <c r="G732" t="str">
        <f>VLOOKUP($F732,VLOOKUP_spp!$A$2:$E$102,5,1)</f>
        <v>Hymenoptera</v>
      </c>
      <c r="H732" t="str">
        <f t="shared" si="11"/>
        <v>Aug</v>
      </c>
      <c r="I732">
        <v>1</v>
      </c>
    </row>
    <row r="733" spans="1:9" x14ac:dyDescent="0.35">
      <c r="A733">
        <v>732</v>
      </c>
      <c r="B733" s="2">
        <v>44062</v>
      </c>
      <c r="C733" t="s">
        <v>50</v>
      </c>
      <c r="D733" t="s">
        <v>154</v>
      </c>
      <c r="E733">
        <v>2</v>
      </c>
      <c r="F733" t="str">
        <f>VLOOKUP($C733,VLOOKUP_spp!$A$2:$D$103,4,1)</f>
        <v>Apis_mellifera</v>
      </c>
      <c r="G733" t="str">
        <f>VLOOKUP($F733,VLOOKUP_spp!$A$2:$E$102,5,1)</f>
        <v>Hymenoptera</v>
      </c>
      <c r="H733" t="str">
        <f t="shared" si="11"/>
        <v>Aug</v>
      </c>
      <c r="I733">
        <v>1</v>
      </c>
    </row>
    <row r="734" spans="1:9" x14ac:dyDescent="0.35">
      <c r="A734">
        <v>733</v>
      </c>
      <c r="B734" s="2">
        <v>44062</v>
      </c>
      <c r="C734" t="s">
        <v>50</v>
      </c>
      <c r="D734" t="s">
        <v>172</v>
      </c>
      <c r="E734">
        <v>1</v>
      </c>
      <c r="F734" t="str">
        <f>VLOOKUP($C734,VLOOKUP_spp!$A$2:$D$103,4,1)</f>
        <v>Apis_mellifera</v>
      </c>
      <c r="G734" t="str">
        <f>VLOOKUP($F734,VLOOKUP_spp!$A$2:$E$102,5,1)</f>
        <v>Hymenoptera</v>
      </c>
      <c r="H734" t="str">
        <f t="shared" si="11"/>
        <v>Aug</v>
      </c>
      <c r="I734">
        <v>1</v>
      </c>
    </row>
    <row r="735" spans="1:9" x14ac:dyDescent="0.35">
      <c r="A735">
        <v>734</v>
      </c>
      <c r="B735" s="2">
        <v>44062</v>
      </c>
      <c r="C735" t="s">
        <v>50</v>
      </c>
      <c r="D735" t="s">
        <v>163</v>
      </c>
      <c r="E735">
        <v>2</v>
      </c>
      <c r="F735" t="str">
        <f>VLOOKUP($C735,VLOOKUP_spp!$A$2:$D$103,4,1)</f>
        <v>Apis_mellifera</v>
      </c>
      <c r="G735" t="str">
        <f>VLOOKUP($F735,VLOOKUP_spp!$A$2:$E$102,5,1)</f>
        <v>Hymenoptera</v>
      </c>
      <c r="H735" t="str">
        <f t="shared" si="11"/>
        <v>Aug</v>
      </c>
      <c r="I735">
        <v>1</v>
      </c>
    </row>
    <row r="736" spans="1:9" x14ac:dyDescent="0.35">
      <c r="A736">
        <v>735</v>
      </c>
      <c r="B736" s="2">
        <v>44062</v>
      </c>
      <c r="C736" t="s">
        <v>50</v>
      </c>
      <c r="D736" t="s">
        <v>150</v>
      </c>
      <c r="E736">
        <v>3</v>
      </c>
      <c r="F736" t="str">
        <f>VLOOKUP($C736,VLOOKUP_spp!$A$2:$D$103,4,1)</f>
        <v>Apis_mellifera</v>
      </c>
      <c r="G736" t="str">
        <f>VLOOKUP($F736,VLOOKUP_spp!$A$2:$E$102,5,1)</f>
        <v>Hymenoptera</v>
      </c>
      <c r="H736" t="str">
        <f t="shared" si="11"/>
        <v>Aug</v>
      </c>
      <c r="I736">
        <v>1</v>
      </c>
    </row>
    <row r="737" spans="1:9" x14ac:dyDescent="0.35">
      <c r="A737">
        <v>736</v>
      </c>
      <c r="B737" s="2">
        <v>44062</v>
      </c>
      <c r="C737" t="s">
        <v>50</v>
      </c>
      <c r="D737" t="s">
        <v>159</v>
      </c>
      <c r="E737">
        <v>4</v>
      </c>
      <c r="F737" t="str">
        <f>VLOOKUP($C737,VLOOKUP_spp!$A$2:$D$103,4,1)</f>
        <v>Apis_mellifera</v>
      </c>
      <c r="G737" t="str">
        <f>VLOOKUP($F737,VLOOKUP_spp!$A$2:$E$102,5,1)</f>
        <v>Hymenoptera</v>
      </c>
      <c r="H737" t="str">
        <f t="shared" si="11"/>
        <v>Aug</v>
      </c>
      <c r="I737">
        <v>1</v>
      </c>
    </row>
    <row r="738" spans="1:9" x14ac:dyDescent="0.35">
      <c r="A738">
        <v>737</v>
      </c>
      <c r="B738" s="2">
        <v>44062</v>
      </c>
      <c r="C738" t="s">
        <v>50</v>
      </c>
      <c r="D738" t="s">
        <v>160</v>
      </c>
      <c r="E738">
        <v>8</v>
      </c>
      <c r="F738" t="str">
        <f>VLOOKUP($C738,VLOOKUP_spp!$A$2:$D$103,4,1)</f>
        <v>Apis_mellifera</v>
      </c>
      <c r="G738" t="str">
        <f>VLOOKUP($F738,VLOOKUP_spp!$A$2:$E$102,5,1)</f>
        <v>Hymenoptera</v>
      </c>
      <c r="H738" t="str">
        <f t="shared" si="11"/>
        <v>Aug</v>
      </c>
      <c r="I738">
        <v>1</v>
      </c>
    </row>
    <row r="739" spans="1:9" x14ac:dyDescent="0.35">
      <c r="A739">
        <v>738</v>
      </c>
      <c r="B739" s="2">
        <v>44062</v>
      </c>
      <c r="C739" t="s">
        <v>50</v>
      </c>
      <c r="D739" t="s">
        <v>170</v>
      </c>
      <c r="E739">
        <v>2</v>
      </c>
      <c r="F739" t="str">
        <f>VLOOKUP($C739,VLOOKUP_spp!$A$2:$D$103,4,1)</f>
        <v>Apis_mellifera</v>
      </c>
      <c r="G739" t="str">
        <f>VLOOKUP($F739,VLOOKUP_spp!$A$2:$E$102,5,1)</f>
        <v>Hymenoptera</v>
      </c>
      <c r="H739" t="str">
        <f t="shared" si="11"/>
        <v>Aug</v>
      </c>
      <c r="I739">
        <v>1</v>
      </c>
    </row>
    <row r="740" spans="1:9" x14ac:dyDescent="0.35">
      <c r="A740">
        <v>739</v>
      </c>
      <c r="B740" s="2">
        <v>44062</v>
      </c>
      <c r="C740" t="s">
        <v>50</v>
      </c>
      <c r="D740" t="s">
        <v>161</v>
      </c>
      <c r="E740">
        <v>3</v>
      </c>
      <c r="F740" t="str">
        <f>VLOOKUP($C740,VLOOKUP_spp!$A$2:$D$103,4,1)</f>
        <v>Apis_mellifera</v>
      </c>
      <c r="G740" t="str">
        <f>VLOOKUP($F740,VLOOKUP_spp!$A$2:$E$102,5,1)</f>
        <v>Hymenoptera</v>
      </c>
      <c r="H740" t="str">
        <f t="shared" si="11"/>
        <v>Aug</v>
      </c>
      <c r="I740">
        <v>1</v>
      </c>
    </row>
    <row r="741" spans="1:9" x14ac:dyDescent="0.35">
      <c r="A741">
        <v>740</v>
      </c>
      <c r="B741" s="2">
        <v>44062</v>
      </c>
      <c r="C741" t="s">
        <v>50</v>
      </c>
      <c r="D741" t="s">
        <v>162</v>
      </c>
      <c r="E741">
        <v>5</v>
      </c>
      <c r="F741" t="str">
        <f>VLOOKUP($C741,VLOOKUP_spp!$A$2:$D$103,4,1)</f>
        <v>Apis_mellifera</v>
      </c>
      <c r="G741" t="str">
        <f>VLOOKUP($F741,VLOOKUP_spp!$A$2:$E$102,5,1)</f>
        <v>Hymenoptera</v>
      </c>
      <c r="H741" t="str">
        <f t="shared" si="11"/>
        <v>Aug</v>
      </c>
      <c r="I741">
        <v>1</v>
      </c>
    </row>
    <row r="742" spans="1:9" x14ac:dyDescent="0.35">
      <c r="A742">
        <v>741</v>
      </c>
      <c r="B742" s="2">
        <v>44062</v>
      </c>
      <c r="C742" t="s">
        <v>50</v>
      </c>
      <c r="D742" t="s">
        <v>175</v>
      </c>
      <c r="E742">
        <v>1</v>
      </c>
      <c r="F742" t="str">
        <f>VLOOKUP($C742,VLOOKUP_spp!$A$2:$D$103,4,1)</f>
        <v>Apis_mellifera</v>
      </c>
      <c r="G742" t="str">
        <f>VLOOKUP($F742,VLOOKUP_spp!$A$2:$E$102,5,1)</f>
        <v>Hymenoptera</v>
      </c>
      <c r="H742" t="str">
        <f t="shared" si="11"/>
        <v>Aug</v>
      </c>
      <c r="I742">
        <v>1</v>
      </c>
    </row>
    <row r="743" spans="1:9" x14ac:dyDescent="0.35">
      <c r="A743">
        <v>742</v>
      </c>
      <c r="B743" s="2">
        <v>44062</v>
      </c>
      <c r="C743" t="s">
        <v>50</v>
      </c>
      <c r="D743" t="s">
        <v>147</v>
      </c>
      <c r="E743">
        <v>16</v>
      </c>
      <c r="F743" t="str">
        <f>VLOOKUP($C743,VLOOKUP_spp!$A$2:$D$103,4,1)</f>
        <v>Apis_mellifera</v>
      </c>
      <c r="G743" t="str">
        <f>VLOOKUP($F743,VLOOKUP_spp!$A$2:$E$102,5,1)</f>
        <v>Hymenoptera</v>
      </c>
      <c r="H743" t="str">
        <f t="shared" si="11"/>
        <v>Aug</v>
      </c>
      <c r="I743">
        <v>1</v>
      </c>
    </row>
    <row r="744" spans="1:9" x14ac:dyDescent="0.35">
      <c r="A744">
        <v>743</v>
      </c>
      <c r="B744" s="2">
        <v>44062</v>
      </c>
      <c r="C744" t="s">
        <v>50</v>
      </c>
      <c r="D744" t="s">
        <v>164</v>
      </c>
      <c r="E744">
        <v>1</v>
      </c>
      <c r="F744" t="str">
        <f>VLOOKUP($C744,VLOOKUP_spp!$A$2:$D$103,4,1)</f>
        <v>Apis_mellifera</v>
      </c>
      <c r="G744" t="str">
        <f>VLOOKUP($F744,VLOOKUP_spp!$A$2:$E$102,5,1)</f>
        <v>Hymenoptera</v>
      </c>
      <c r="H744" t="str">
        <f t="shared" si="11"/>
        <v>Aug</v>
      </c>
      <c r="I744">
        <v>1</v>
      </c>
    </row>
    <row r="745" spans="1:9" x14ac:dyDescent="0.35">
      <c r="A745">
        <v>744</v>
      </c>
      <c r="B745" s="2">
        <v>44062</v>
      </c>
      <c r="C745" t="s">
        <v>50</v>
      </c>
      <c r="D745" t="s">
        <v>155</v>
      </c>
      <c r="E745">
        <v>1</v>
      </c>
      <c r="F745" t="str">
        <f>VLOOKUP($C745,VLOOKUP_spp!$A$2:$D$103,4,1)</f>
        <v>Apis_mellifera</v>
      </c>
      <c r="G745" t="str">
        <f>VLOOKUP($F745,VLOOKUP_spp!$A$2:$E$102,5,1)</f>
        <v>Hymenoptera</v>
      </c>
      <c r="H745" t="str">
        <f t="shared" si="11"/>
        <v>Aug</v>
      </c>
      <c r="I745">
        <v>1</v>
      </c>
    </row>
    <row r="746" spans="1:9" x14ac:dyDescent="0.35">
      <c r="A746">
        <v>745</v>
      </c>
      <c r="B746" s="2">
        <v>44062</v>
      </c>
      <c r="C746" t="s">
        <v>67</v>
      </c>
      <c r="D746" t="s">
        <v>157</v>
      </c>
      <c r="E746">
        <v>2</v>
      </c>
      <c r="F746" t="str">
        <f>VLOOKUP($C746,VLOOKUP_spp!$A$2:$D$103,4,1)</f>
        <v>Bombus_impatiens</v>
      </c>
      <c r="G746" t="str">
        <f>VLOOKUP($F746,VLOOKUP_spp!$A$2:$E$102,5,1)</f>
        <v>Hymenoptera</v>
      </c>
      <c r="H746" t="str">
        <f t="shared" si="11"/>
        <v>Aug</v>
      </c>
      <c r="I746">
        <v>1</v>
      </c>
    </row>
    <row r="747" spans="1:9" x14ac:dyDescent="0.35">
      <c r="A747">
        <v>746</v>
      </c>
      <c r="B747" s="2">
        <v>44062</v>
      </c>
      <c r="C747" t="s">
        <v>67</v>
      </c>
      <c r="D747" t="s">
        <v>164</v>
      </c>
      <c r="E747">
        <v>3</v>
      </c>
      <c r="F747" t="str">
        <f>VLOOKUP($C747,VLOOKUP_spp!$A$2:$D$103,4,1)</f>
        <v>Bombus_impatiens</v>
      </c>
      <c r="G747" t="str">
        <f>VLOOKUP($F747,VLOOKUP_spp!$A$2:$E$102,5,1)</f>
        <v>Hymenoptera</v>
      </c>
      <c r="H747" t="str">
        <f t="shared" si="11"/>
        <v>Aug</v>
      </c>
      <c r="I747">
        <v>1</v>
      </c>
    </row>
    <row r="748" spans="1:9" x14ac:dyDescent="0.35">
      <c r="A748">
        <v>747</v>
      </c>
      <c r="B748" s="2">
        <v>44062</v>
      </c>
      <c r="C748" t="s">
        <v>73</v>
      </c>
      <c r="D748" t="s">
        <v>147</v>
      </c>
      <c r="E748">
        <v>1</v>
      </c>
      <c r="F748" t="str">
        <f>VLOOKUP($C748,VLOOKUP_spp!$A$2:$D$103,4,1)</f>
        <v>Bombus_pensylvanicus</v>
      </c>
      <c r="G748" t="str">
        <f>VLOOKUP($F748,VLOOKUP_spp!$A$2:$E$102,5,1)</f>
        <v>Hymenoptera</v>
      </c>
      <c r="H748" t="str">
        <f t="shared" si="11"/>
        <v>Aug</v>
      </c>
      <c r="I748">
        <v>1</v>
      </c>
    </row>
    <row r="749" spans="1:9" x14ac:dyDescent="0.35">
      <c r="A749">
        <v>748</v>
      </c>
      <c r="B749" s="2">
        <v>44062</v>
      </c>
      <c r="C749" t="s">
        <v>85</v>
      </c>
      <c r="D749" t="s">
        <v>157</v>
      </c>
      <c r="E749">
        <v>1</v>
      </c>
      <c r="F749" t="str">
        <f>VLOOKUP($C749,VLOOKUP_spp!$A$2:$D$103,4,1)</f>
        <v>Ceratina</v>
      </c>
      <c r="G749" t="str">
        <f>VLOOKUP($F749,VLOOKUP_spp!$A$2:$E$102,5,1)</f>
        <v>Hymenoptera</v>
      </c>
      <c r="H749" t="str">
        <f t="shared" si="11"/>
        <v>Aug</v>
      </c>
      <c r="I749">
        <v>1</v>
      </c>
    </row>
    <row r="750" spans="1:9" x14ac:dyDescent="0.35">
      <c r="A750">
        <v>749</v>
      </c>
      <c r="B750" s="2">
        <v>44062</v>
      </c>
      <c r="C750" t="s">
        <v>86</v>
      </c>
      <c r="D750" t="s">
        <v>147</v>
      </c>
      <c r="E750">
        <v>1</v>
      </c>
      <c r="F750">
        <f>VLOOKUP($C750,VLOOKUP_spp!$A$2:$D$103,4,1)</f>
        <v>0</v>
      </c>
      <c r="G750" t="e">
        <f>VLOOKUP($F750,VLOOKUP_spp!$A$2:$E$102,5,1)</f>
        <v>#N/A</v>
      </c>
      <c r="H750" t="str">
        <f t="shared" si="11"/>
        <v>Aug</v>
      </c>
      <c r="I750">
        <v>1</v>
      </c>
    </row>
    <row r="751" spans="1:9" x14ac:dyDescent="0.35">
      <c r="A751">
        <v>750</v>
      </c>
      <c r="B751" s="2">
        <v>44062</v>
      </c>
      <c r="C751" t="s">
        <v>7</v>
      </c>
      <c r="D751" t="s">
        <v>157</v>
      </c>
      <c r="E751">
        <v>1</v>
      </c>
      <c r="F751" t="str">
        <f>VLOOKUP($C751,VLOOKUP_spp!$A$2:$D$103,4,1)</f>
        <v>Coleoptera</v>
      </c>
      <c r="G751" t="str">
        <f>VLOOKUP($F751,VLOOKUP_spp!$A$2:$E$102,5,1)</f>
        <v>Coleoptera</v>
      </c>
      <c r="H751" t="str">
        <f t="shared" si="11"/>
        <v>Aug</v>
      </c>
      <c r="I751">
        <v>1</v>
      </c>
    </row>
    <row r="752" spans="1:9" x14ac:dyDescent="0.35">
      <c r="A752">
        <v>751</v>
      </c>
      <c r="B752" s="2">
        <v>44062</v>
      </c>
      <c r="C752" t="s">
        <v>7</v>
      </c>
      <c r="D752" t="s">
        <v>150</v>
      </c>
      <c r="E752">
        <v>1</v>
      </c>
      <c r="F752" t="str">
        <f>VLOOKUP($C752,VLOOKUP_spp!$A$2:$D$103,4,1)</f>
        <v>Coleoptera</v>
      </c>
      <c r="G752" t="str">
        <f>VLOOKUP($F752,VLOOKUP_spp!$A$2:$E$102,5,1)</f>
        <v>Coleoptera</v>
      </c>
      <c r="H752" t="str">
        <f t="shared" si="11"/>
        <v>Aug</v>
      </c>
      <c r="I752">
        <v>1</v>
      </c>
    </row>
    <row r="753" spans="1:9" x14ac:dyDescent="0.35">
      <c r="A753">
        <v>752</v>
      </c>
      <c r="B753" s="2">
        <v>44062</v>
      </c>
      <c r="C753" t="s">
        <v>7</v>
      </c>
      <c r="D753" t="s">
        <v>162</v>
      </c>
      <c r="E753">
        <v>1</v>
      </c>
      <c r="F753" t="str">
        <f>VLOOKUP($C753,VLOOKUP_spp!$A$2:$D$103,4,1)</f>
        <v>Coleoptera</v>
      </c>
      <c r="G753" t="str">
        <f>VLOOKUP($F753,VLOOKUP_spp!$A$2:$E$102,5,1)</f>
        <v>Coleoptera</v>
      </c>
      <c r="H753" t="str">
        <f t="shared" si="11"/>
        <v>Aug</v>
      </c>
      <c r="I753">
        <v>1</v>
      </c>
    </row>
    <row r="754" spans="1:9" x14ac:dyDescent="0.35">
      <c r="A754">
        <v>753</v>
      </c>
      <c r="B754" s="2">
        <v>44062</v>
      </c>
      <c r="C754" t="s">
        <v>7</v>
      </c>
      <c r="D754" t="s">
        <v>175</v>
      </c>
      <c r="E754">
        <v>2</v>
      </c>
      <c r="F754" t="str">
        <f>VLOOKUP($C754,VLOOKUP_spp!$A$2:$D$103,4,1)</f>
        <v>Coleoptera</v>
      </c>
      <c r="G754" t="str">
        <f>VLOOKUP($F754,VLOOKUP_spp!$A$2:$E$102,5,1)</f>
        <v>Coleoptera</v>
      </c>
      <c r="H754" t="str">
        <f t="shared" si="11"/>
        <v>Aug</v>
      </c>
      <c r="I754">
        <v>1</v>
      </c>
    </row>
    <row r="755" spans="1:9" x14ac:dyDescent="0.35">
      <c r="A755">
        <v>754</v>
      </c>
      <c r="B755" s="2">
        <v>44062</v>
      </c>
      <c r="C755" t="s">
        <v>7</v>
      </c>
      <c r="D755" t="s">
        <v>147</v>
      </c>
      <c r="E755">
        <v>2</v>
      </c>
      <c r="F755" t="str">
        <f>VLOOKUP($C755,VLOOKUP_spp!$A$2:$D$103,4,1)</f>
        <v>Coleoptera</v>
      </c>
      <c r="G755" t="str">
        <f>VLOOKUP($F755,VLOOKUP_spp!$A$2:$E$102,5,1)</f>
        <v>Coleoptera</v>
      </c>
      <c r="H755" t="str">
        <f t="shared" si="11"/>
        <v>Aug</v>
      </c>
      <c r="I755">
        <v>1</v>
      </c>
    </row>
    <row r="756" spans="1:9" x14ac:dyDescent="0.35">
      <c r="A756">
        <v>755</v>
      </c>
      <c r="B756" s="2">
        <v>44062</v>
      </c>
      <c r="C756" t="s">
        <v>6</v>
      </c>
      <c r="D756" t="s">
        <v>157</v>
      </c>
      <c r="E756">
        <v>1</v>
      </c>
      <c r="F756" t="str">
        <f>VLOOKUP($C756,VLOOKUP_spp!$A$2:$D$103,4,1)</f>
        <v>Diptera</v>
      </c>
      <c r="G756" t="str">
        <f>VLOOKUP($F756,VLOOKUP_spp!$A$2:$E$102,5,1)</f>
        <v>Diptera</v>
      </c>
      <c r="H756" t="str">
        <f t="shared" si="11"/>
        <v>Aug</v>
      </c>
      <c r="I756">
        <v>1</v>
      </c>
    </row>
    <row r="757" spans="1:9" x14ac:dyDescent="0.35">
      <c r="A757">
        <v>756</v>
      </c>
      <c r="B757" s="2">
        <v>44062</v>
      </c>
      <c r="C757" t="s">
        <v>6</v>
      </c>
      <c r="D757" t="s">
        <v>154</v>
      </c>
      <c r="E757">
        <v>3</v>
      </c>
      <c r="F757" t="str">
        <f>VLOOKUP($C757,VLOOKUP_spp!$A$2:$D$103,4,1)</f>
        <v>Diptera</v>
      </c>
      <c r="G757" t="str">
        <f>VLOOKUP($F757,VLOOKUP_spp!$A$2:$E$102,5,1)</f>
        <v>Diptera</v>
      </c>
      <c r="H757" t="str">
        <f t="shared" si="11"/>
        <v>Aug</v>
      </c>
      <c r="I757">
        <v>1</v>
      </c>
    </row>
    <row r="758" spans="1:9" x14ac:dyDescent="0.35">
      <c r="A758">
        <v>757</v>
      </c>
      <c r="B758" s="2">
        <v>44062</v>
      </c>
      <c r="C758" t="s">
        <v>97</v>
      </c>
      <c r="D758" t="s">
        <v>155</v>
      </c>
      <c r="E758">
        <v>1</v>
      </c>
      <c r="F758" t="str">
        <f>VLOOKUP($C758,VLOOKUP_spp!$A$2:$D$103,4,1)</f>
        <v>Halictus</v>
      </c>
      <c r="G758" t="str">
        <f>VLOOKUP($F758,VLOOKUP_spp!$A$2:$E$102,5,1)</f>
        <v>Hymenoptera</v>
      </c>
      <c r="H758" t="str">
        <f t="shared" si="11"/>
        <v>Aug</v>
      </c>
      <c r="I758">
        <v>1</v>
      </c>
    </row>
    <row r="759" spans="1:9" x14ac:dyDescent="0.35">
      <c r="A759">
        <v>758</v>
      </c>
      <c r="B759" s="2">
        <v>44062</v>
      </c>
      <c r="C759" t="s">
        <v>101</v>
      </c>
      <c r="D759" t="s">
        <v>150</v>
      </c>
      <c r="E759">
        <v>1</v>
      </c>
      <c r="F759" t="str">
        <f>VLOOKUP($C759,VLOOKUP_spp!$A$2:$D$103,4,1)</f>
        <v>Halictus_tripartitus</v>
      </c>
      <c r="G759" t="str">
        <f>VLOOKUP($F759,VLOOKUP_spp!$A$2:$E$102,5,1)</f>
        <v>Hymenoptera</v>
      </c>
      <c r="H759" t="str">
        <f t="shared" si="11"/>
        <v>Aug</v>
      </c>
      <c r="I759">
        <v>1</v>
      </c>
    </row>
    <row r="760" spans="1:9" x14ac:dyDescent="0.35">
      <c r="A760">
        <v>759</v>
      </c>
      <c r="B760" s="2">
        <v>44062</v>
      </c>
      <c r="C760" t="s">
        <v>103</v>
      </c>
      <c r="D760" t="s">
        <v>150</v>
      </c>
      <c r="E760">
        <v>1</v>
      </c>
      <c r="F760" t="str">
        <f>VLOOKUP($C760,VLOOKUP_spp!$A$2:$D$103,4,1)</f>
        <v>Hylaeus</v>
      </c>
      <c r="G760" t="str">
        <f>VLOOKUP($F760,VLOOKUP_spp!$A$2:$E$102,5,1)</f>
        <v>Hymenoptera</v>
      </c>
      <c r="H760" t="str">
        <f t="shared" si="11"/>
        <v>Aug</v>
      </c>
      <c r="I760">
        <v>1</v>
      </c>
    </row>
    <row r="761" spans="1:9" x14ac:dyDescent="0.35">
      <c r="A761">
        <v>760</v>
      </c>
      <c r="B761" s="2">
        <v>44062</v>
      </c>
      <c r="C761" t="s">
        <v>103</v>
      </c>
      <c r="D761" t="s">
        <v>147</v>
      </c>
      <c r="E761">
        <v>3</v>
      </c>
      <c r="F761" t="str">
        <f>VLOOKUP($C761,VLOOKUP_spp!$A$2:$D$103,4,1)</f>
        <v>Hylaeus</v>
      </c>
      <c r="G761" t="str">
        <f>VLOOKUP($F761,VLOOKUP_spp!$A$2:$E$102,5,1)</f>
        <v>Hymenoptera</v>
      </c>
      <c r="H761" t="str">
        <f t="shared" si="11"/>
        <v>Aug</v>
      </c>
      <c r="I761">
        <v>1</v>
      </c>
    </row>
    <row r="762" spans="1:9" x14ac:dyDescent="0.35">
      <c r="A762">
        <v>761</v>
      </c>
      <c r="B762" s="2">
        <v>44062</v>
      </c>
      <c r="C762" t="s">
        <v>104</v>
      </c>
      <c r="D762" t="s">
        <v>157</v>
      </c>
      <c r="E762">
        <v>1</v>
      </c>
      <c r="F762" t="str">
        <f>VLOOKUP($C762,VLOOKUP_spp!$A$2:$D$103,4,1)</f>
        <v>Hylaeus_leptocephalus</v>
      </c>
      <c r="G762" t="str">
        <f>VLOOKUP($F762,VLOOKUP_spp!$A$2:$E$102,5,1)</f>
        <v>Hymenoptera</v>
      </c>
      <c r="H762" t="str">
        <f t="shared" si="11"/>
        <v>Aug</v>
      </c>
      <c r="I762">
        <v>1</v>
      </c>
    </row>
    <row r="763" spans="1:9" x14ac:dyDescent="0.35">
      <c r="A763">
        <v>762</v>
      </c>
      <c r="B763" s="2">
        <v>44062</v>
      </c>
      <c r="C763" t="s">
        <v>104</v>
      </c>
      <c r="D763" t="s">
        <v>148</v>
      </c>
      <c r="E763">
        <v>1</v>
      </c>
      <c r="F763" t="str">
        <f>VLOOKUP($C763,VLOOKUP_spp!$A$2:$D$103,4,1)</f>
        <v>Hylaeus_leptocephalus</v>
      </c>
      <c r="G763" t="str">
        <f>VLOOKUP($F763,VLOOKUP_spp!$A$2:$E$102,5,1)</f>
        <v>Hymenoptera</v>
      </c>
      <c r="H763" t="str">
        <f t="shared" si="11"/>
        <v>Aug</v>
      </c>
      <c r="I763">
        <v>1</v>
      </c>
    </row>
    <row r="764" spans="1:9" x14ac:dyDescent="0.35">
      <c r="A764">
        <v>763</v>
      </c>
      <c r="B764" s="2">
        <v>44062</v>
      </c>
      <c r="C764" t="s">
        <v>104</v>
      </c>
      <c r="D764" t="s">
        <v>147</v>
      </c>
      <c r="E764">
        <v>1</v>
      </c>
      <c r="F764" t="str">
        <f>VLOOKUP($C764,VLOOKUP_spp!$A$2:$D$103,4,1)</f>
        <v>Hylaeus_leptocephalus</v>
      </c>
      <c r="G764" t="str">
        <f>VLOOKUP($F764,VLOOKUP_spp!$A$2:$E$102,5,1)</f>
        <v>Hymenoptera</v>
      </c>
      <c r="H764" t="str">
        <f t="shared" si="11"/>
        <v>Aug</v>
      </c>
      <c r="I764">
        <v>1</v>
      </c>
    </row>
    <row r="765" spans="1:9" x14ac:dyDescent="0.35">
      <c r="A765">
        <v>764</v>
      </c>
      <c r="B765" s="2">
        <v>44062</v>
      </c>
      <c r="C765" t="s">
        <v>105</v>
      </c>
      <c r="D765" t="s">
        <v>150</v>
      </c>
      <c r="E765">
        <v>1</v>
      </c>
      <c r="F765" t="str">
        <f>VLOOKUP($C765,VLOOKUP_spp!$A$2:$D$103,4,1)</f>
        <v>Hylaeus_modestus</v>
      </c>
      <c r="G765" t="str">
        <f>VLOOKUP($F765,VLOOKUP_spp!$A$2:$E$102,5,1)</f>
        <v>Hymenoptera</v>
      </c>
      <c r="H765" t="str">
        <f t="shared" si="11"/>
        <v>Aug</v>
      </c>
      <c r="I765">
        <v>1</v>
      </c>
    </row>
    <row r="766" spans="1:9" x14ac:dyDescent="0.35">
      <c r="A766">
        <v>765</v>
      </c>
      <c r="B766" s="2">
        <v>44062</v>
      </c>
      <c r="C766" t="s">
        <v>106</v>
      </c>
      <c r="D766" t="s">
        <v>150</v>
      </c>
      <c r="E766">
        <v>2</v>
      </c>
      <c r="F766" t="str">
        <f>VLOOKUP($C766,VLOOKUP_spp!$A$2:$D$103,4,1)</f>
        <v>Lasioglossum</v>
      </c>
      <c r="G766" t="str">
        <f>VLOOKUP($F766,VLOOKUP_spp!$A$2:$E$102,5,1)</f>
        <v>Hymenoptera</v>
      </c>
      <c r="H766" t="str">
        <f t="shared" si="11"/>
        <v>Aug</v>
      </c>
      <c r="I766">
        <v>1</v>
      </c>
    </row>
    <row r="767" spans="1:9" x14ac:dyDescent="0.35">
      <c r="A767">
        <v>766</v>
      </c>
      <c r="B767" s="2">
        <v>44062</v>
      </c>
      <c r="C767" t="s">
        <v>8</v>
      </c>
      <c r="D767" t="s">
        <v>147</v>
      </c>
      <c r="E767">
        <v>2</v>
      </c>
      <c r="F767" t="str">
        <f>VLOOKUP($C767,VLOOKUP_spp!$A$2:$D$103,4,1)</f>
        <v>Lepidoptera</v>
      </c>
      <c r="G767" t="str">
        <f>VLOOKUP($F767,VLOOKUP_spp!$A$2:$E$102,5,1)</f>
        <v>Lepidoptera</v>
      </c>
      <c r="H767" t="str">
        <f t="shared" si="11"/>
        <v>Aug</v>
      </c>
      <c r="I767">
        <v>1</v>
      </c>
    </row>
    <row r="768" spans="1:9" x14ac:dyDescent="0.35">
      <c r="A768">
        <v>767</v>
      </c>
      <c r="B768" s="2">
        <v>44062</v>
      </c>
      <c r="C768" t="s">
        <v>124</v>
      </c>
      <c r="D768" t="s">
        <v>150</v>
      </c>
      <c r="E768">
        <v>1</v>
      </c>
      <c r="F768" t="str">
        <f>VLOOKUP($C768,VLOOKUP_spp!$A$2:$D$103,4,1)</f>
        <v>Sphecodes</v>
      </c>
      <c r="G768" t="str">
        <f>VLOOKUP($F768,VLOOKUP_spp!$A$2:$E$102,5,1)</f>
        <v>Hymenoptera</v>
      </c>
      <c r="H768" t="str">
        <f t="shared" si="11"/>
        <v>Aug</v>
      </c>
      <c r="I768">
        <v>1</v>
      </c>
    </row>
    <row r="769" spans="1:9" x14ac:dyDescent="0.35">
      <c r="A769">
        <v>768</v>
      </c>
      <c r="B769" s="2">
        <v>44062</v>
      </c>
      <c r="C769" t="s">
        <v>126</v>
      </c>
      <c r="D769" t="s">
        <v>154</v>
      </c>
      <c r="E769">
        <v>2</v>
      </c>
      <c r="F769" t="str">
        <f>VLOOKUP($C769,VLOOKUP_spp!$A$2:$D$103,4,1)</f>
        <v>Syrphidae</v>
      </c>
      <c r="G769" t="str">
        <f>VLOOKUP($F769,VLOOKUP_spp!$A$2:$E$102,5,1)</f>
        <v>Diptera</v>
      </c>
      <c r="H769" t="str">
        <f t="shared" si="11"/>
        <v>Aug</v>
      </c>
      <c r="I769">
        <v>1</v>
      </c>
    </row>
    <row r="770" spans="1:9" x14ac:dyDescent="0.35">
      <c r="A770">
        <v>769</v>
      </c>
      <c r="B770" s="2">
        <v>44062</v>
      </c>
      <c r="C770" t="s">
        <v>126</v>
      </c>
      <c r="D770" t="s">
        <v>162</v>
      </c>
      <c r="E770">
        <v>4</v>
      </c>
      <c r="F770" t="str">
        <f>VLOOKUP($C770,VLOOKUP_spp!$A$2:$D$103,4,1)</f>
        <v>Syrphidae</v>
      </c>
      <c r="G770" t="str">
        <f>VLOOKUP($F770,VLOOKUP_spp!$A$2:$E$102,5,1)</f>
        <v>Diptera</v>
      </c>
      <c r="H770" t="str">
        <f t="shared" si="11"/>
        <v>Aug</v>
      </c>
      <c r="I770">
        <v>1</v>
      </c>
    </row>
    <row r="771" spans="1:9" x14ac:dyDescent="0.35">
      <c r="A771">
        <v>770</v>
      </c>
      <c r="B771" s="2">
        <v>44062</v>
      </c>
      <c r="C771" t="s">
        <v>128</v>
      </c>
      <c r="D771" t="s">
        <v>154</v>
      </c>
      <c r="E771">
        <v>9</v>
      </c>
      <c r="F771" t="str">
        <f>VLOOKUP($C771,VLOOKUP_spp!$A$2:$D$103,4,1)</f>
        <v>Wasp</v>
      </c>
      <c r="G771" t="str">
        <f>VLOOKUP($F771,VLOOKUP_spp!$A$2:$E$102,5,1)</f>
        <v>Hymenoptera</v>
      </c>
      <c r="H771" t="str">
        <f t="shared" ref="H771:H834" si="12">TEXT(B771, "mmm")</f>
        <v>Aug</v>
      </c>
      <c r="I771">
        <v>1</v>
      </c>
    </row>
    <row r="772" spans="1:9" x14ac:dyDescent="0.35">
      <c r="A772">
        <v>771</v>
      </c>
      <c r="B772" s="2">
        <v>44062</v>
      </c>
      <c r="C772" t="s">
        <v>128</v>
      </c>
      <c r="D772" t="s">
        <v>159</v>
      </c>
      <c r="E772">
        <v>2</v>
      </c>
      <c r="F772" t="str">
        <f>VLOOKUP($C772,VLOOKUP_spp!$A$2:$D$103,4,1)</f>
        <v>Wasp</v>
      </c>
      <c r="G772" t="str">
        <f>VLOOKUP($F772,VLOOKUP_spp!$A$2:$E$102,5,1)</f>
        <v>Hymenoptera</v>
      </c>
      <c r="H772" t="str">
        <f t="shared" si="12"/>
        <v>Aug</v>
      </c>
      <c r="I772">
        <v>1</v>
      </c>
    </row>
    <row r="773" spans="1:9" x14ac:dyDescent="0.35">
      <c r="A773">
        <v>772</v>
      </c>
      <c r="B773" s="2">
        <v>44062</v>
      </c>
      <c r="C773" t="s">
        <v>128</v>
      </c>
      <c r="D773" t="s">
        <v>147</v>
      </c>
      <c r="E773">
        <v>16</v>
      </c>
      <c r="F773" t="str">
        <f>VLOOKUP($C773,VLOOKUP_spp!$A$2:$D$103,4,1)</f>
        <v>Wasp</v>
      </c>
      <c r="G773" t="str">
        <f>VLOOKUP($F773,VLOOKUP_spp!$A$2:$E$102,5,1)</f>
        <v>Hymenoptera</v>
      </c>
      <c r="H773" t="str">
        <f t="shared" si="12"/>
        <v>Aug</v>
      </c>
      <c r="I773">
        <v>1</v>
      </c>
    </row>
    <row r="774" spans="1:9" x14ac:dyDescent="0.35">
      <c r="A774">
        <v>773</v>
      </c>
      <c r="B774" s="2">
        <v>44062</v>
      </c>
      <c r="C774" t="s">
        <v>138</v>
      </c>
      <c r="D774" t="s">
        <v>147</v>
      </c>
      <c r="E774">
        <v>1</v>
      </c>
      <c r="F774" t="str">
        <f>VLOOKUP($C774,VLOOKUP_spp!$A$2:$D$103,4,1)</f>
        <v>Xylocopa_virginica</v>
      </c>
      <c r="G774" t="str">
        <f>VLOOKUP($F774,VLOOKUP_spp!$A$2:$E$102,5,1)</f>
        <v>Hymenoptera</v>
      </c>
      <c r="H774" t="str">
        <f t="shared" si="12"/>
        <v>Aug</v>
      </c>
      <c r="I774">
        <v>1</v>
      </c>
    </row>
    <row r="775" spans="1:9" x14ac:dyDescent="0.35">
      <c r="A775">
        <v>774</v>
      </c>
      <c r="B775" s="2">
        <v>44064</v>
      </c>
      <c r="C775" t="s">
        <v>50</v>
      </c>
      <c r="D775" t="s">
        <v>157</v>
      </c>
      <c r="E775">
        <v>3</v>
      </c>
      <c r="F775" t="str">
        <f>VLOOKUP($C775,VLOOKUP_spp!$A$2:$D$103,4,1)</f>
        <v>Apis_mellifera</v>
      </c>
      <c r="G775" t="str">
        <f>VLOOKUP($F775,VLOOKUP_spp!$A$2:$E$102,5,1)</f>
        <v>Hymenoptera</v>
      </c>
      <c r="H775" t="str">
        <f t="shared" si="12"/>
        <v>Aug</v>
      </c>
      <c r="I775">
        <v>1</v>
      </c>
    </row>
    <row r="776" spans="1:9" x14ac:dyDescent="0.35">
      <c r="A776">
        <v>775</v>
      </c>
      <c r="B776" s="2">
        <v>44064</v>
      </c>
      <c r="C776" t="s">
        <v>50</v>
      </c>
      <c r="D776" t="s">
        <v>148</v>
      </c>
      <c r="E776">
        <v>1</v>
      </c>
      <c r="F776" t="str">
        <f>VLOOKUP($C776,VLOOKUP_spp!$A$2:$D$103,4,1)</f>
        <v>Apis_mellifera</v>
      </c>
      <c r="G776" t="str">
        <f>VLOOKUP($F776,VLOOKUP_spp!$A$2:$E$102,5,1)</f>
        <v>Hymenoptera</v>
      </c>
      <c r="H776" t="str">
        <f t="shared" si="12"/>
        <v>Aug</v>
      </c>
      <c r="I776">
        <v>1</v>
      </c>
    </row>
    <row r="777" spans="1:9" x14ac:dyDescent="0.35">
      <c r="A777">
        <v>776</v>
      </c>
      <c r="B777" s="2">
        <v>44064</v>
      </c>
      <c r="C777" t="s">
        <v>50</v>
      </c>
      <c r="D777" t="s">
        <v>158</v>
      </c>
      <c r="E777">
        <v>2</v>
      </c>
      <c r="F777" t="str">
        <f>VLOOKUP($C777,VLOOKUP_spp!$A$2:$D$103,4,1)</f>
        <v>Apis_mellifera</v>
      </c>
      <c r="G777" t="str">
        <f>VLOOKUP($F777,VLOOKUP_spp!$A$2:$E$102,5,1)</f>
        <v>Hymenoptera</v>
      </c>
      <c r="H777" t="str">
        <f t="shared" si="12"/>
        <v>Aug</v>
      </c>
      <c r="I777">
        <v>1</v>
      </c>
    </row>
    <row r="778" spans="1:9" x14ac:dyDescent="0.35">
      <c r="A778">
        <v>777</v>
      </c>
      <c r="B778" s="2">
        <v>44064</v>
      </c>
      <c r="C778" t="s">
        <v>50</v>
      </c>
      <c r="D778" t="s">
        <v>173</v>
      </c>
      <c r="E778">
        <v>1</v>
      </c>
      <c r="F778" t="str">
        <f>VLOOKUP($C778,VLOOKUP_spp!$A$2:$D$103,4,1)</f>
        <v>Apis_mellifera</v>
      </c>
      <c r="G778" t="str">
        <f>VLOOKUP($F778,VLOOKUP_spp!$A$2:$E$102,5,1)</f>
        <v>Hymenoptera</v>
      </c>
      <c r="H778" t="str">
        <f t="shared" si="12"/>
        <v>Aug</v>
      </c>
      <c r="I778">
        <v>1</v>
      </c>
    </row>
    <row r="779" spans="1:9" x14ac:dyDescent="0.35">
      <c r="A779">
        <v>778</v>
      </c>
      <c r="B779" s="2">
        <v>44064</v>
      </c>
      <c r="C779" t="s">
        <v>50</v>
      </c>
      <c r="D779" t="s">
        <v>154</v>
      </c>
      <c r="E779">
        <v>3</v>
      </c>
      <c r="F779" t="str">
        <f>VLOOKUP($C779,VLOOKUP_spp!$A$2:$D$103,4,1)</f>
        <v>Apis_mellifera</v>
      </c>
      <c r="G779" t="str">
        <f>VLOOKUP($F779,VLOOKUP_spp!$A$2:$E$102,5,1)</f>
        <v>Hymenoptera</v>
      </c>
      <c r="H779" t="str">
        <f t="shared" si="12"/>
        <v>Aug</v>
      </c>
      <c r="I779">
        <v>1</v>
      </c>
    </row>
    <row r="780" spans="1:9" x14ac:dyDescent="0.35">
      <c r="A780">
        <v>779</v>
      </c>
      <c r="B780" s="2">
        <v>44064</v>
      </c>
      <c r="C780" t="s">
        <v>50</v>
      </c>
      <c r="D780" t="s">
        <v>172</v>
      </c>
      <c r="E780">
        <v>4</v>
      </c>
      <c r="F780" t="str">
        <f>VLOOKUP($C780,VLOOKUP_spp!$A$2:$D$103,4,1)</f>
        <v>Apis_mellifera</v>
      </c>
      <c r="G780" t="str">
        <f>VLOOKUP($F780,VLOOKUP_spp!$A$2:$E$102,5,1)</f>
        <v>Hymenoptera</v>
      </c>
      <c r="H780" t="str">
        <f t="shared" si="12"/>
        <v>Aug</v>
      </c>
      <c r="I780">
        <v>1</v>
      </c>
    </row>
    <row r="781" spans="1:9" x14ac:dyDescent="0.35">
      <c r="A781">
        <v>780</v>
      </c>
      <c r="B781" s="2">
        <v>44064</v>
      </c>
      <c r="C781" t="s">
        <v>50</v>
      </c>
      <c r="D781" t="s">
        <v>150</v>
      </c>
      <c r="E781">
        <v>4</v>
      </c>
      <c r="F781" t="str">
        <f>VLOOKUP($C781,VLOOKUP_spp!$A$2:$D$103,4,1)</f>
        <v>Apis_mellifera</v>
      </c>
      <c r="G781" t="str">
        <f>VLOOKUP($F781,VLOOKUP_spp!$A$2:$E$102,5,1)</f>
        <v>Hymenoptera</v>
      </c>
      <c r="H781" t="str">
        <f t="shared" si="12"/>
        <v>Aug</v>
      </c>
      <c r="I781">
        <v>1</v>
      </c>
    </row>
    <row r="782" spans="1:9" x14ac:dyDescent="0.35">
      <c r="A782">
        <v>781</v>
      </c>
      <c r="B782" s="2">
        <v>44064</v>
      </c>
      <c r="C782" t="s">
        <v>50</v>
      </c>
      <c r="D782" t="s">
        <v>159</v>
      </c>
      <c r="E782">
        <v>2</v>
      </c>
      <c r="F782" t="str">
        <f>VLOOKUP($C782,VLOOKUP_spp!$A$2:$D$103,4,1)</f>
        <v>Apis_mellifera</v>
      </c>
      <c r="G782" t="str">
        <f>VLOOKUP($F782,VLOOKUP_spp!$A$2:$E$102,5,1)</f>
        <v>Hymenoptera</v>
      </c>
      <c r="H782" t="str">
        <f t="shared" si="12"/>
        <v>Aug</v>
      </c>
      <c r="I782">
        <v>1</v>
      </c>
    </row>
    <row r="783" spans="1:9" x14ac:dyDescent="0.35">
      <c r="A783">
        <v>782</v>
      </c>
      <c r="B783" s="2">
        <v>44064</v>
      </c>
      <c r="C783" t="s">
        <v>50</v>
      </c>
      <c r="D783" t="s">
        <v>160</v>
      </c>
      <c r="E783">
        <v>6</v>
      </c>
      <c r="F783" t="str">
        <f>VLOOKUP($C783,VLOOKUP_spp!$A$2:$D$103,4,1)</f>
        <v>Apis_mellifera</v>
      </c>
      <c r="G783" t="str">
        <f>VLOOKUP($F783,VLOOKUP_spp!$A$2:$E$102,5,1)</f>
        <v>Hymenoptera</v>
      </c>
      <c r="H783" t="str">
        <f t="shared" si="12"/>
        <v>Aug</v>
      </c>
      <c r="I783">
        <v>1</v>
      </c>
    </row>
    <row r="784" spans="1:9" x14ac:dyDescent="0.35">
      <c r="A784">
        <v>783</v>
      </c>
      <c r="B784" s="2">
        <v>44064</v>
      </c>
      <c r="C784" t="s">
        <v>50</v>
      </c>
      <c r="D784" t="s">
        <v>170</v>
      </c>
      <c r="E784">
        <v>2</v>
      </c>
      <c r="F784" t="str">
        <f>VLOOKUP($C784,VLOOKUP_spp!$A$2:$D$103,4,1)</f>
        <v>Apis_mellifera</v>
      </c>
      <c r="G784" t="str">
        <f>VLOOKUP($F784,VLOOKUP_spp!$A$2:$E$102,5,1)</f>
        <v>Hymenoptera</v>
      </c>
      <c r="H784" t="str">
        <f t="shared" si="12"/>
        <v>Aug</v>
      </c>
      <c r="I784">
        <v>1</v>
      </c>
    </row>
    <row r="785" spans="1:9" x14ac:dyDescent="0.35">
      <c r="A785">
        <v>784</v>
      </c>
      <c r="B785" s="2">
        <v>44064</v>
      </c>
      <c r="C785" t="s">
        <v>50</v>
      </c>
      <c r="D785" t="s">
        <v>161</v>
      </c>
      <c r="E785">
        <v>2</v>
      </c>
      <c r="F785" t="str">
        <f>VLOOKUP($C785,VLOOKUP_spp!$A$2:$D$103,4,1)</f>
        <v>Apis_mellifera</v>
      </c>
      <c r="G785" t="str">
        <f>VLOOKUP($F785,VLOOKUP_spp!$A$2:$E$102,5,1)</f>
        <v>Hymenoptera</v>
      </c>
      <c r="H785" t="str">
        <f t="shared" si="12"/>
        <v>Aug</v>
      </c>
      <c r="I785">
        <v>1</v>
      </c>
    </row>
    <row r="786" spans="1:9" x14ac:dyDescent="0.35">
      <c r="A786">
        <v>785</v>
      </c>
      <c r="B786" s="2">
        <v>44064</v>
      </c>
      <c r="C786" t="s">
        <v>50</v>
      </c>
      <c r="D786" t="s">
        <v>175</v>
      </c>
      <c r="E786">
        <v>3</v>
      </c>
      <c r="F786" t="str">
        <f>VLOOKUP($C786,VLOOKUP_spp!$A$2:$D$103,4,1)</f>
        <v>Apis_mellifera</v>
      </c>
      <c r="G786" t="str">
        <f>VLOOKUP($F786,VLOOKUP_spp!$A$2:$E$102,5,1)</f>
        <v>Hymenoptera</v>
      </c>
      <c r="H786" t="str">
        <f t="shared" si="12"/>
        <v>Aug</v>
      </c>
      <c r="I786">
        <v>1</v>
      </c>
    </row>
    <row r="787" spans="1:9" x14ac:dyDescent="0.35">
      <c r="A787">
        <v>786</v>
      </c>
      <c r="B787" s="2">
        <v>44064</v>
      </c>
      <c r="C787" t="s">
        <v>50</v>
      </c>
      <c r="D787" t="s">
        <v>147</v>
      </c>
      <c r="E787">
        <v>5</v>
      </c>
      <c r="F787" t="str">
        <f>VLOOKUP($C787,VLOOKUP_spp!$A$2:$D$103,4,1)</f>
        <v>Apis_mellifera</v>
      </c>
      <c r="G787" t="str">
        <f>VLOOKUP($F787,VLOOKUP_spp!$A$2:$E$102,5,1)</f>
        <v>Hymenoptera</v>
      </c>
      <c r="H787" t="str">
        <f t="shared" si="12"/>
        <v>Aug</v>
      </c>
      <c r="I787">
        <v>1</v>
      </c>
    </row>
    <row r="788" spans="1:9" x14ac:dyDescent="0.35">
      <c r="A788">
        <v>787</v>
      </c>
      <c r="B788" s="2">
        <v>44064</v>
      </c>
      <c r="C788" t="s">
        <v>50</v>
      </c>
      <c r="D788" t="s">
        <v>164</v>
      </c>
      <c r="E788">
        <v>2</v>
      </c>
      <c r="F788" t="str">
        <f>VLOOKUP($C788,VLOOKUP_spp!$A$2:$D$103,4,1)</f>
        <v>Apis_mellifera</v>
      </c>
      <c r="G788" t="str">
        <f>VLOOKUP($F788,VLOOKUP_spp!$A$2:$E$102,5,1)</f>
        <v>Hymenoptera</v>
      </c>
      <c r="H788" t="str">
        <f t="shared" si="12"/>
        <v>Aug</v>
      </c>
      <c r="I788">
        <v>1</v>
      </c>
    </row>
    <row r="789" spans="1:9" x14ac:dyDescent="0.35">
      <c r="A789">
        <v>788</v>
      </c>
      <c r="B789" s="2">
        <v>44064</v>
      </c>
      <c r="C789" t="s">
        <v>67</v>
      </c>
      <c r="D789" t="s">
        <v>164</v>
      </c>
      <c r="E789">
        <v>2</v>
      </c>
      <c r="F789" t="str">
        <f>VLOOKUP($C789,VLOOKUP_spp!$A$2:$D$103,4,1)</f>
        <v>Bombus_impatiens</v>
      </c>
      <c r="G789" t="str">
        <f>VLOOKUP($F789,VLOOKUP_spp!$A$2:$E$102,5,1)</f>
        <v>Hymenoptera</v>
      </c>
      <c r="H789" t="str">
        <f t="shared" si="12"/>
        <v>Aug</v>
      </c>
      <c r="I789">
        <v>1</v>
      </c>
    </row>
    <row r="790" spans="1:9" x14ac:dyDescent="0.35">
      <c r="A790">
        <v>789</v>
      </c>
      <c r="B790" s="2">
        <v>44064</v>
      </c>
      <c r="C790" t="s">
        <v>67</v>
      </c>
      <c r="D790" t="s">
        <v>176</v>
      </c>
      <c r="E790">
        <v>2</v>
      </c>
      <c r="F790" t="str">
        <f>VLOOKUP($C790,VLOOKUP_spp!$A$2:$D$103,4,1)</f>
        <v>Bombus_impatiens</v>
      </c>
      <c r="G790" t="str">
        <f>VLOOKUP($F790,VLOOKUP_spp!$A$2:$E$102,5,1)</f>
        <v>Hymenoptera</v>
      </c>
      <c r="H790" t="str">
        <f t="shared" si="12"/>
        <v>Aug</v>
      </c>
      <c r="I790">
        <v>1</v>
      </c>
    </row>
    <row r="791" spans="1:9" x14ac:dyDescent="0.35">
      <c r="A791">
        <v>790</v>
      </c>
      <c r="B791" s="2">
        <v>44064</v>
      </c>
      <c r="C791" t="s">
        <v>85</v>
      </c>
      <c r="D791" t="s">
        <v>150</v>
      </c>
      <c r="E791">
        <v>1</v>
      </c>
      <c r="F791" t="str">
        <f>VLOOKUP($C791,VLOOKUP_spp!$A$2:$D$103,4,1)</f>
        <v>Ceratina</v>
      </c>
      <c r="G791" t="str">
        <f>VLOOKUP($F791,VLOOKUP_spp!$A$2:$E$102,5,1)</f>
        <v>Hymenoptera</v>
      </c>
      <c r="H791" t="str">
        <f t="shared" si="12"/>
        <v>Aug</v>
      </c>
      <c r="I791">
        <v>1</v>
      </c>
    </row>
    <row r="792" spans="1:9" x14ac:dyDescent="0.35">
      <c r="A792">
        <v>791</v>
      </c>
      <c r="B792" s="2">
        <v>44064</v>
      </c>
      <c r="C792" t="s">
        <v>86</v>
      </c>
      <c r="D792" t="s">
        <v>176</v>
      </c>
      <c r="E792">
        <v>1</v>
      </c>
      <c r="F792">
        <f>VLOOKUP($C792,VLOOKUP_spp!$A$2:$D$103,4,1)</f>
        <v>0</v>
      </c>
      <c r="G792" t="e">
        <f>VLOOKUP($F792,VLOOKUP_spp!$A$2:$E$102,5,1)</f>
        <v>#N/A</v>
      </c>
      <c r="H792" t="str">
        <f t="shared" si="12"/>
        <v>Aug</v>
      </c>
      <c r="I792">
        <v>1</v>
      </c>
    </row>
    <row r="793" spans="1:9" x14ac:dyDescent="0.35">
      <c r="A793">
        <v>792</v>
      </c>
      <c r="B793" s="2">
        <v>44064</v>
      </c>
      <c r="C793" t="s">
        <v>7</v>
      </c>
      <c r="D793" t="s">
        <v>157</v>
      </c>
      <c r="E793">
        <v>4</v>
      </c>
      <c r="F793" t="str">
        <f>VLOOKUP($C793,VLOOKUP_spp!$A$2:$D$103,4,1)</f>
        <v>Coleoptera</v>
      </c>
      <c r="G793" t="str">
        <f>VLOOKUP($F793,VLOOKUP_spp!$A$2:$E$102,5,1)</f>
        <v>Coleoptera</v>
      </c>
      <c r="H793" t="str">
        <f t="shared" si="12"/>
        <v>Aug</v>
      </c>
      <c r="I793">
        <v>1</v>
      </c>
    </row>
    <row r="794" spans="1:9" x14ac:dyDescent="0.35">
      <c r="A794">
        <v>793</v>
      </c>
      <c r="B794" s="2">
        <v>44064</v>
      </c>
      <c r="C794" t="s">
        <v>7</v>
      </c>
      <c r="D794" t="s">
        <v>147</v>
      </c>
      <c r="E794">
        <v>1</v>
      </c>
      <c r="F794" t="str">
        <f>VLOOKUP($C794,VLOOKUP_spp!$A$2:$D$103,4,1)</f>
        <v>Coleoptera</v>
      </c>
      <c r="G794" t="str">
        <f>VLOOKUP($F794,VLOOKUP_spp!$A$2:$E$102,5,1)</f>
        <v>Coleoptera</v>
      </c>
      <c r="H794" t="str">
        <f t="shared" si="12"/>
        <v>Aug</v>
      </c>
      <c r="I794">
        <v>1</v>
      </c>
    </row>
    <row r="795" spans="1:9" x14ac:dyDescent="0.35">
      <c r="A795">
        <v>794</v>
      </c>
      <c r="B795" s="2">
        <v>44064</v>
      </c>
      <c r="C795" t="s">
        <v>6</v>
      </c>
      <c r="D795" t="s">
        <v>159</v>
      </c>
      <c r="E795">
        <v>2</v>
      </c>
      <c r="F795" t="str">
        <f>VLOOKUP($C795,VLOOKUP_spp!$A$2:$D$103,4,1)</f>
        <v>Diptera</v>
      </c>
      <c r="G795" t="str">
        <f>VLOOKUP($F795,VLOOKUP_spp!$A$2:$E$102,5,1)</f>
        <v>Diptera</v>
      </c>
      <c r="H795" t="str">
        <f t="shared" si="12"/>
        <v>Aug</v>
      </c>
      <c r="I795">
        <v>1</v>
      </c>
    </row>
    <row r="796" spans="1:9" x14ac:dyDescent="0.35">
      <c r="A796">
        <v>795</v>
      </c>
      <c r="B796" s="2">
        <v>44064</v>
      </c>
      <c r="C796" t="s">
        <v>101</v>
      </c>
      <c r="D796" t="s">
        <v>147</v>
      </c>
      <c r="E796">
        <v>1</v>
      </c>
      <c r="F796" t="str">
        <f>VLOOKUP($C796,VLOOKUP_spp!$A$2:$D$103,4,1)</f>
        <v>Halictus_tripartitus</v>
      </c>
      <c r="G796" t="str">
        <f>VLOOKUP($F796,VLOOKUP_spp!$A$2:$E$102,5,1)</f>
        <v>Hymenoptera</v>
      </c>
      <c r="H796" t="str">
        <f t="shared" si="12"/>
        <v>Aug</v>
      </c>
      <c r="I796">
        <v>1</v>
      </c>
    </row>
    <row r="797" spans="1:9" x14ac:dyDescent="0.35">
      <c r="A797">
        <v>796</v>
      </c>
      <c r="B797" s="2">
        <v>44064</v>
      </c>
      <c r="C797" t="s">
        <v>103</v>
      </c>
      <c r="D797" t="s">
        <v>157</v>
      </c>
      <c r="E797">
        <v>1</v>
      </c>
      <c r="F797" t="str">
        <f>VLOOKUP($C797,VLOOKUP_spp!$A$2:$D$103,4,1)</f>
        <v>Hylaeus</v>
      </c>
      <c r="G797" t="str">
        <f>VLOOKUP($F797,VLOOKUP_spp!$A$2:$E$102,5,1)</f>
        <v>Hymenoptera</v>
      </c>
      <c r="H797" t="str">
        <f t="shared" si="12"/>
        <v>Aug</v>
      </c>
      <c r="I797">
        <v>1</v>
      </c>
    </row>
    <row r="798" spans="1:9" x14ac:dyDescent="0.35">
      <c r="A798">
        <v>797</v>
      </c>
      <c r="B798" s="2">
        <v>44064</v>
      </c>
      <c r="C798" t="s">
        <v>103</v>
      </c>
      <c r="D798" t="s">
        <v>150</v>
      </c>
      <c r="E798">
        <v>1</v>
      </c>
      <c r="F798" t="str">
        <f>VLOOKUP($C798,VLOOKUP_spp!$A$2:$D$103,4,1)</f>
        <v>Hylaeus</v>
      </c>
      <c r="G798" t="str">
        <f>VLOOKUP($F798,VLOOKUP_spp!$A$2:$E$102,5,1)</f>
        <v>Hymenoptera</v>
      </c>
      <c r="H798" t="str">
        <f t="shared" si="12"/>
        <v>Aug</v>
      </c>
      <c r="I798">
        <v>1</v>
      </c>
    </row>
    <row r="799" spans="1:9" x14ac:dyDescent="0.35">
      <c r="A799">
        <v>798</v>
      </c>
      <c r="B799" s="2">
        <v>44064</v>
      </c>
      <c r="C799" t="s">
        <v>103</v>
      </c>
      <c r="D799" t="s">
        <v>147</v>
      </c>
      <c r="E799">
        <v>1</v>
      </c>
      <c r="F799" t="str">
        <f>VLOOKUP($C799,VLOOKUP_spp!$A$2:$D$103,4,1)</f>
        <v>Hylaeus</v>
      </c>
      <c r="G799" t="str">
        <f>VLOOKUP($F799,VLOOKUP_spp!$A$2:$E$102,5,1)</f>
        <v>Hymenoptera</v>
      </c>
      <c r="H799" t="str">
        <f t="shared" si="12"/>
        <v>Aug</v>
      </c>
      <c r="I799">
        <v>1</v>
      </c>
    </row>
    <row r="800" spans="1:9" x14ac:dyDescent="0.35">
      <c r="A800">
        <v>799</v>
      </c>
      <c r="B800" s="2">
        <v>44064</v>
      </c>
      <c r="C800" t="s">
        <v>105</v>
      </c>
      <c r="D800" t="s">
        <v>157</v>
      </c>
      <c r="E800">
        <v>1</v>
      </c>
      <c r="F800" t="str">
        <f>VLOOKUP($C800,VLOOKUP_spp!$A$2:$D$103,4,1)</f>
        <v>Hylaeus_modestus</v>
      </c>
      <c r="G800" t="str">
        <f>VLOOKUP($F800,VLOOKUP_spp!$A$2:$E$102,5,1)</f>
        <v>Hymenoptera</v>
      </c>
      <c r="H800" t="str">
        <f t="shared" si="12"/>
        <v>Aug</v>
      </c>
      <c r="I800">
        <v>1</v>
      </c>
    </row>
    <row r="801" spans="1:9" x14ac:dyDescent="0.35">
      <c r="A801">
        <v>800</v>
      </c>
      <c r="B801" s="2">
        <v>44064</v>
      </c>
      <c r="C801" t="s">
        <v>115</v>
      </c>
      <c r="D801" t="s">
        <v>157</v>
      </c>
      <c r="E801">
        <v>2</v>
      </c>
      <c r="F801" t="str">
        <f>VLOOKUP($C801,VLOOKUP_spp!$A$2:$D$103,4,1)</f>
        <v>Nomada</v>
      </c>
      <c r="G801" t="str">
        <f>VLOOKUP($F801,VLOOKUP_spp!$A$2:$E$102,5,1)</f>
        <v>Hymenoptera</v>
      </c>
      <c r="H801" t="str">
        <f t="shared" si="12"/>
        <v>Aug</v>
      </c>
      <c r="I801">
        <v>1</v>
      </c>
    </row>
    <row r="802" spans="1:9" x14ac:dyDescent="0.35">
      <c r="A802">
        <v>801</v>
      </c>
      <c r="B802" s="2">
        <v>44064</v>
      </c>
      <c r="C802" t="s">
        <v>128</v>
      </c>
      <c r="D802" t="s">
        <v>157</v>
      </c>
      <c r="E802">
        <v>2</v>
      </c>
      <c r="F802" t="str">
        <f>VLOOKUP($C802,VLOOKUP_spp!$A$2:$D$103,4,1)</f>
        <v>Wasp</v>
      </c>
      <c r="G802" t="str">
        <f>VLOOKUP($F802,VLOOKUP_spp!$A$2:$E$102,5,1)</f>
        <v>Hymenoptera</v>
      </c>
      <c r="H802" t="str">
        <f t="shared" si="12"/>
        <v>Aug</v>
      </c>
      <c r="I802">
        <v>1</v>
      </c>
    </row>
    <row r="803" spans="1:9" x14ac:dyDescent="0.35">
      <c r="A803">
        <v>802</v>
      </c>
      <c r="B803" s="2">
        <v>44064</v>
      </c>
      <c r="C803" t="s">
        <v>128</v>
      </c>
      <c r="D803" t="s">
        <v>148</v>
      </c>
      <c r="E803">
        <v>1</v>
      </c>
      <c r="F803" t="str">
        <f>VLOOKUP($C803,VLOOKUP_spp!$A$2:$D$103,4,1)</f>
        <v>Wasp</v>
      </c>
      <c r="G803" t="str">
        <f>VLOOKUP($F803,VLOOKUP_spp!$A$2:$E$102,5,1)</f>
        <v>Hymenoptera</v>
      </c>
      <c r="H803" t="str">
        <f t="shared" si="12"/>
        <v>Aug</v>
      </c>
      <c r="I803">
        <v>1</v>
      </c>
    </row>
    <row r="804" spans="1:9" x14ac:dyDescent="0.35">
      <c r="A804">
        <v>803</v>
      </c>
      <c r="B804" s="2">
        <v>44064</v>
      </c>
      <c r="C804" t="s">
        <v>128</v>
      </c>
      <c r="D804" t="s">
        <v>158</v>
      </c>
      <c r="E804">
        <v>1</v>
      </c>
      <c r="F804" t="str">
        <f>VLOOKUP($C804,VLOOKUP_spp!$A$2:$D$103,4,1)</f>
        <v>Wasp</v>
      </c>
      <c r="G804" t="str">
        <f>VLOOKUP($F804,VLOOKUP_spp!$A$2:$E$102,5,1)</f>
        <v>Hymenoptera</v>
      </c>
      <c r="H804" t="str">
        <f t="shared" si="12"/>
        <v>Aug</v>
      </c>
      <c r="I804">
        <v>1</v>
      </c>
    </row>
    <row r="805" spans="1:9" x14ac:dyDescent="0.35">
      <c r="A805">
        <v>804</v>
      </c>
      <c r="B805" s="2">
        <v>44064</v>
      </c>
      <c r="C805" t="s">
        <v>128</v>
      </c>
      <c r="D805" t="s">
        <v>154</v>
      </c>
      <c r="E805">
        <v>2</v>
      </c>
      <c r="F805" t="str">
        <f>VLOOKUP($C805,VLOOKUP_spp!$A$2:$D$103,4,1)</f>
        <v>Wasp</v>
      </c>
      <c r="G805" t="str">
        <f>VLOOKUP($F805,VLOOKUP_spp!$A$2:$E$102,5,1)</f>
        <v>Hymenoptera</v>
      </c>
      <c r="H805" t="str">
        <f t="shared" si="12"/>
        <v>Aug</v>
      </c>
      <c r="I805">
        <v>1</v>
      </c>
    </row>
    <row r="806" spans="1:9" x14ac:dyDescent="0.35">
      <c r="A806">
        <v>805</v>
      </c>
      <c r="B806" s="2">
        <v>44064</v>
      </c>
      <c r="C806" t="s">
        <v>128</v>
      </c>
      <c r="D806" t="s">
        <v>161</v>
      </c>
      <c r="E806">
        <v>1</v>
      </c>
      <c r="F806" t="str">
        <f>VLOOKUP($C806,VLOOKUP_spp!$A$2:$D$103,4,1)</f>
        <v>Wasp</v>
      </c>
      <c r="G806" t="str">
        <f>VLOOKUP($F806,VLOOKUP_spp!$A$2:$E$102,5,1)</f>
        <v>Hymenoptera</v>
      </c>
      <c r="H806" t="str">
        <f t="shared" si="12"/>
        <v>Aug</v>
      </c>
      <c r="I806">
        <v>1</v>
      </c>
    </row>
    <row r="807" spans="1:9" x14ac:dyDescent="0.35">
      <c r="A807">
        <v>806</v>
      </c>
      <c r="B807" s="2">
        <v>44064</v>
      </c>
      <c r="C807" t="s">
        <v>128</v>
      </c>
      <c r="D807" t="s">
        <v>175</v>
      </c>
      <c r="E807">
        <v>2</v>
      </c>
      <c r="F807" t="str">
        <f>VLOOKUP($C807,VLOOKUP_spp!$A$2:$D$103,4,1)</f>
        <v>Wasp</v>
      </c>
      <c r="G807" t="str">
        <f>VLOOKUP($F807,VLOOKUP_spp!$A$2:$E$102,5,1)</f>
        <v>Hymenoptera</v>
      </c>
      <c r="H807" t="str">
        <f t="shared" si="12"/>
        <v>Aug</v>
      </c>
      <c r="I807">
        <v>1</v>
      </c>
    </row>
    <row r="808" spans="1:9" x14ac:dyDescent="0.35">
      <c r="A808">
        <v>807</v>
      </c>
      <c r="B808" s="2">
        <v>44064</v>
      </c>
      <c r="C808" t="s">
        <v>128</v>
      </c>
      <c r="D808" t="s">
        <v>147</v>
      </c>
      <c r="E808">
        <v>20</v>
      </c>
      <c r="F808" t="str">
        <f>VLOOKUP($C808,VLOOKUP_spp!$A$2:$D$103,4,1)</f>
        <v>Wasp</v>
      </c>
      <c r="G808" t="str">
        <f>VLOOKUP($F808,VLOOKUP_spp!$A$2:$E$102,5,1)</f>
        <v>Hymenoptera</v>
      </c>
      <c r="H808" t="str">
        <f t="shared" si="12"/>
        <v>Aug</v>
      </c>
      <c r="I808">
        <v>1</v>
      </c>
    </row>
    <row r="809" spans="1:9" x14ac:dyDescent="0.35">
      <c r="A809">
        <v>808</v>
      </c>
      <c r="B809" s="2">
        <v>44067</v>
      </c>
      <c r="C809" t="s">
        <v>48</v>
      </c>
      <c r="D809" t="s">
        <v>173</v>
      </c>
      <c r="E809">
        <v>1</v>
      </c>
      <c r="F809" t="str">
        <f>VLOOKUP($C809,VLOOKUP_spp!$A$2:$D$103,4,1)</f>
        <v>Apis_mellifera</v>
      </c>
      <c r="G809" t="str">
        <f>VLOOKUP($F809,VLOOKUP_spp!$A$2:$E$102,5,1)</f>
        <v>Hymenoptera</v>
      </c>
      <c r="H809" t="str">
        <f t="shared" si="12"/>
        <v>Aug</v>
      </c>
      <c r="I809">
        <v>1</v>
      </c>
    </row>
    <row r="810" spans="1:9" x14ac:dyDescent="0.35">
      <c r="A810">
        <v>809</v>
      </c>
      <c r="B810" s="2">
        <v>44067</v>
      </c>
      <c r="C810" t="s">
        <v>50</v>
      </c>
      <c r="D810" t="s">
        <v>173</v>
      </c>
      <c r="E810">
        <v>2</v>
      </c>
      <c r="F810" t="str">
        <f>VLOOKUP($C810,VLOOKUP_spp!$A$2:$D$103,4,1)</f>
        <v>Apis_mellifera</v>
      </c>
      <c r="G810" t="str">
        <f>VLOOKUP($F810,VLOOKUP_spp!$A$2:$E$102,5,1)</f>
        <v>Hymenoptera</v>
      </c>
      <c r="H810" t="str">
        <f t="shared" si="12"/>
        <v>Aug</v>
      </c>
      <c r="I810">
        <v>1</v>
      </c>
    </row>
    <row r="811" spans="1:9" x14ac:dyDescent="0.35">
      <c r="A811">
        <v>810</v>
      </c>
      <c r="B811" s="2">
        <v>44067</v>
      </c>
      <c r="C811" t="s">
        <v>85</v>
      </c>
      <c r="D811" t="s">
        <v>173</v>
      </c>
      <c r="E811">
        <v>1</v>
      </c>
      <c r="F811" t="str">
        <f>VLOOKUP($C811,VLOOKUP_spp!$A$2:$D$103,4,1)</f>
        <v>Ceratina</v>
      </c>
      <c r="G811" t="str">
        <f>VLOOKUP($F811,VLOOKUP_spp!$A$2:$E$102,5,1)</f>
        <v>Hymenoptera</v>
      </c>
      <c r="H811" t="str">
        <f t="shared" si="12"/>
        <v>Aug</v>
      </c>
      <c r="I811">
        <v>1</v>
      </c>
    </row>
    <row r="812" spans="1:9" x14ac:dyDescent="0.35">
      <c r="A812">
        <v>811</v>
      </c>
      <c r="B812" s="2">
        <v>44067</v>
      </c>
      <c r="C812" t="s">
        <v>98</v>
      </c>
      <c r="D812" t="s">
        <v>172</v>
      </c>
      <c r="E812">
        <v>1</v>
      </c>
      <c r="F812" t="str">
        <f>VLOOKUP($C812,VLOOKUP_spp!$A$2:$D$103,4,1)</f>
        <v>Halictus_ligatus</v>
      </c>
      <c r="G812" t="str">
        <f>VLOOKUP($F812,VLOOKUP_spp!$A$2:$E$102,5,1)</f>
        <v>Hymenoptera</v>
      </c>
      <c r="H812" t="str">
        <f t="shared" si="12"/>
        <v>Aug</v>
      </c>
      <c r="I812">
        <v>1</v>
      </c>
    </row>
    <row r="813" spans="1:9" x14ac:dyDescent="0.35">
      <c r="A813">
        <v>812</v>
      </c>
      <c r="B813" s="2">
        <v>44067</v>
      </c>
      <c r="C813" t="s">
        <v>101</v>
      </c>
      <c r="D813" t="s">
        <v>172</v>
      </c>
      <c r="E813">
        <v>1</v>
      </c>
      <c r="F813" t="str">
        <f>VLOOKUP($C813,VLOOKUP_spp!$A$2:$D$103,4,1)</f>
        <v>Halictus_tripartitus</v>
      </c>
      <c r="G813" t="str">
        <f>VLOOKUP($F813,VLOOKUP_spp!$A$2:$E$102,5,1)</f>
        <v>Hymenoptera</v>
      </c>
      <c r="H813" t="str">
        <f t="shared" si="12"/>
        <v>Aug</v>
      </c>
      <c r="I813">
        <v>1</v>
      </c>
    </row>
    <row r="814" spans="1:9" x14ac:dyDescent="0.35">
      <c r="A814">
        <v>813</v>
      </c>
      <c r="B814" s="2">
        <v>44067</v>
      </c>
      <c r="C814" t="s">
        <v>103</v>
      </c>
      <c r="D814" t="s">
        <v>173</v>
      </c>
      <c r="E814">
        <v>1</v>
      </c>
      <c r="F814" t="str">
        <f>VLOOKUP($C814,VLOOKUP_spp!$A$2:$D$103,4,1)</f>
        <v>Hylaeus</v>
      </c>
      <c r="G814" t="str">
        <f>VLOOKUP($F814,VLOOKUP_spp!$A$2:$E$102,5,1)</f>
        <v>Hymenoptera</v>
      </c>
      <c r="H814" t="str">
        <f t="shared" si="12"/>
        <v>Aug</v>
      </c>
      <c r="I814">
        <v>1</v>
      </c>
    </row>
    <row r="815" spans="1:9" x14ac:dyDescent="0.35">
      <c r="A815">
        <v>814</v>
      </c>
      <c r="B815" s="2">
        <v>44067</v>
      </c>
      <c r="C815" t="s">
        <v>106</v>
      </c>
      <c r="D815" t="s">
        <v>172</v>
      </c>
      <c r="E815">
        <v>1</v>
      </c>
      <c r="F815" t="str">
        <f>VLOOKUP($C815,VLOOKUP_spp!$A$2:$D$103,4,1)</f>
        <v>Lasioglossum</v>
      </c>
      <c r="G815" t="str">
        <f>VLOOKUP($F815,VLOOKUP_spp!$A$2:$E$102,5,1)</f>
        <v>Hymenoptera</v>
      </c>
      <c r="H815" t="str">
        <f t="shared" si="12"/>
        <v>Aug</v>
      </c>
      <c r="I815">
        <v>1</v>
      </c>
    </row>
    <row r="816" spans="1:9" x14ac:dyDescent="0.35">
      <c r="A816">
        <v>815</v>
      </c>
      <c r="B816" s="2">
        <v>44067</v>
      </c>
      <c r="C816" t="s">
        <v>111</v>
      </c>
      <c r="D816" t="s">
        <v>173</v>
      </c>
      <c r="E816">
        <v>1</v>
      </c>
      <c r="F816">
        <f>VLOOKUP($C816,VLOOKUP_spp!$A$2:$D$103,4,1)</f>
        <v>0</v>
      </c>
      <c r="G816" t="e">
        <f>VLOOKUP($F816,VLOOKUP_spp!$A$2:$E$102,5,1)</f>
        <v>#N/A</v>
      </c>
      <c r="H816" t="str">
        <f t="shared" si="12"/>
        <v>Aug</v>
      </c>
      <c r="I816">
        <v>1</v>
      </c>
    </row>
    <row r="817" spans="1:9" x14ac:dyDescent="0.35">
      <c r="A817">
        <v>816</v>
      </c>
      <c r="B817" s="2">
        <v>44067</v>
      </c>
      <c r="C817" t="s">
        <v>126</v>
      </c>
      <c r="D817" t="s">
        <v>173</v>
      </c>
      <c r="E817">
        <v>1</v>
      </c>
      <c r="F817" t="str">
        <f>VLOOKUP($C817,VLOOKUP_spp!$A$2:$D$103,4,1)</f>
        <v>Syrphidae</v>
      </c>
      <c r="G817" t="str">
        <f>VLOOKUP($F817,VLOOKUP_spp!$A$2:$E$102,5,1)</f>
        <v>Diptera</v>
      </c>
      <c r="H817" t="str">
        <f t="shared" si="12"/>
        <v>Aug</v>
      </c>
      <c r="I817">
        <v>1</v>
      </c>
    </row>
    <row r="818" spans="1:9" x14ac:dyDescent="0.35">
      <c r="A818">
        <v>817</v>
      </c>
      <c r="B818" s="2">
        <v>44069</v>
      </c>
      <c r="C818" t="s">
        <v>50</v>
      </c>
      <c r="D818" t="s">
        <v>171</v>
      </c>
      <c r="E818">
        <v>1</v>
      </c>
      <c r="F818" t="str">
        <f>VLOOKUP($C818,VLOOKUP_spp!$A$2:$D$103,4,1)</f>
        <v>Apis_mellifera</v>
      </c>
      <c r="G818" t="str">
        <f>VLOOKUP($F818,VLOOKUP_spp!$A$2:$E$102,5,1)</f>
        <v>Hymenoptera</v>
      </c>
      <c r="H818" t="str">
        <f t="shared" si="12"/>
        <v>Aug</v>
      </c>
      <c r="I818">
        <v>1</v>
      </c>
    </row>
    <row r="819" spans="1:9" x14ac:dyDescent="0.35">
      <c r="A819">
        <v>818</v>
      </c>
      <c r="B819" s="2">
        <v>44069</v>
      </c>
      <c r="C819" t="s">
        <v>50</v>
      </c>
      <c r="D819" t="s">
        <v>157</v>
      </c>
      <c r="E819">
        <v>5</v>
      </c>
      <c r="F819" t="str">
        <f>VLOOKUP($C819,VLOOKUP_spp!$A$2:$D$103,4,1)</f>
        <v>Apis_mellifera</v>
      </c>
      <c r="G819" t="str">
        <f>VLOOKUP($F819,VLOOKUP_spp!$A$2:$E$102,5,1)</f>
        <v>Hymenoptera</v>
      </c>
      <c r="H819" t="str">
        <f t="shared" si="12"/>
        <v>Aug</v>
      </c>
      <c r="I819">
        <v>1</v>
      </c>
    </row>
    <row r="820" spans="1:9" x14ac:dyDescent="0.35">
      <c r="A820">
        <v>819</v>
      </c>
      <c r="B820" s="2">
        <v>44069</v>
      </c>
      <c r="C820" t="s">
        <v>50</v>
      </c>
      <c r="D820" t="s">
        <v>158</v>
      </c>
      <c r="E820">
        <v>2</v>
      </c>
      <c r="F820" t="str">
        <f>VLOOKUP($C820,VLOOKUP_spp!$A$2:$D$103,4,1)</f>
        <v>Apis_mellifera</v>
      </c>
      <c r="G820" t="str">
        <f>VLOOKUP($F820,VLOOKUP_spp!$A$2:$E$102,5,1)</f>
        <v>Hymenoptera</v>
      </c>
      <c r="H820" t="str">
        <f t="shared" si="12"/>
        <v>Aug</v>
      </c>
      <c r="I820">
        <v>1</v>
      </c>
    </row>
    <row r="821" spans="1:9" x14ac:dyDescent="0.35">
      <c r="A821">
        <v>820</v>
      </c>
      <c r="B821" s="2">
        <v>44069</v>
      </c>
      <c r="C821" t="s">
        <v>50</v>
      </c>
      <c r="D821" t="s">
        <v>173</v>
      </c>
      <c r="E821">
        <v>4</v>
      </c>
      <c r="F821" t="str">
        <f>VLOOKUP($C821,VLOOKUP_spp!$A$2:$D$103,4,1)</f>
        <v>Apis_mellifera</v>
      </c>
      <c r="G821" t="str">
        <f>VLOOKUP($F821,VLOOKUP_spp!$A$2:$E$102,5,1)</f>
        <v>Hymenoptera</v>
      </c>
      <c r="H821" t="str">
        <f t="shared" si="12"/>
        <v>Aug</v>
      </c>
      <c r="I821">
        <v>1</v>
      </c>
    </row>
    <row r="822" spans="1:9" x14ac:dyDescent="0.35">
      <c r="A822">
        <v>821</v>
      </c>
      <c r="B822" s="2">
        <v>44069</v>
      </c>
      <c r="C822" t="s">
        <v>50</v>
      </c>
      <c r="D822" t="s">
        <v>154</v>
      </c>
      <c r="E822">
        <v>3</v>
      </c>
      <c r="F822" t="str">
        <f>VLOOKUP($C822,VLOOKUP_spp!$A$2:$D$103,4,1)</f>
        <v>Apis_mellifera</v>
      </c>
      <c r="G822" t="str">
        <f>VLOOKUP($F822,VLOOKUP_spp!$A$2:$E$102,5,1)</f>
        <v>Hymenoptera</v>
      </c>
      <c r="H822" t="str">
        <f t="shared" si="12"/>
        <v>Aug</v>
      </c>
      <c r="I822">
        <v>1</v>
      </c>
    </row>
    <row r="823" spans="1:9" x14ac:dyDescent="0.35">
      <c r="A823">
        <v>822</v>
      </c>
      <c r="B823" s="2">
        <v>44069</v>
      </c>
      <c r="C823" t="s">
        <v>50</v>
      </c>
      <c r="D823" t="s">
        <v>172</v>
      </c>
      <c r="E823">
        <v>2</v>
      </c>
      <c r="F823" t="str">
        <f>VLOOKUP($C823,VLOOKUP_spp!$A$2:$D$103,4,1)</f>
        <v>Apis_mellifera</v>
      </c>
      <c r="G823" t="str">
        <f>VLOOKUP($F823,VLOOKUP_spp!$A$2:$E$102,5,1)</f>
        <v>Hymenoptera</v>
      </c>
      <c r="H823" t="str">
        <f t="shared" si="12"/>
        <v>Aug</v>
      </c>
      <c r="I823">
        <v>1</v>
      </c>
    </row>
    <row r="824" spans="1:9" x14ac:dyDescent="0.35">
      <c r="A824">
        <v>823</v>
      </c>
      <c r="B824" s="2">
        <v>44069</v>
      </c>
      <c r="C824" t="s">
        <v>50</v>
      </c>
      <c r="D824" t="s">
        <v>167</v>
      </c>
      <c r="E824">
        <v>2</v>
      </c>
      <c r="F824" t="str">
        <f>VLOOKUP($C824,VLOOKUP_spp!$A$2:$D$103,4,1)</f>
        <v>Apis_mellifera</v>
      </c>
      <c r="G824" t="str">
        <f>VLOOKUP($F824,VLOOKUP_spp!$A$2:$E$102,5,1)</f>
        <v>Hymenoptera</v>
      </c>
      <c r="H824" t="str">
        <f t="shared" si="12"/>
        <v>Aug</v>
      </c>
      <c r="I824">
        <v>1</v>
      </c>
    </row>
    <row r="825" spans="1:9" x14ac:dyDescent="0.35">
      <c r="A825">
        <v>824</v>
      </c>
      <c r="B825" s="2">
        <v>44069</v>
      </c>
      <c r="C825" t="s">
        <v>50</v>
      </c>
      <c r="D825" t="s">
        <v>159</v>
      </c>
      <c r="E825">
        <v>3</v>
      </c>
      <c r="F825" t="str">
        <f>VLOOKUP($C825,VLOOKUP_spp!$A$2:$D$103,4,1)</f>
        <v>Apis_mellifera</v>
      </c>
      <c r="G825" t="str">
        <f>VLOOKUP($F825,VLOOKUP_spp!$A$2:$E$102,5,1)</f>
        <v>Hymenoptera</v>
      </c>
      <c r="H825" t="str">
        <f t="shared" si="12"/>
        <v>Aug</v>
      </c>
      <c r="I825">
        <v>1</v>
      </c>
    </row>
    <row r="826" spans="1:9" x14ac:dyDescent="0.35">
      <c r="A826">
        <v>825</v>
      </c>
      <c r="B826" s="2">
        <v>44069</v>
      </c>
      <c r="C826" t="s">
        <v>50</v>
      </c>
      <c r="D826" t="s">
        <v>160</v>
      </c>
      <c r="E826">
        <v>3</v>
      </c>
      <c r="F826" t="str">
        <f>VLOOKUP($C826,VLOOKUP_spp!$A$2:$D$103,4,1)</f>
        <v>Apis_mellifera</v>
      </c>
      <c r="G826" t="str">
        <f>VLOOKUP($F826,VLOOKUP_spp!$A$2:$E$102,5,1)</f>
        <v>Hymenoptera</v>
      </c>
      <c r="H826" t="str">
        <f t="shared" si="12"/>
        <v>Aug</v>
      </c>
      <c r="I826">
        <v>1</v>
      </c>
    </row>
    <row r="827" spans="1:9" x14ac:dyDescent="0.35">
      <c r="A827">
        <v>826</v>
      </c>
      <c r="B827" s="2">
        <v>44069</v>
      </c>
      <c r="C827" t="s">
        <v>50</v>
      </c>
      <c r="D827" t="s">
        <v>170</v>
      </c>
      <c r="E827">
        <v>5</v>
      </c>
      <c r="F827" t="str">
        <f>VLOOKUP($C827,VLOOKUP_spp!$A$2:$D$103,4,1)</f>
        <v>Apis_mellifera</v>
      </c>
      <c r="G827" t="str">
        <f>VLOOKUP($F827,VLOOKUP_spp!$A$2:$E$102,5,1)</f>
        <v>Hymenoptera</v>
      </c>
      <c r="H827" t="str">
        <f t="shared" si="12"/>
        <v>Aug</v>
      </c>
      <c r="I827">
        <v>1</v>
      </c>
    </row>
    <row r="828" spans="1:9" x14ac:dyDescent="0.35">
      <c r="A828">
        <v>827</v>
      </c>
      <c r="B828" s="2">
        <v>44069</v>
      </c>
      <c r="C828" t="s">
        <v>50</v>
      </c>
      <c r="D828" t="s">
        <v>161</v>
      </c>
      <c r="E828">
        <v>4</v>
      </c>
      <c r="F828" t="str">
        <f>VLOOKUP($C828,VLOOKUP_spp!$A$2:$D$103,4,1)</f>
        <v>Apis_mellifera</v>
      </c>
      <c r="G828" t="str">
        <f>VLOOKUP($F828,VLOOKUP_spp!$A$2:$E$102,5,1)</f>
        <v>Hymenoptera</v>
      </c>
      <c r="H828" t="str">
        <f t="shared" si="12"/>
        <v>Aug</v>
      </c>
      <c r="I828">
        <v>1</v>
      </c>
    </row>
    <row r="829" spans="1:9" x14ac:dyDescent="0.35">
      <c r="A829">
        <v>828</v>
      </c>
      <c r="B829" s="2">
        <v>44069</v>
      </c>
      <c r="C829" t="s">
        <v>50</v>
      </c>
      <c r="D829" t="s">
        <v>175</v>
      </c>
      <c r="E829">
        <v>3</v>
      </c>
      <c r="F829" t="str">
        <f>VLOOKUP($C829,VLOOKUP_spp!$A$2:$D$103,4,1)</f>
        <v>Apis_mellifera</v>
      </c>
      <c r="G829" t="str">
        <f>VLOOKUP($F829,VLOOKUP_spp!$A$2:$E$102,5,1)</f>
        <v>Hymenoptera</v>
      </c>
      <c r="H829" t="str">
        <f t="shared" si="12"/>
        <v>Aug</v>
      </c>
      <c r="I829">
        <v>1</v>
      </c>
    </row>
    <row r="830" spans="1:9" x14ac:dyDescent="0.35">
      <c r="A830">
        <v>829</v>
      </c>
      <c r="B830" s="2">
        <v>44069</v>
      </c>
      <c r="C830" t="s">
        <v>50</v>
      </c>
      <c r="D830" t="s">
        <v>147</v>
      </c>
      <c r="E830">
        <v>3</v>
      </c>
      <c r="F830" t="str">
        <f>VLOOKUP($C830,VLOOKUP_spp!$A$2:$D$103,4,1)</f>
        <v>Apis_mellifera</v>
      </c>
      <c r="G830" t="str">
        <f>VLOOKUP($F830,VLOOKUP_spp!$A$2:$E$102,5,1)</f>
        <v>Hymenoptera</v>
      </c>
      <c r="H830" t="str">
        <f t="shared" si="12"/>
        <v>Aug</v>
      </c>
      <c r="I830">
        <v>1</v>
      </c>
    </row>
    <row r="831" spans="1:9" x14ac:dyDescent="0.35">
      <c r="A831">
        <v>830</v>
      </c>
      <c r="B831" s="2">
        <v>44069</v>
      </c>
      <c r="C831" t="s">
        <v>50</v>
      </c>
      <c r="D831" t="s">
        <v>156</v>
      </c>
      <c r="E831">
        <v>1</v>
      </c>
      <c r="F831" t="str">
        <f>VLOOKUP($C831,VLOOKUP_spp!$A$2:$D$103,4,1)</f>
        <v>Apis_mellifera</v>
      </c>
      <c r="G831" t="str">
        <f>VLOOKUP($F831,VLOOKUP_spp!$A$2:$E$102,5,1)</f>
        <v>Hymenoptera</v>
      </c>
      <c r="H831" t="str">
        <f t="shared" si="12"/>
        <v>Aug</v>
      </c>
      <c r="I831">
        <v>1</v>
      </c>
    </row>
    <row r="832" spans="1:9" x14ac:dyDescent="0.35">
      <c r="A832">
        <v>831</v>
      </c>
      <c r="B832" s="2">
        <v>44069</v>
      </c>
      <c r="C832" t="s">
        <v>50</v>
      </c>
      <c r="D832" t="s">
        <v>164</v>
      </c>
      <c r="E832">
        <v>2</v>
      </c>
      <c r="F832" t="str">
        <f>VLOOKUP($C832,VLOOKUP_spp!$A$2:$D$103,4,1)</f>
        <v>Apis_mellifera</v>
      </c>
      <c r="G832" t="str">
        <f>VLOOKUP($F832,VLOOKUP_spp!$A$2:$E$102,5,1)</f>
        <v>Hymenoptera</v>
      </c>
      <c r="H832" t="str">
        <f t="shared" si="12"/>
        <v>Aug</v>
      </c>
      <c r="I832">
        <v>1</v>
      </c>
    </row>
    <row r="833" spans="1:9" x14ac:dyDescent="0.35">
      <c r="A833">
        <v>832</v>
      </c>
      <c r="B833" s="2">
        <v>44069</v>
      </c>
      <c r="C833" t="s">
        <v>58</v>
      </c>
      <c r="D833" t="s">
        <v>160</v>
      </c>
      <c r="E833">
        <v>5</v>
      </c>
      <c r="F833" t="str">
        <f>VLOOKUP($C833,VLOOKUP_spp!$A$2:$D$103,4,1)</f>
        <v>Bombus_citrinus</v>
      </c>
      <c r="G833" t="str">
        <f>VLOOKUP($F833,VLOOKUP_spp!$A$2:$E$102,5,1)</f>
        <v>Hymenoptera</v>
      </c>
      <c r="H833" t="str">
        <f t="shared" si="12"/>
        <v>Aug</v>
      </c>
      <c r="I833">
        <v>1</v>
      </c>
    </row>
    <row r="834" spans="1:9" x14ac:dyDescent="0.35">
      <c r="A834">
        <v>833</v>
      </c>
      <c r="B834" s="2">
        <v>44069</v>
      </c>
      <c r="C834" t="s">
        <v>67</v>
      </c>
      <c r="D834" t="s">
        <v>157</v>
      </c>
      <c r="E834">
        <v>1</v>
      </c>
      <c r="F834" t="str">
        <f>VLOOKUP($C834,VLOOKUP_spp!$A$2:$D$103,4,1)</f>
        <v>Bombus_impatiens</v>
      </c>
      <c r="G834" t="str">
        <f>VLOOKUP($F834,VLOOKUP_spp!$A$2:$E$102,5,1)</f>
        <v>Hymenoptera</v>
      </c>
      <c r="H834" t="str">
        <f t="shared" si="12"/>
        <v>Aug</v>
      </c>
      <c r="I834">
        <v>1</v>
      </c>
    </row>
    <row r="835" spans="1:9" x14ac:dyDescent="0.35">
      <c r="A835">
        <v>834</v>
      </c>
      <c r="B835" s="2">
        <v>44069</v>
      </c>
      <c r="C835" t="s">
        <v>67</v>
      </c>
      <c r="D835" t="s">
        <v>154</v>
      </c>
      <c r="E835">
        <v>4</v>
      </c>
      <c r="F835" t="str">
        <f>VLOOKUP($C835,VLOOKUP_spp!$A$2:$D$103,4,1)</f>
        <v>Bombus_impatiens</v>
      </c>
      <c r="G835" t="str">
        <f>VLOOKUP($F835,VLOOKUP_spp!$A$2:$E$102,5,1)</f>
        <v>Hymenoptera</v>
      </c>
      <c r="H835" t="str">
        <f t="shared" ref="H835:H898" si="13">TEXT(B835, "mmm")</f>
        <v>Aug</v>
      </c>
      <c r="I835">
        <v>1</v>
      </c>
    </row>
    <row r="836" spans="1:9" x14ac:dyDescent="0.35">
      <c r="A836">
        <v>835</v>
      </c>
      <c r="B836" s="2">
        <v>44069</v>
      </c>
      <c r="C836" t="s">
        <v>67</v>
      </c>
      <c r="D836" t="s">
        <v>170</v>
      </c>
      <c r="E836">
        <v>2</v>
      </c>
      <c r="F836" t="str">
        <f>VLOOKUP($C836,VLOOKUP_spp!$A$2:$D$103,4,1)</f>
        <v>Bombus_impatiens</v>
      </c>
      <c r="G836" t="str">
        <f>VLOOKUP($F836,VLOOKUP_spp!$A$2:$E$102,5,1)</f>
        <v>Hymenoptera</v>
      </c>
      <c r="H836" t="str">
        <f t="shared" si="13"/>
        <v>Aug</v>
      </c>
      <c r="I836">
        <v>1</v>
      </c>
    </row>
    <row r="837" spans="1:9" x14ac:dyDescent="0.35">
      <c r="A837">
        <v>836</v>
      </c>
      <c r="B837" s="2">
        <v>44069</v>
      </c>
      <c r="C837" t="s">
        <v>67</v>
      </c>
      <c r="D837" t="s">
        <v>162</v>
      </c>
      <c r="E837">
        <v>3</v>
      </c>
      <c r="F837" t="str">
        <f>VLOOKUP($C837,VLOOKUP_spp!$A$2:$D$103,4,1)</f>
        <v>Bombus_impatiens</v>
      </c>
      <c r="G837" t="str">
        <f>VLOOKUP($F837,VLOOKUP_spp!$A$2:$E$102,5,1)</f>
        <v>Hymenoptera</v>
      </c>
      <c r="H837" t="str">
        <f t="shared" si="13"/>
        <v>Aug</v>
      </c>
      <c r="I837">
        <v>1</v>
      </c>
    </row>
    <row r="838" spans="1:9" x14ac:dyDescent="0.35">
      <c r="A838">
        <v>837</v>
      </c>
      <c r="B838" s="2">
        <v>44069</v>
      </c>
      <c r="C838" t="s">
        <v>67</v>
      </c>
      <c r="D838" t="s">
        <v>156</v>
      </c>
      <c r="E838">
        <v>2</v>
      </c>
      <c r="F838" t="str">
        <f>VLOOKUP($C838,VLOOKUP_spp!$A$2:$D$103,4,1)</f>
        <v>Bombus_impatiens</v>
      </c>
      <c r="G838" t="str">
        <f>VLOOKUP($F838,VLOOKUP_spp!$A$2:$E$102,5,1)</f>
        <v>Hymenoptera</v>
      </c>
      <c r="H838" t="str">
        <f t="shared" si="13"/>
        <v>Aug</v>
      </c>
      <c r="I838">
        <v>1</v>
      </c>
    </row>
    <row r="839" spans="1:9" x14ac:dyDescent="0.35">
      <c r="A839">
        <v>838</v>
      </c>
      <c r="B839" s="2">
        <v>44069</v>
      </c>
      <c r="C839" t="s">
        <v>77</v>
      </c>
      <c r="D839" t="s">
        <v>156</v>
      </c>
      <c r="E839">
        <v>1</v>
      </c>
      <c r="F839" t="str">
        <f>VLOOKUP($C839,VLOOKUP_spp!$A$2:$D$103,4,1)</f>
        <v>Bombus_vagans_sandersoni</v>
      </c>
      <c r="G839" t="str">
        <f>VLOOKUP($F839,VLOOKUP_spp!$A$2:$E$102,5,1)</f>
        <v>Hymenoptera</v>
      </c>
      <c r="H839" t="str">
        <f t="shared" si="13"/>
        <v>Aug</v>
      </c>
      <c r="I839">
        <v>1</v>
      </c>
    </row>
    <row r="840" spans="1:9" x14ac:dyDescent="0.35">
      <c r="A840">
        <v>839</v>
      </c>
      <c r="B840" s="2">
        <v>44069</v>
      </c>
      <c r="C840" t="s">
        <v>7</v>
      </c>
      <c r="D840" t="s">
        <v>157</v>
      </c>
      <c r="E840">
        <v>1</v>
      </c>
      <c r="F840" t="str">
        <f>VLOOKUP($C840,VLOOKUP_spp!$A$2:$D$103,4,1)</f>
        <v>Coleoptera</v>
      </c>
      <c r="G840" t="str">
        <f>VLOOKUP($F840,VLOOKUP_spp!$A$2:$E$102,5,1)</f>
        <v>Coleoptera</v>
      </c>
      <c r="H840" t="str">
        <f t="shared" si="13"/>
        <v>Aug</v>
      </c>
      <c r="I840">
        <v>1</v>
      </c>
    </row>
    <row r="841" spans="1:9" x14ac:dyDescent="0.35">
      <c r="A841">
        <v>840</v>
      </c>
      <c r="B841" s="2">
        <v>44069</v>
      </c>
      <c r="C841" t="s">
        <v>7</v>
      </c>
      <c r="D841" t="s">
        <v>172</v>
      </c>
      <c r="E841">
        <v>6</v>
      </c>
      <c r="F841" t="str">
        <f>VLOOKUP($C841,VLOOKUP_spp!$A$2:$D$103,4,1)</f>
        <v>Coleoptera</v>
      </c>
      <c r="G841" t="str">
        <f>VLOOKUP($F841,VLOOKUP_spp!$A$2:$E$102,5,1)</f>
        <v>Coleoptera</v>
      </c>
      <c r="H841" t="str">
        <f t="shared" si="13"/>
        <v>Aug</v>
      </c>
      <c r="I841">
        <v>1</v>
      </c>
    </row>
    <row r="842" spans="1:9" x14ac:dyDescent="0.35">
      <c r="A842">
        <v>841</v>
      </c>
      <c r="B842" s="2">
        <v>44069</v>
      </c>
      <c r="C842" t="s">
        <v>7</v>
      </c>
      <c r="D842" t="s">
        <v>150</v>
      </c>
      <c r="E842">
        <v>1</v>
      </c>
      <c r="F842" t="str">
        <f>VLOOKUP($C842,VLOOKUP_spp!$A$2:$D$103,4,1)</f>
        <v>Coleoptera</v>
      </c>
      <c r="G842" t="str">
        <f>VLOOKUP($F842,VLOOKUP_spp!$A$2:$E$102,5,1)</f>
        <v>Coleoptera</v>
      </c>
      <c r="H842" t="str">
        <f t="shared" si="13"/>
        <v>Aug</v>
      </c>
      <c r="I842">
        <v>1</v>
      </c>
    </row>
    <row r="843" spans="1:9" x14ac:dyDescent="0.35">
      <c r="A843">
        <v>842</v>
      </c>
      <c r="B843" s="2">
        <v>44069</v>
      </c>
      <c r="C843" t="s">
        <v>7</v>
      </c>
      <c r="D843" t="s">
        <v>162</v>
      </c>
      <c r="E843">
        <v>3</v>
      </c>
      <c r="F843" t="str">
        <f>VLOOKUP($C843,VLOOKUP_spp!$A$2:$D$103,4,1)</f>
        <v>Coleoptera</v>
      </c>
      <c r="G843" t="str">
        <f>VLOOKUP($F843,VLOOKUP_spp!$A$2:$E$102,5,1)</f>
        <v>Coleoptera</v>
      </c>
      <c r="H843" t="str">
        <f t="shared" si="13"/>
        <v>Aug</v>
      </c>
      <c r="I843">
        <v>1</v>
      </c>
    </row>
    <row r="844" spans="1:9" x14ac:dyDescent="0.35">
      <c r="A844">
        <v>843</v>
      </c>
      <c r="B844" s="2">
        <v>44069</v>
      </c>
      <c r="C844" t="s">
        <v>6</v>
      </c>
      <c r="D844" t="s">
        <v>157</v>
      </c>
      <c r="E844">
        <v>3</v>
      </c>
      <c r="F844" t="str">
        <f>VLOOKUP($C844,VLOOKUP_spp!$A$2:$D$103,4,1)</f>
        <v>Diptera</v>
      </c>
      <c r="G844" t="str">
        <f>VLOOKUP($F844,VLOOKUP_spp!$A$2:$E$102,5,1)</f>
        <v>Diptera</v>
      </c>
      <c r="H844" t="str">
        <f t="shared" si="13"/>
        <v>Aug</v>
      </c>
      <c r="I844">
        <v>1</v>
      </c>
    </row>
    <row r="845" spans="1:9" x14ac:dyDescent="0.35">
      <c r="A845">
        <v>844</v>
      </c>
      <c r="B845" s="2">
        <v>44069</v>
      </c>
      <c r="C845" t="s">
        <v>6</v>
      </c>
      <c r="D845" t="s">
        <v>170</v>
      </c>
      <c r="E845">
        <v>2</v>
      </c>
      <c r="F845" t="str">
        <f>VLOOKUP($C845,VLOOKUP_spp!$A$2:$D$103,4,1)</f>
        <v>Diptera</v>
      </c>
      <c r="G845" t="str">
        <f>VLOOKUP($F845,VLOOKUP_spp!$A$2:$E$102,5,1)</f>
        <v>Diptera</v>
      </c>
      <c r="H845" t="str">
        <f t="shared" si="13"/>
        <v>Aug</v>
      </c>
      <c r="I845">
        <v>1</v>
      </c>
    </row>
    <row r="846" spans="1:9" x14ac:dyDescent="0.35">
      <c r="A846">
        <v>845</v>
      </c>
      <c r="B846" s="2">
        <v>44069</v>
      </c>
      <c r="C846" t="s">
        <v>6</v>
      </c>
      <c r="D846" t="s">
        <v>162</v>
      </c>
      <c r="E846">
        <v>1</v>
      </c>
      <c r="F846" t="str">
        <f>VLOOKUP($C846,VLOOKUP_spp!$A$2:$D$103,4,1)</f>
        <v>Diptera</v>
      </c>
      <c r="G846" t="str">
        <f>VLOOKUP($F846,VLOOKUP_spp!$A$2:$E$102,5,1)</f>
        <v>Diptera</v>
      </c>
      <c r="H846" t="str">
        <f t="shared" si="13"/>
        <v>Aug</v>
      </c>
      <c r="I846">
        <v>1</v>
      </c>
    </row>
    <row r="847" spans="1:9" x14ac:dyDescent="0.35">
      <c r="A847">
        <v>846</v>
      </c>
      <c r="B847" s="2">
        <v>44069</v>
      </c>
      <c r="C847" t="s">
        <v>97</v>
      </c>
      <c r="D847" t="s">
        <v>160</v>
      </c>
      <c r="E847">
        <v>2</v>
      </c>
      <c r="F847" t="str">
        <f>VLOOKUP($C847,VLOOKUP_spp!$A$2:$D$103,4,1)</f>
        <v>Halictus</v>
      </c>
      <c r="G847" t="str">
        <f>VLOOKUP($F847,VLOOKUP_spp!$A$2:$E$102,5,1)</f>
        <v>Hymenoptera</v>
      </c>
      <c r="H847" t="str">
        <f t="shared" si="13"/>
        <v>Aug</v>
      </c>
      <c r="I847">
        <v>1</v>
      </c>
    </row>
    <row r="848" spans="1:9" x14ac:dyDescent="0.35">
      <c r="A848">
        <v>847</v>
      </c>
      <c r="B848" s="2">
        <v>44069</v>
      </c>
      <c r="C848" t="s">
        <v>103</v>
      </c>
      <c r="D848" t="s">
        <v>147</v>
      </c>
      <c r="E848">
        <v>1</v>
      </c>
      <c r="F848" t="str">
        <f>VLOOKUP($C848,VLOOKUP_spp!$A$2:$D$103,4,1)</f>
        <v>Hylaeus</v>
      </c>
      <c r="G848" t="str">
        <f>VLOOKUP($F848,VLOOKUP_spp!$A$2:$E$102,5,1)</f>
        <v>Hymenoptera</v>
      </c>
      <c r="H848" t="str">
        <f t="shared" si="13"/>
        <v>Aug</v>
      </c>
      <c r="I848">
        <v>1</v>
      </c>
    </row>
    <row r="849" spans="1:9" x14ac:dyDescent="0.35">
      <c r="A849">
        <v>848</v>
      </c>
      <c r="B849" s="2">
        <v>44069</v>
      </c>
      <c r="C849" t="s">
        <v>104</v>
      </c>
      <c r="D849" t="s">
        <v>158</v>
      </c>
      <c r="E849">
        <v>1</v>
      </c>
      <c r="F849" t="str">
        <f>VLOOKUP($C849,VLOOKUP_spp!$A$2:$D$103,4,1)</f>
        <v>Hylaeus_leptocephalus</v>
      </c>
      <c r="G849" t="str">
        <f>VLOOKUP($F849,VLOOKUP_spp!$A$2:$E$102,5,1)</f>
        <v>Hymenoptera</v>
      </c>
      <c r="H849" t="str">
        <f t="shared" si="13"/>
        <v>Aug</v>
      </c>
      <c r="I849">
        <v>1</v>
      </c>
    </row>
    <row r="850" spans="1:9" x14ac:dyDescent="0.35">
      <c r="A850">
        <v>849</v>
      </c>
      <c r="B850" s="2">
        <v>44069</v>
      </c>
      <c r="C850" t="s">
        <v>106</v>
      </c>
      <c r="D850" t="s">
        <v>150</v>
      </c>
      <c r="E850">
        <v>2</v>
      </c>
      <c r="F850" t="str">
        <f>VLOOKUP($C850,VLOOKUP_spp!$A$2:$D$103,4,1)</f>
        <v>Lasioglossum</v>
      </c>
      <c r="G850" t="str">
        <f>VLOOKUP($F850,VLOOKUP_spp!$A$2:$E$102,5,1)</f>
        <v>Hymenoptera</v>
      </c>
      <c r="H850" t="str">
        <f t="shared" si="13"/>
        <v>Aug</v>
      </c>
      <c r="I850">
        <v>1</v>
      </c>
    </row>
    <row r="851" spans="1:9" x14ac:dyDescent="0.35">
      <c r="A851">
        <v>850</v>
      </c>
      <c r="B851" s="2">
        <v>44069</v>
      </c>
      <c r="C851" t="s">
        <v>106</v>
      </c>
      <c r="D851" t="s">
        <v>159</v>
      </c>
      <c r="E851">
        <v>2</v>
      </c>
      <c r="F851" t="str">
        <f>VLOOKUP($C851,VLOOKUP_spp!$A$2:$D$103,4,1)</f>
        <v>Lasioglossum</v>
      </c>
      <c r="G851" t="str">
        <f>VLOOKUP($F851,VLOOKUP_spp!$A$2:$E$102,5,1)</f>
        <v>Hymenoptera</v>
      </c>
      <c r="H851" t="str">
        <f t="shared" si="13"/>
        <v>Aug</v>
      </c>
      <c r="I851">
        <v>1</v>
      </c>
    </row>
    <row r="852" spans="1:9" x14ac:dyDescent="0.35">
      <c r="A852">
        <v>851</v>
      </c>
      <c r="B852" s="2">
        <v>44069</v>
      </c>
      <c r="C852" t="s">
        <v>106</v>
      </c>
      <c r="D852" t="s">
        <v>162</v>
      </c>
      <c r="E852">
        <v>1</v>
      </c>
      <c r="F852" t="str">
        <f>VLOOKUP($C852,VLOOKUP_spp!$A$2:$D$103,4,1)</f>
        <v>Lasioglossum</v>
      </c>
      <c r="G852" t="str">
        <f>VLOOKUP($F852,VLOOKUP_spp!$A$2:$E$102,5,1)</f>
        <v>Hymenoptera</v>
      </c>
      <c r="H852" t="str">
        <f t="shared" si="13"/>
        <v>Aug</v>
      </c>
      <c r="I852">
        <v>1</v>
      </c>
    </row>
    <row r="853" spans="1:9" x14ac:dyDescent="0.35">
      <c r="A853">
        <v>852</v>
      </c>
      <c r="B853" s="2">
        <v>44069</v>
      </c>
      <c r="C853" t="s">
        <v>8</v>
      </c>
      <c r="D853" t="s">
        <v>157</v>
      </c>
      <c r="E853">
        <v>1</v>
      </c>
      <c r="F853" t="str">
        <f>VLOOKUP($C853,VLOOKUP_spp!$A$2:$D$103,4,1)</f>
        <v>Lepidoptera</v>
      </c>
      <c r="G853" t="str">
        <f>VLOOKUP($F853,VLOOKUP_spp!$A$2:$E$102,5,1)</f>
        <v>Lepidoptera</v>
      </c>
      <c r="H853" t="str">
        <f t="shared" si="13"/>
        <v>Aug</v>
      </c>
      <c r="I853">
        <v>1</v>
      </c>
    </row>
    <row r="854" spans="1:9" x14ac:dyDescent="0.35">
      <c r="A854">
        <v>853</v>
      </c>
      <c r="B854" s="2">
        <v>44069</v>
      </c>
      <c r="C854" t="s">
        <v>111</v>
      </c>
      <c r="D854" t="s">
        <v>147</v>
      </c>
      <c r="E854">
        <v>2</v>
      </c>
      <c r="F854">
        <f>VLOOKUP($C854,VLOOKUP_spp!$A$2:$D$103,4,1)</f>
        <v>0</v>
      </c>
      <c r="G854" t="e">
        <f>VLOOKUP($F854,VLOOKUP_spp!$A$2:$E$102,5,1)</f>
        <v>#N/A</v>
      </c>
      <c r="H854" t="str">
        <f t="shared" si="13"/>
        <v>Aug</v>
      </c>
      <c r="I854">
        <v>1</v>
      </c>
    </row>
    <row r="855" spans="1:9" x14ac:dyDescent="0.35">
      <c r="A855">
        <v>854</v>
      </c>
      <c r="B855" s="2">
        <v>44069</v>
      </c>
      <c r="C855" t="s">
        <v>113</v>
      </c>
      <c r="D855" t="s">
        <v>147</v>
      </c>
      <c r="E855">
        <v>1</v>
      </c>
      <c r="F855" t="str">
        <f>VLOOKUP($C855,VLOOKUP_spp!$A$2:$D$103,4,1)</f>
        <v>Melissodes_bimaculatus</v>
      </c>
      <c r="G855" t="str">
        <f>VLOOKUP($F855,VLOOKUP_spp!$A$2:$E$102,5,1)</f>
        <v>Hymenoptera</v>
      </c>
      <c r="H855" t="str">
        <f t="shared" si="13"/>
        <v>Aug</v>
      </c>
      <c r="I855">
        <v>1</v>
      </c>
    </row>
    <row r="856" spans="1:9" x14ac:dyDescent="0.35">
      <c r="A856">
        <v>855</v>
      </c>
      <c r="B856" s="2">
        <v>44069</v>
      </c>
      <c r="C856" t="s">
        <v>121</v>
      </c>
      <c r="D856" t="s">
        <v>147</v>
      </c>
      <c r="E856">
        <v>1</v>
      </c>
      <c r="F856" t="str">
        <f>VLOOKUP($C856,VLOOKUP_spp!$A$2:$D$103,4,1)</f>
        <v>Pseudopanurgus</v>
      </c>
      <c r="G856" t="str">
        <f>VLOOKUP($F856,VLOOKUP_spp!$A$2:$E$102,5,1)</f>
        <v>Hymenoptera</v>
      </c>
      <c r="H856" t="str">
        <f t="shared" si="13"/>
        <v>Aug</v>
      </c>
      <c r="I856">
        <v>1</v>
      </c>
    </row>
    <row r="857" spans="1:9" x14ac:dyDescent="0.35">
      <c r="A857">
        <v>856</v>
      </c>
      <c r="B857" s="2">
        <v>44069</v>
      </c>
      <c r="C857" t="s">
        <v>126</v>
      </c>
      <c r="D857" t="s">
        <v>171</v>
      </c>
      <c r="E857">
        <v>2</v>
      </c>
      <c r="F857" t="str">
        <f>VLOOKUP($C857,VLOOKUP_spp!$A$2:$D$103,4,1)</f>
        <v>Syrphidae</v>
      </c>
      <c r="G857" t="str">
        <f>VLOOKUP($F857,VLOOKUP_spp!$A$2:$E$102,5,1)</f>
        <v>Diptera</v>
      </c>
      <c r="H857" t="str">
        <f t="shared" si="13"/>
        <v>Aug</v>
      </c>
      <c r="I857">
        <v>1</v>
      </c>
    </row>
    <row r="858" spans="1:9" x14ac:dyDescent="0.35">
      <c r="A858">
        <v>857</v>
      </c>
      <c r="B858" s="2">
        <v>44069</v>
      </c>
      <c r="C858" t="s">
        <v>126</v>
      </c>
      <c r="D858" t="s">
        <v>172</v>
      </c>
      <c r="E858">
        <v>2</v>
      </c>
      <c r="F858" t="str">
        <f>VLOOKUP($C858,VLOOKUP_spp!$A$2:$D$103,4,1)</f>
        <v>Syrphidae</v>
      </c>
      <c r="G858" t="str">
        <f>VLOOKUP($F858,VLOOKUP_spp!$A$2:$E$102,5,1)</f>
        <v>Diptera</v>
      </c>
      <c r="H858" t="str">
        <f t="shared" si="13"/>
        <v>Aug</v>
      </c>
      <c r="I858">
        <v>1</v>
      </c>
    </row>
    <row r="859" spans="1:9" x14ac:dyDescent="0.35">
      <c r="A859">
        <v>858</v>
      </c>
      <c r="B859" s="2">
        <v>44069</v>
      </c>
      <c r="C859" t="s">
        <v>128</v>
      </c>
      <c r="D859" t="s">
        <v>158</v>
      </c>
      <c r="E859">
        <v>2</v>
      </c>
      <c r="F859" t="str">
        <f>VLOOKUP($C859,VLOOKUP_spp!$A$2:$D$103,4,1)</f>
        <v>Wasp</v>
      </c>
      <c r="G859" t="str">
        <f>VLOOKUP($F859,VLOOKUP_spp!$A$2:$E$102,5,1)</f>
        <v>Hymenoptera</v>
      </c>
      <c r="H859" t="str">
        <f t="shared" si="13"/>
        <v>Aug</v>
      </c>
      <c r="I859">
        <v>1</v>
      </c>
    </row>
    <row r="860" spans="1:9" x14ac:dyDescent="0.35">
      <c r="A860">
        <v>859</v>
      </c>
      <c r="B860" s="2">
        <v>44069</v>
      </c>
      <c r="C860" t="s">
        <v>128</v>
      </c>
      <c r="D860" t="s">
        <v>172</v>
      </c>
      <c r="E860">
        <v>1</v>
      </c>
      <c r="F860" t="str">
        <f>VLOOKUP($C860,VLOOKUP_spp!$A$2:$D$103,4,1)</f>
        <v>Wasp</v>
      </c>
      <c r="G860" t="str">
        <f>VLOOKUP($F860,VLOOKUP_spp!$A$2:$E$102,5,1)</f>
        <v>Hymenoptera</v>
      </c>
      <c r="H860" t="str">
        <f t="shared" si="13"/>
        <v>Aug</v>
      </c>
      <c r="I860">
        <v>1</v>
      </c>
    </row>
    <row r="861" spans="1:9" x14ac:dyDescent="0.35">
      <c r="A861">
        <v>860</v>
      </c>
      <c r="B861" s="2">
        <v>44069</v>
      </c>
      <c r="C861" t="s">
        <v>128</v>
      </c>
      <c r="D861" t="s">
        <v>161</v>
      </c>
      <c r="E861">
        <v>2</v>
      </c>
      <c r="F861" t="str">
        <f>VLOOKUP($C861,VLOOKUP_spp!$A$2:$D$103,4,1)</f>
        <v>Wasp</v>
      </c>
      <c r="G861" t="str">
        <f>VLOOKUP($F861,VLOOKUP_spp!$A$2:$E$102,5,1)</f>
        <v>Hymenoptera</v>
      </c>
      <c r="H861" t="str">
        <f t="shared" si="13"/>
        <v>Aug</v>
      </c>
      <c r="I861">
        <v>1</v>
      </c>
    </row>
    <row r="862" spans="1:9" x14ac:dyDescent="0.35">
      <c r="A862">
        <v>861</v>
      </c>
      <c r="B862" s="2">
        <v>44069</v>
      </c>
      <c r="C862" t="s">
        <v>128</v>
      </c>
      <c r="D862" t="s">
        <v>162</v>
      </c>
      <c r="E862">
        <v>1</v>
      </c>
      <c r="F862" t="str">
        <f>VLOOKUP($C862,VLOOKUP_spp!$A$2:$D$103,4,1)</f>
        <v>Wasp</v>
      </c>
      <c r="G862" t="str">
        <f>VLOOKUP($F862,VLOOKUP_spp!$A$2:$E$102,5,1)</f>
        <v>Hymenoptera</v>
      </c>
      <c r="H862" t="str">
        <f t="shared" si="13"/>
        <v>Aug</v>
      </c>
      <c r="I862">
        <v>1</v>
      </c>
    </row>
    <row r="863" spans="1:9" x14ac:dyDescent="0.35">
      <c r="A863">
        <v>862</v>
      </c>
      <c r="B863" s="2">
        <v>44069</v>
      </c>
      <c r="C863" t="s">
        <v>128</v>
      </c>
      <c r="D863" t="s">
        <v>147</v>
      </c>
      <c r="E863">
        <v>4</v>
      </c>
      <c r="F863" t="str">
        <f>VLOOKUP($C863,VLOOKUP_spp!$A$2:$D$103,4,1)</f>
        <v>Wasp</v>
      </c>
      <c r="G863" t="str">
        <f>VLOOKUP($F863,VLOOKUP_spp!$A$2:$E$102,5,1)</f>
        <v>Hymenoptera</v>
      </c>
      <c r="H863" t="str">
        <f t="shared" si="13"/>
        <v>Aug</v>
      </c>
      <c r="I863">
        <v>1</v>
      </c>
    </row>
    <row r="864" spans="1:9" x14ac:dyDescent="0.35">
      <c r="A864">
        <v>863</v>
      </c>
      <c r="B864" s="2">
        <v>44069</v>
      </c>
      <c r="C864" t="s">
        <v>128</v>
      </c>
      <c r="D864" t="s">
        <v>164</v>
      </c>
      <c r="E864">
        <v>1</v>
      </c>
      <c r="F864" t="str">
        <f>VLOOKUP($C864,VLOOKUP_spp!$A$2:$D$103,4,1)</f>
        <v>Wasp</v>
      </c>
      <c r="G864" t="str">
        <f>VLOOKUP($F864,VLOOKUP_spp!$A$2:$E$102,5,1)</f>
        <v>Hymenoptera</v>
      </c>
      <c r="H864" t="str">
        <f t="shared" si="13"/>
        <v>Aug</v>
      </c>
      <c r="I864">
        <v>1</v>
      </c>
    </row>
    <row r="865" spans="1:9" x14ac:dyDescent="0.35">
      <c r="A865">
        <v>864</v>
      </c>
      <c r="B865" s="2">
        <v>44071</v>
      </c>
      <c r="C865" t="s">
        <v>48</v>
      </c>
      <c r="D865" t="s">
        <v>158</v>
      </c>
      <c r="E865">
        <v>1</v>
      </c>
      <c r="F865" t="str">
        <f>VLOOKUP($C865,VLOOKUP_spp!$A$2:$D$103,4,1)</f>
        <v>Apis_mellifera</v>
      </c>
      <c r="G865" t="str">
        <f>VLOOKUP($F865,VLOOKUP_spp!$A$2:$E$102,5,1)</f>
        <v>Hymenoptera</v>
      </c>
      <c r="H865" t="str">
        <f t="shared" si="13"/>
        <v>Aug</v>
      </c>
      <c r="I865">
        <v>1</v>
      </c>
    </row>
    <row r="866" spans="1:9" x14ac:dyDescent="0.35">
      <c r="A866">
        <v>865</v>
      </c>
      <c r="B866" s="2">
        <v>44071</v>
      </c>
      <c r="C866" t="s">
        <v>50</v>
      </c>
      <c r="D866" t="s">
        <v>171</v>
      </c>
      <c r="E866">
        <v>1</v>
      </c>
      <c r="F866" t="str">
        <f>VLOOKUP($C866,VLOOKUP_spp!$A$2:$D$103,4,1)</f>
        <v>Apis_mellifera</v>
      </c>
      <c r="G866" t="str">
        <f>VLOOKUP($F866,VLOOKUP_spp!$A$2:$E$102,5,1)</f>
        <v>Hymenoptera</v>
      </c>
      <c r="H866" t="str">
        <f t="shared" si="13"/>
        <v>Aug</v>
      </c>
      <c r="I866">
        <v>1</v>
      </c>
    </row>
    <row r="867" spans="1:9" x14ac:dyDescent="0.35">
      <c r="A867">
        <v>866</v>
      </c>
      <c r="B867" s="2">
        <v>44071</v>
      </c>
      <c r="C867" t="s">
        <v>50</v>
      </c>
      <c r="D867" t="s">
        <v>169</v>
      </c>
      <c r="E867">
        <v>6</v>
      </c>
      <c r="F867" t="str">
        <f>VLOOKUP($C867,VLOOKUP_spp!$A$2:$D$103,4,1)</f>
        <v>Apis_mellifera</v>
      </c>
      <c r="G867" t="str">
        <f>VLOOKUP($F867,VLOOKUP_spp!$A$2:$E$102,5,1)</f>
        <v>Hymenoptera</v>
      </c>
      <c r="H867" t="str">
        <f t="shared" si="13"/>
        <v>Aug</v>
      </c>
      <c r="I867">
        <v>1</v>
      </c>
    </row>
    <row r="868" spans="1:9" x14ac:dyDescent="0.35">
      <c r="A868">
        <v>867</v>
      </c>
      <c r="B868" s="2">
        <v>44071</v>
      </c>
      <c r="C868" t="s">
        <v>50</v>
      </c>
      <c r="D868" t="s">
        <v>157</v>
      </c>
      <c r="E868">
        <v>2</v>
      </c>
      <c r="F868" t="str">
        <f>VLOOKUP($C868,VLOOKUP_spp!$A$2:$D$103,4,1)</f>
        <v>Apis_mellifera</v>
      </c>
      <c r="G868" t="str">
        <f>VLOOKUP($F868,VLOOKUP_spp!$A$2:$E$102,5,1)</f>
        <v>Hymenoptera</v>
      </c>
      <c r="H868" t="str">
        <f t="shared" si="13"/>
        <v>Aug</v>
      </c>
      <c r="I868">
        <v>1</v>
      </c>
    </row>
    <row r="869" spans="1:9" x14ac:dyDescent="0.35">
      <c r="A869">
        <v>868</v>
      </c>
      <c r="B869" s="2">
        <v>44071</v>
      </c>
      <c r="C869" t="s">
        <v>50</v>
      </c>
      <c r="D869" t="s">
        <v>153</v>
      </c>
      <c r="E869">
        <v>1</v>
      </c>
      <c r="F869" t="str">
        <f>VLOOKUP($C869,VLOOKUP_spp!$A$2:$D$103,4,1)</f>
        <v>Apis_mellifera</v>
      </c>
      <c r="G869" t="str">
        <f>VLOOKUP($F869,VLOOKUP_spp!$A$2:$E$102,5,1)</f>
        <v>Hymenoptera</v>
      </c>
      <c r="H869" t="str">
        <f t="shared" si="13"/>
        <v>Aug</v>
      </c>
      <c r="I869">
        <v>1</v>
      </c>
    </row>
    <row r="870" spans="1:9" x14ac:dyDescent="0.35">
      <c r="A870">
        <v>869</v>
      </c>
      <c r="B870" s="2">
        <v>44071</v>
      </c>
      <c r="C870" t="s">
        <v>50</v>
      </c>
      <c r="D870" t="s">
        <v>158</v>
      </c>
      <c r="E870">
        <v>2</v>
      </c>
      <c r="F870" t="str">
        <f>VLOOKUP($C870,VLOOKUP_spp!$A$2:$D$103,4,1)</f>
        <v>Apis_mellifera</v>
      </c>
      <c r="G870" t="str">
        <f>VLOOKUP($F870,VLOOKUP_spp!$A$2:$E$102,5,1)</f>
        <v>Hymenoptera</v>
      </c>
      <c r="H870" t="str">
        <f t="shared" si="13"/>
        <v>Aug</v>
      </c>
      <c r="I870">
        <v>1</v>
      </c>
    </row>
    <row r="871" spans="1:9" x14ac:dyDescent="0.35">
      <c r="A871">
        <v>870</v>
      </c>
      <c r="B871" s="2">
        <v>44071</v>
      </c>
      <c r="C871" t="s">
        <v>50</v>
      </c>
      <c r="D871" t="s">
        <v>166</v>
      </c>
      <c r="E871">
        <v>1</v>
      </c>
      <c r="F871" t="str">
        <f>VLOOKUP($C871,VLOOKUP_spp!$A$2:$D$103,4,1)</f>
        <v>Apis_mellifera</v>
      </c>
      <c r="G871" t="str">
        <f>VLOOKUP($F871,VLOOKUP_spp!$A$2:$E$102,5,1)</f>
        <v>Hymenoptera</v>
      </c>
      <c r="H871" t="str">
        <f t="shared" si="13"/>
        <v>Aug</v>
      </c>
      <c r="I871">
        <v>1</v>
      </c>
    </row>
    <row r="872" spans="1:9" x14ac:dyDescent="0.35">
      <c r="A872">
        <v>871</v>
      </c>
      <c r="B872" s="2">
        <v>44071</v>
      </c>
      <c r="C872" t="s">
        <v>50</v>
      </c>
      <c r="D872" t="s">
        <v>173</v>
      </c>
      <c r="E872">
        <v>5</v>
      </c>
      <c r="F872" t="str">
        <f>VLOOKUP($C872,VLOOKUP_spp!$A$2:$D$103,4,1)</f>
        <v>Apis_mellifera</v>
      </c>
      <c r="G872" t="str">
        <f>VLOOKUP($F872,VLOOKUP_spp!$A$2:$E$102,5,1)</f>
        <v>Hymenoptera</v>
      </c>
      <c r="H872" t="str">
        <f t="shared" si="13"/>
        <v>Aug</v>
      </c>
      <c r="I872">
        <v>1</v>
      </c>
    </row>
    <row r="873" spans="1:9" x14ac:dyDescent="0.35">
      <c r="A873">
        <v>872</v>
      </c>
      <c r="B873" s="2">
        <v>44071</v>
      </c>
      <c r="C873" t="s">
        <v>50</v>
      </c>
      <c r="D873" t="s">
        <v>154</v>
      </c>
      <c r="E873">
        <v>2</v>
      </c>
      <c r="F873" t="str">
        <f>VLOOKUP($C873,VLOOKUP_spp!$A$2:$D$103,4,1)</f>
        <v>Apis_mellifera</v>
      </c>
      <c r="G873" t="str">
        <f>VLOOKUP($F873,VLOOKUP_spp!$A$2:$E$102,5,1)</f>
        <v>Hymenoptera</v>
      </c>
      <c r="H873" t="str">
        <f t="shared" si="13"/>
        <v>Aug</v>
      </c>
      <c r="I873">
        <v>1</v>
      </c>
    </row>
    <row r="874" spans="1:9" x14ac:dyDescent="0.35">
      <c r="A874">
        <v>873</v>
      </c>
      <c r="B874" s="2">
        <v>44071</v>
      </c>
      <c r="C874" t="s">
        <v>50</v>
      </c>
      <c r="D874" t="s">
        <v>172</v>
      </c>
      <c r="E874">
        <v>2</v>
      </c>
      <c r="F874" t="str">
        <f>VLOOKUP($C874,VLOOKUP_spp!$A$2:$D$103,4,1)</f>
        <v>Apis_mellifera</v>
      </c>
      <c r="G874" t="str">
        <f>VLOOKUP($F874,VLOOKUP_spp!$A$2:$E$102,5,1)</f>
        <v>Hymenoptera</v>
      </c>
      <c r="H874" t="str">
        <f t="shared" si="13"/>
        <v>Aug</v>
      </c>
      <c r="I874">
        <v>1</v>
      </c>
    </row>
    <row r="875" spans="1:9" x14ac:dyDescent="0.35">
      <c r="A875">
        <v>874</v>
      </c>
      <c r="B875" s="2">
        <v>44071</v>
      </c>
      <c r="C875" t="s">
        <v>50</v>
      </c>
      <c r="D875" t="s">
        <v>167</v>
      </c>
      <c r="E875">
        <v>2</v>
      </c>
      <c r="F875" t="str">
        <f>VLOOKUP($C875,VLOOKUP_spp!$A$2:$D$103,4,1)</f>
        <v>Apis_mellifera</v>
      </c>
      <c r="G875" t="str">
        <f>VLOOKUP($F875,VLOOKUP_spp!$A$2:$E$102,5,1)</f>
        <v>Hymenoptera</v>
      </c>
      <c r="H875" t="str">
        <f t="shared" si="13"/>
        <v>Aug</v>
      </c>
      <c r="I875">
        <v>1</v>
      </c>
    </row>
    <row r="876" spans="1:9" x14ac:dyDescent="0.35">
      <c r="A876">
        <v>875</v>
      </c>
      <c r="B876" s="2">
        <v>44071</v>
      </c>
      <c r="C876" t="s">
        <v>50</v>
      </c>
      <c r="D876" t="s">
        <v>150</v>
      </c>
      <c r="E876">
        <v>1</v>
      </c>
      <c r="F876" t="str">
        <f>VLOOKUP($C876,VLOOKUP_spp!$A$2:$D$103,4,1)</f>
        <v>Apis_mellifera</v>
      </c>
      <c r="G876" t="str">
        <f>VLOOKUP($F876,VLOOKUP_spp!$A$2:$E$102,5,1)</f>
        <v>Hymenoptera</v>
      </c>
      <c r="H876" t="str">
        <f t="shared" si="13"/>
        <v>Aug</v>
      </c>
      <c r="I876">
        <v>1</v>
      </c>
    </row>
    <row r="877" spans="1:9" x14ac:dyDescent="0.35">
      <c r="A877">
        <v>876</v>
      </c>
      <c r="B877" s="2">
        <v>44071</v>
      </c>
      <c r="C877" t="s">
        <v>50</v>
      </c>
      <c r="D877" t="s">
        <v>159</v>
      </c>
      <c r="E877">
        <v>5</v>
      </c>
      <c r="F877" t="str">
        <f>VLOOKUP($C877,VLOOKUP_spp!$A$2:$D$103,4,1)</f>
        <v>Apis_mellifera</v>
      </c>
      <c r="G877" t="str">
        <f>VLOOKUP($F877,VLOOKUP_spp!$A$2:$E$102,5,1)</f>
        <v>Hymenoptera</v>
      </c>
      <c r="H877" t="str">
        <f t="shared" si="13"/>
        <v>Aug</v>
      </c>
      <c r="I877">
        <v>1</v>
      </c>
    </row>
    <row r="878" spans="1:9" x14ac:dyDescent="0.35">
      <c r="A878">
        <v>877</v>
      </c>
      <c r="B878" s="2">
        <v>44071</v>
      </c>
      <c r="C878" t="s">
        <v>50</v>
      </c>
      <c r="D878" t="s">
        <v>160</v>
      </c>
      <c r="E878">
        <v>2</v>
      </c>
      <c r="F878" t="str">
        <f>VLOOKUP($C878,VLOOKUP_spp!$A$2:$D$103,4,1)</f>
        <v>Apis_mellifera</v>
      </c>
      <c r="G878" t="str">
        <f>VLOOKUP($F878,VLOOKUP_spp!$A$2:$E$102,5,1)</f>
        <v>Hymenoptera</v>
      </c>
      <c r="H878" t="str">
        <f t="shared" si="13"/>
        <v>Aug</v>
      </c>
      <c r="I878">
        <v>1</v>
      </c>
    </row>
    <row r="879" spans="1:9" x14ac:dyDescent="0.35">
      <c r="A879">
        <v>878</v>
      </c>
      <c r="B879" s="2">
        <v>44071</v>
      </c>
      <c r="C879" t="s">
        <v>50</v>
      </c>
      <c r="D879" t="s">
        <v>170</v>
      </c>
      <c r="E879">
        <v>4</v>
      </c>
      <c r="F879" t="str">
        <f>VLOOKUP($C879,VLOOKUP_spp!$A$2:$D$103,4,1)</f>
        <v>Apis_mellifera</v>
      </c>
      <c r="G879" t="str">
        <f>VLOOKUP($F879,VLOOKUP_spp!$A$2:$E$102,5,1)</f>
        <v>Hymenoptera</v>
      </c>
      <c r="H879" t="str">
        <f t="shared" si="13"/>
        <v>Aug</v>
      </c>
      <c r="I879">
        <v>1</v>
      </c>
    </row>
    <row r="880" spans="1:9" x14ac:dyDescent="0.35">
      <c r="A880">
        <v>879</v>
      </c>
      <c r="B880" s="2">
        <v>44071</v>
      </c>
      <c r="C880" t="s">
        <v>50</v>
      </c>
      <c r="D880" t="s">
        <v>161</v>
      </c>
      <c r="E880">
        <v>5</v>
      </c>
      <c r="F880" t="str">
        <f>VLOOKUP($C880,VLOOKUP_spp!$A$2:$D$103,4,1)</f>
        <v>Apis_mellifera</v>
      </c>
      <c r="G880" t="str">
        <f>VLOOKUP($F880,VLOOKUP_spp!$A$2:$E$102,5,1)</f>
        <v>Hymenoptera</v>
      </c>
      <c r="H880" t="str">
        <f t="shared" si="13"/>
        <v>Aug</v>
      </c>
      <c r="I880">
        <v>1</v>
      </c>
    </row>
    <row r="881" spans="1:9" x14ac:dyDescent="0.35">
      <c r="A881">
        <v>880</v>
      </c>
      <c r="B881" s="2">
        <v>44071</v>
      </c>
      <c r="C881" t="s">
        <v>50</v>
      </c>
      <c r="D881" t="s">
        <v>162</v>
      </c>
      <c r="E881">
        <v>6</v>
      </c>
      <c r="F881" t="str">
        <f>VLOOKUP($C881,VLOOKUP_spp!$A$2:$D$103,4,1)</f>
        <v>Apis_mellifera</v>
      </c>
      <c r="G881" t="str">
        <f>VLOOKUP($F881,VLOOKUP_spp!$A$2:$E$102,5,1)</f>
        <v>Hymenoptera</v>
      </c>
      <c r="H881" t="str">
        <f t="shared" si="13"/>
        <v>Aug</v>
      </c>
      <c r="I881">
        <v>1</v>
      </c>
    </row>
    <row r="882" spans="1:9" x14ac:dyDescent="0.35">
      <c r="A882">
        <v>881</v>
      </c>
      <c r="B882" s="2">
        <v>44071</v>
      </c>
      <c r="C882" t="s">
        <v>50</v>
      </c>
      <c r="D882" t="s">
        <v>175</v>
      </c>
      <c r="E882">
        <v>2</v>
      </c>
      <c r="F882" t="str">
        <f>VLOOKUP($C882,VLOOKUP_spp!$A$2:$D$103,4,1)</f>
        <v>Apis_mellifera</v>
      </c>
      <c r="G882" t="str">
        <f>VLOOKUP($F882,VLOOKUP_spp!$A$2:$E$102,5,1)</f>
        <v>Hymenoptera</v>
      </c>
      <c r="H882" t="str">
        <f t="shared" si="13"/>
        <v>Aug</v>
      </c>
      <c r="I882">
        <v>1</v>
      </c>
    </row>
    <row r="883" spans="1:9" x14ac:dyDescent="0.35">
      <c r="A883">
        <v>882</v>
      </c>
      <c r="B883" s="2">
        <v>44071</v>
      </c>
      <c r="C883" t="s">
        <v>50</v>
      </c>
      <c r="D883" t="s">
        <v>156</v>
      </c>
      <c r="E883">
        <v>4</v>
      </c>
      <c r="F883" t="str">
        <f>VLOOKUP($C883,VLOOKUP_spp!$A$2:$D$103,4,1)</f>
        <v>Apis_mellifera</v>
      </c>
      <c r="G883" t="str">
        <f>VLOOKUP($F883,VLOOKUP_spp!$A$2:$E$102,5,1)</f>
        <v>Hymenoptera</v>
      </c>
      <c r="H883" t="str">
        <f t="shared" si="13"/>
        <v>Aug</v>
      </c>
      <c r="I883">
        <v>1</v>
      </c>
    </row>
    <row r="884" spans="1:9" x14ac:dyDescent="0.35">
      <c r="A884">
        <v>883</v>
      </c>
      <c r="B884" s="2">
        <v>44071</v>
      </c>
      <c r="C884" t="s">
        <v>50</v>
      </c>
      <c r="D884" t="s">
        <v>164</v>
      </c>
      <c r="E884">
        <v>1</v>
      </c>
      <c r="F884" t="str">
        <f>VLOOKUP($C884,VLOOKUP_spp!$A$2:$D$103,4,1)</f>
        <v>Apis_mellifera</v>
      </c>
      <c r="G884" t="str">
        <f>VLOOKUP($F884,VLOOKUP_spp!$A$2:$E$102,5,1)</f>
        <v>Hymenoptera</v>
      </c>
      <c r="H884" t="str">
        <f t="shared" si="13"/>
        <v>Aug</v>
      </c>
      <c r="I884">
        <v>1</v>
      </c>
    </row>
    <row r="885" spans="1:9" x14ac:dyDescent="0.35">
      <c r="A885">
        <v>884</v>
      </c>
      <c r="B885" s="2">
        <v>44071</v>
      </c>
      <c r="C885" t="s">
        <v>50</v>
      </c>
      <c r="D885" t="s">
        <v>176</v>
      </c>
      <c r="E885">
        <v>2</v>
      </c>
      <c r="F885" t="str">
        <f>VLOOKUP($C885,VLOOKUP_spp!$A$2:$D$103,4,1)</f>
        <v>Apis_mellifera</v>
      </c>
      <c r="G885" t="str">
        <f>VLOOKUP($F885,VLOOKUP_spp!$A$2:$E$102,5,1)</f>
        <v>Hymenoptera</v>
      </c>
      <c r="H885" t="str">
        <f t="shared" si="13"/>
        <v>Aug</v>
      </c>
      <c r="I885">
        <v>1</v>
      </c>
    </row>
    <row r="886" spans="1:9" x14ac:dyDescent="0.35">
      <c r="A886">
        <v>885</v>
      </c>
      <c r="B886" s="2">
        <v>44071</v>
      </c>
      <c r="C886" t="s">
        <v>57</v>
      </c>
      <c r="D886" t="s">
        <v>156</v>
      </c>
      <c r="E886">
        <v>1</v>
      </c>
      <c r="F886" t="str">
        <f>VLOOKUP($C886,VLOOKUP_spp!$A$2:$D$103,4,1)</f>
        <v>Bombus_bimaculatus</v>
      </c>
      <c r="G886" t="str">
        <f>VLOOKUP($F886,VLOOKUP_spp!$A$2:$E$102,5,1)</f>
        <v>Hymenoptera</v>
      </c>
      <c r="H886" t="str">
        <f t="shared" si="13"/>
        <v>Aug</v>
      </c>
      <c r="I886">
        <v>1</v>
      </c>
    </row>
    <row r="887" spans="1:9" x14ac:dyDescent="0.35">
      <c r="A887">
        <v>886</v>
      </c>
      <c r="B887" s="2">
        <v>44071</v>
      </c>
      <c r="C887" t="s">
        <v>58</v>
      </c>
      <c r="D887" t="s">
        <v>170</v>
      </c>
      <c r="E887">
        <v>1</v>
      </c>
      <c r="F887" t="str">
        <f>VLOOKUP($C887,VLOOKUP_spp!$A$2:$D$103,4,1)</f>
        <v>Bombus_citrinus</v>
      </c>
      <c r="G887" t="str">
        <f>VLOOKUP($F887,VLOOKUP_spp!$A$2:$E$102,5,1)</f>
        <v>Hymenoptera</v>
      </c>
      <c r="H887" t="str">
        <f t="shared" si="13"/>
        <v>Aug</v>
      </c>
      <c r="I887">
        <v>1</v>
      </c>
    </row>
    <row r="888" spans="1:9" x14ac:dyDescent="0.35">
      <c r="A888">
        <v>887</v>
      </c>
      <c r="B888" s="2">
        <v>44071</v>
      </c>
      <c r="C888" t="s">
        <v>65</v>
      </c>
      <c r="D888" t="s">
        <v>168</v>
      </c>
      <c r="E888">
        <v>1</v>
      </c>
      <c r="F888" t="str">
        <f>VLOOKUP($C888,VLOOKUP_spp!$A$2:$D$103,4,1)</f>
        <v>Bombus_griseocollis</v>
      </c>
      <c r="G888" t="str">
        <f>VLOOKUP($F888,VLOOKUP_spp!$A$2:$E$102,5,1)</f>
        <v>Hymenoptera</v>
      </c>
      <c r="H888" t="str">
        <f t="shared" si="13"/>
        <v>Aug</v>
      </c>
      <c r="I888">
        <v>1</v>
      </c>
    </row>
    <row r="889" spans="1:9" x14ac:dyDescent="0.35">
      <c r="A889">
        <v>888</v>
      </c>
      <c r="B889" s="2">
        <v>44071</v>
      </c>
      <c r="C889" t="s">
        <v>67</v>
      </c>
      <c r="D889" t="s">
        <v>171</v>
      </c>
      <c r="E889">
        <v>5</v>
      </c>
      <c r="F889" t="str">
        <f>VLOOKUP($C889,VLOOKUP_spp!$A$2:$D$103,4,1)</f>
        <v>Bombus_impatiens</v>
      </c>
      <c r="G889" t="str">
        <f>VLOOKUP($F889,VLOOKUP_spp!$A$2:$E$102,5,1)</f>
        <v>Hymenoptera</v>
      </c>
      <c r="H889" t="str">
        <f t="shared" si="13"/>
        <v>Aug</v>
      </c>
      <c r="I889">
        <v>1</v>
      </c>
    </row>
    <row r="890" spans="1:9" x14ac:dyDescent="0.35">
      <c r="A890">
        <v>889</v>
      </c>
      <c r="B890" s="2">
        <v>44071</v>
      </c>
      <c r="C890" t="s">
        <v>67</v>
      </c>
      <c r="D890" t="s">
        <v>169</v>
      </c>
      <c r="E890">
        <v>1</v>
      </c>
      <c r="F890" t="str">
        <f>VLOOKUP($C890,VLOOKUP_spp!$A$2:$D$103,4,1)</f>
        <v>Bombus_impatiens</v>
      </c>
      <c r="G890" t="str">
        <f>VLOOKUP($F890,VLOOKUP_spp!$A$2:$E$102,5,1)</f>
        <v>Hymenoptera</v>
      </c>
      <c r="H890" t="str">
        <f t="shared" si="13"/>
        <v>Aug</v>
      </c>
      <c r="I890">
        <v>1</v>
      </c>
    </row>
    <row r="891" spans="1:9" x14ac:dyDescent="0.35">
      <c r="A891">
        <v>890</v>
      </c>
      <c r="B891" s="2">
        <v>44071</v>
      </c>
      <c r="C891" t="s">
        <v>67</v>
      </c>
      <c r="D891" t="s">
        <v>173</v>
      </c>
      <c r="E891">
        <v>3</v>
      </c>
      <c r="F891" t="str">
        <f>VLOOKUP($C891,VLOOKUP_spp!$A$2:$D$103,4,1)</f>
        <v>Bombus_impatiens</v>
      </c>
      <c r="G891" t="str">
        <f>VLOOKUP($F891,VLOOKUP_spp!$A$2:$E$102,5,1)</f>
        <v>Hymenoptera</v>
      </c>
      <c r="H891" t="str">
        <f t="shared" si="13"/>
        <v>Aug</v>
      </c>
      <c r="I891">
        <v>1</v>
      </c>
    </row>
    <row r="892" spans="1:9" x14ac:dyDescent="0.35">
      <c r="A892">
        <v>891</v>
      </c>
      <c r="B892" s="2">
        <v>44071</v>
      </c>
      <c r="C892" t="s">
        <v>67</v>
      </c>
      <c r="D892" t="s">
        <v>154</v>
      </c>
      <c r="E892">
        <v>4</v>
      </c>
      <c r="F892" t="str">
        <f>VLOOKUP($C892,VLOOKUP_spp!$A$2:$D$103,4,1)</f>
        <v>Bombus_impatiens</v>
      </c>
      <c r="G892" t="str">
        <f>VLOOKUP($F892,VLOOKUP_spp!$A$2:$E$102,5,1)</f>
        <v>Hymenoptera</v>
      </c>
      <c r="H892" t="str">
        <f t="shared" si="13"/>
        <v>Aug</v>
      </c>
      <c r="I892">
        <v>1</v>
      </c>
    </row>
    <row r="893" spans="1:9" x14ac:dyDescent="0.35">
      <c r="A893">
        <v>892</v>
      </c>
      <c r="B893" s="2">
        <v>44071</v>
      </c>
      <c r="C893" t="s">
        <v>67</v>
      </c>
      <c r="D893" t="s">
        <v>150</v>
      </c>
      <c r="E893">
        <v>3</v>
      </c>
      <c r="F893" t="str">
        <f>VLOOKUP($C893,VLOOKUP_spp!$A$2:$D$103,4,1)</f>
        <v>Bombus_impatiens</v>
      </c>
      <c r="G893" t="str">
        <f>VLOOKUP($F893,VLOOKUP_spp!$A$2:$E$102,5,1)</f>
        <v>Hymenoptera</v>
      </c>
      <c r="H893" t="str">
        <f t="shared" si="13"/>
        <v>Aug</v>
      </c>
      <c r="I893">
        <v>1</v>
      </c>
    </row>
    <row r="894" spans="1:9" x14ac:dyDescent="0.35">
      <c r="A894">
        <v>893</v>
      </c>
      <c r="B894" s="2">
        <v>44071</v>
      </c>
      <c r="C894" t="s">
        <v>67</v>
      </c>
      <c r="D894" t="s">
        <v>160</v>
      </c>
      <c r="E894">
        <v>6</v>
      </c>
      <c r="F894" t="str">
        <f>VLOOKUP($C894,VLOOKUP_spp!$A$2:$D$103,4,1)</f>
        <v>Bombus_impatiens</v>
      </c>
      <c r="G894" t="str">
        <f>VLOOKUP($F894,VLOOKUP_spp!$A$2:$E$102,5,1)</f>
        <v>Hymenoptera</v>
      </c>
      <c r="H894" t="str">
        <f t="shared" si="13"/>
        <v>Aug</v>
      </c>
      <c r="I894">
        <v>1</v>
      </c>
    </row>
    <row r="895" spans="1:9" x14ac:dyDescent="0.35">
      <c r="A895">
        <v>894</v>
      </c>
      <c r="B895" s="2">
        <v>44071</v>
      </c>
      <c r="C895" t="s">
        <v>67</v>
      </c>
      <c r="D895" t="s">
        <v>156</v>
      </c>
      <c r="E895">
        <v>5</v>
      </c>
      <c r="F895" t="str">
        <f>VLOOKUP($C895,VLOOKUP_spp!$A$2:$D$103,4,1)</f>
        <v>Bombus_impatiens</v>
      </c>
      <c r="G895" t="str">
        <f>VLOOKUP($F895,VLOOKUP_spp!$A$2:$E$102,5,1)</f>
        <v>Hymenoptera</v>
      </c>
      <c r="H895" t="str">
        <f t="shared" si="13"/>
        <v>Aug</v>
      </c>
      <c r="I895">
        <v>1</v>
      </c>
    </row>
    <row r="896" spans="1:9" x14ac:dyDescent="0.35">
      <c r="A896">
        <v>895</v>
      </c>
      <c r="B896" s="2">
        <v>44071</v>
      </c>
      <c r="C896" t="s">
        <v>67</v>
      </c>
      <c r="D896" t="s">
        <v>168</v>
      </c>
      <c r="E896">
        <v>2</v>
      </c>
      <c r="F896" t="str">
        <f>VLOOKUP($C896,VLOOKUP_spp!$A$2:$D$103,4,1)</f>
        <v>Bombus_impatiens</v>
      </c>
      <c r="G896" t="str">
        <f>VLOOKUP($F896,VLOOKUP_spp!$A$2:$E$102,5,1)</f>
        <v>Hymenoptera</v>
      </c>
      <c r="H896" t="str">
        <f t="shared" si="13"/>
        <v>Aug</v>
      </c>
      <c r="I896">
        <v>1</v>
      </c>
    </row>
    <row r="897" spans="1:9" x14ac:dyDescent="0.35">
      <c r="A897">
        <v>896</v>
      </c>
      <c r="B897" s="2">
        <v>44071</v>
      </c>
      <c r="C897" t="s">
        <v>67</v>
      </c>
      <c r="D897" t="s">
        <v>176</v>
      </c>
      <c r="E897">
        <v>1</v>
      </c>
      <c r="F897" t="str">
        <f>VLOOKUP($C897,VLOOKUP_spp!$A$2:$D$103,4,1)</f>
        <v>Bombus_impatiens</v>
      </c>
      <c r="G897" t="str">
        <f>VLOOKUP($F897,VLOOKUP_spp!$A$2:$E$102,5,1)</f>
        <v>Hymenoptera</v>
      </c>
      <c r="H897" t="str">
        <f t="shared" si="13"/>
        <v>Aug</v>
      </c>
      <c r="I897">
        <v>1</v>
      </c>
    </row>
    <row r="898" spans="1:9" x14ac:dyDescent="0.35">
      <c r="A898">
        <v>897</v>
      </c>
      <c r="B898" s="2">
        <v>44071</v>
      </c>
      <c r="C898" t="s">
        <v>70</v>
      </c>
      <c r="D898" t="s">
        <v>164</v>
      </c>
      <c r="E898">
        <v>1</v>
      </c>
      <c r="F898" t="str">
        <f>VLOOKUP($C898,VLOOKUP_spp!$A$2:$D$103,4,1)</f>
        <v>Bombus</v>
      </c>
      <c r="G898" t="str">
        <f>VLOOKUP($F898,VLOOKUP_spp!$A$2:$E$102,5,1)</f>
        <v>Hymenoptera</v>
      </c>
      <c r="H898" t="str">
        <f t="shared" si="13"/>
        <v>Aug</v>
      </c>
      <c r="I898">
        <v>1</v>
      </c>
    </row>
    <row r="899" spans="1:9" x14ac:dyDescent="0.35">
      <c r="A899">
        <v>898</v>
      </c>
      <c r="B899" s="2">
        <v>44071</v>
      </c>
      <c r="C899" t="s">
        <v>77</v>
      </c>
      <c r="D899" t="s">
        <v>173</v>
      </c>
      <c r="E899">
        <v>1</v>
      </c>
      <c r="F899" t="str">
        <f>VLOOKUP($C899,VLOOKUP_spp!$A$2:$D$103,4,1)</f>
        <v>Bombus_vagans_sandersoni</v>
      </c>
      <c r="G899" t="str">
        <f>VLOOKUP($F899,VLOOKUP_spp!$A$2:$E$102,5,1)</f>
        <v>Hymenoptera</v>
      </c>
      <c r="H899" t="str">
        <f t="shared" ref="H899:H962" si="14">TEXT(B899, "mmm")</f>
        <v>Aug</v>
      </c>
      <c r="I899">
        <v>1</v>
      </c>
    </row>
    <row r="900" spans="1:9" x14ac:dyDescent="0.35">
      <c r="A900">
        <v>899</v>
      </c>
      <c r="B900" s="2">
        <v>44071</v>
      </c>
      <c r="C900" t="s">
        <v>7</v>
      </c>
      <c r="D900" t="s">
        <v>176</v>
      </c>
      <c r="E900">
        <v>2</v>
      </c>
      <c r="F900" t="str">
        <f>VLOOKUP($C900,VLOOKUP_spp!$A$2:$D$103,4,1)</f>
        <v>Coleoptera</v>
      </c>
      <c r="G900" t="str">
        <f>VLOOKUP($F900,VLOOKUP_spp!$A$2:$E$102,5,1)</f>
        <v>Coleoptera</v>
      </c>
      <c r="H900" t="str">
        <f t="shared" si="14"/>
        <v>Aug</v>
      </c>
      <c r="I900">
        <v>1</v>
      </c>
    </row>
    <row r="901" spans="1:9" x14ac:dyDescent="0.35">
      <c r="A901">
        <v>900</v>
      </c>
      <c r="B901" s="2">
        <v>44071</v>
      </c>
      <c r="C901" t="s">
        <v>6</v>
      </c>
      <c r="D901" t="s">
        <v>169</v>
      </c>
      <c r="E901">
        <v>1</v>
      </c>
      <c r="F901" t="str">
        <f>VLOOKUP($C901,VLOOKUP_spp!$A$2:$D$103,4,1)</f>
        <v>Diptera</v>
      </c>
      <c r="G901" t="str">
        <f>VLOOKUP($F901,VLOOKUP_spp!$A$2:$E$102,5,1)</f>
        <v>Diptera</v>
      </c>
      <c r="H901" t="str">
        <f t="shared" si="14"/>
        <v>Aug</v>
      </c>
      <c r="I901">
        <v>1</v>
      </c>
    </row>
    <row r="902" spans="1:9" x14ac:dyDescent="0.35">
      <c r="A902">
        <v>901</v>
      </c>
      <c r="B902" s="2">
        <v>44071</v>
      </c>
      <c r="C902" t="s">
        <v>6</v>
      </c>
      <c r="D902" t="s">
        <v>157</v>
      </c>
      <c r="E902">
        <v>3</v>
      </c>
      <c r="F902" t="str">
        <f>VLOOKUP($C902,VLOOKUP_spp!$A$2:$D$103,4,1)</f>
        <v>Diptera</v>
      </c>
      <c r="G902" t="str">
        <f>VLOOKUP($F902,VLOOKUP_spp!$A$2:$E$102,5,1)</f>
        <v>Diptera</v>
      </c>
      <c r="H902" t="str">
        <f t="shared" si="14"/>
        <v>Aug</v>
      </c>
      <c r="I902">
        <v>1</v>
      </c>
    </row>
    <row r="903" spans="1:9" x14ac:dyDescent="0.35">
      <c r="A903">
        <v>902</v>
      </c>
      <c r="B903" s="2">
        <v>44071</v>
      </c>
      <c r="C903" t="s">
        <v>6</v>
      </c>
      <c r="D903" t="s">
        <v>173</v>
      </c>
      <c r="E903">
        <v>1</v>
      </c>
      <c r="F903" t="str">
        <f>VLOOKUP($C903,VLOOKUP_spp!$A$2:$D$103,4,1)</f>
        <v>Diptera</v>
      </c>
      <c r="G903" t="str">
        <f>VLOOKUP($F903,VLOOKUP_spp!$A$2:$E$102,5,1)</f>
        <v>Diptera</v>
      </c>
      <c r="H903" t="str">
        <f t="shared" si="14"/>
        <v>Aug</v>
      </c>
      <c r="I903">
        <v>1</v>
      </c>
    </row>
    <row r="904" spans="1:9" x14ac:dyDescent="0.35">
      <c r="A904">
        <v>903</v>
      </c>
      <c r="B904" s="2">
        <v>44071</v>
      </c>
      <c r="C904" t="s">
        <v>6</v>
      </c>
      <c r="D904" t="s">
        <v>172</v>
      </c>
      <c r="E904">
        <v>1</v>
      </c>
      <c r="F904" t="str">
        <f>VLOOKUP($C904,VLOOKUP_spp!$A$2:$D$103,4,1)</f>
        <v>Diptera</v>
      </c>
      <c r="G904" t="str">
        <f>VLOOKUP($F904,VLOOKUP_spp!$A$2:$E$102,5,1)</f>
        <v>Diptera</v>
      </c>
      <c r="H904" t="str">
        <f t="shared" si="14"/>
        <v>Aug</v>
      </c>
      <c r="I904">
        <v>1</v>
      </c>
    </row>
    <row r="905" spans="1:9" x14ac:dyDescent="0.35">
      <c r="A905">
        <v>904</v>
      </c>
      <c r="B905" s="2">
        <v>44071</v>
      </c>
      <c r="C905" t="s">
        <v>6</v>
      </c>
      <c r="D905" t="s">
        <v>159</v>
      </c>
      <c r="E905">
        <v>4</v>
      </c>
      <c r="F905" t="str">
        <f>VLOOKUP($C905,VLOOKUP_spp!$A$2:$D$103,4,1)</f>
        <v>Diptera</v>
      </c>
      <c r="G905" t="str">
        <f>VLOOKUP($F905,VLOOKUP_spp!$A$2:$E$102,5,1)</f>
        <v>Diptera</v>
      </c>
      <c r="H905" t="str">
        <f t="shared" si="14"/>
        <v>Aug</v>
      </c>
      <c r="I905">
        <v>1</v>
      </c>
    </row>
    <row r="906" spans="1:9" x14ac:dyDescent="0.35">
      <c r="A906">
        <v>905</v>
      </c>
      <c r="B906" s="2">
        <v>44071</v>
      </c>
      <c r="C906" t="s">
        <v>6</v>
      </c>
      <c r="D906" t="s">
        <v>160</v>
      </c>
      <c r="E906">
        <v>3</v>
      </c>
      <c r="F906" t="str">
        <f>VLOOKUP($C906,VLOOKUP_spp!$A$2:$D$103,4,1)</f>
        <v>Diptera</v>
      </c>
      <c r="G906" t="str">
        <f>VLOOKUP($F906,VLOOKUP_spp!$A$2:$E$102,5,1)</f>
        <v>Diptera</v>
      </c>
      <c r="H906" t="str">
        <f t="shared" si="14"/>
        <v>Aug</v>
      </c>
      <c r="I906">
        <v>1</v>
      </c>
    </row>
    <row r="907" spans="1:9" x14ac:dyDescent="0.35">
      <c r="A907">
        <v>906</v>
      </c>
      <c r="B907" s="2">
        <v>44071</v>
      </c>
      <c r="C907" t="s">
        <v>6</v>
      </c>
      <c r="D907" t="s">
        <v>177</v>
      </c>
      <c r="E907">
        <v>2</v>
      </c>
      <c r="F907" t="str">
        <f>VLOOKUP($C907,VLOOKUP_spp!$A$2:$D$103,4,1)</f>
        <v>Diptera</v>
      </c>
      <c r="G907" t="str">
        <f>VLOOKUP($F907,VLOOKUP_spp!$A$2:$E$102,5,1)</f>
        <v>Diptera</v>
      </c>
      <c r="H907" t="str">
        <f t="shared" si="14"/>
        <v>Aug</v>
      </c>
      <c r="I907">
        <v>1</v>
      </c>
    </row>
    <row r="908" spans="1:9" x14ac:dyDescent="0.35">
      <c r="A908">
        <v>907</v>
      </c>
      <c r="B908" s="2">
        <v>44071</v>
      </c>
      <c r="C908" t="s">
        <v>6</v>
      </c>
      <c r="D908" t="s">
        <v>162</v>
      </c>
      <c r="E908">
        <v>1</v>
      </c>
      <c r="F908" t="str">
        <f>VLOOKUP($C908,VLOOKUP_spp!$A$2:$D$103,4,1)</f>
        <v>Diptera</v>
      </c>
      <c r="G908" t="str">
        <f>VLOOKUP($F908,VLOOKUP_spp!$A$2:$E$102,5,1)</f>
        <v>Diptera</v>
      </c>
      <c r="H908" t="str">
        <f t="shared" si="14"/>
        <v>Aug</v>
      </c>
      <c r="I908">
        <v>1</v>
      </c>
    </row>
    <row r="909" spans="1:9" x14ac:dyDescent="0.35">
      <c r="A909">
        <v>908</v>
      </c>
      <c r="B909" s="2">
        <v>44071</v>
      </c>
      <c r="C909" t="s">
        <v>6</v>
      </c>
      <c r="D909" t="s">
        <v>175</v>
      </c>
      <c r="E909">
        <v>1</v>
      </c>
      <c r="F909" t="str">
        <f>VLOOKUP($C909,VLOOKUP_spp!$A$2:$D$103,4,1)</f>
        <v>Diptera</v>
      </c>
      <c r="G909" t="str">
        <f>VLOOKUP($F909,VLOOKUP_spp!$A$2:$E$102,5,1)</f>
        <v>Diptera</v>
      </c>
      <c r="H909" t="str">
        <f t="shared" si="14"/>
        <v>Aug</v>
      </c>
      <c r="I909">
        <v>1</v>
      </c>
    </row>
    <row r="910" spans="1:9" x14ac:dyDescent="0.35">
      <c r="A910">
        <v>909</v>
      </c>
      <c r="B910" s="2">
        <v>44071</v>
      </c>
      <c r="C910" t="s">
        <v>6</v>
      </c>
      <c r="D910" t="s">
        <v>168</v>
      </c>
      <c r="E910">
        <v>1</v>
      </c>
      <c r="F910" t="str">
        <f>VLOOKUP($C910,VLOOKUP_spp!$A$2:$D$103,4,1)</f>
        <v>Diptera</v>
      </c>
      <c r="G910" t="str">
        <f>VLOOKUP($F910,VLOOKUP_spp!$A$2:$E$102,5,1)</f>
        <v>Diptera</v>
      </c>
      <c r="H910" t="str">
        <f t="shared" si="14"/>
        <v>Aug</v>
      </c>
      <c r="I910">
        <v>1</v>
      </c>
    </row>
    <row r="911" spans="1:9" x14ac:dyDescent="0.35">
      <c r="A911">
        <v>910</v>
      </c>
      <c r="B911" s="2">
        <v>44071</v>
      </c>
      <c r="C911" t="s">
        <v>6</v>
      </c>
      <c r="D911" t="s">
        <v>176</v>
      </c>
      <c r="E911">
        <v>4</v>
      </c>
      <c r="F911" t="str">
        <f>VLOOKUP($C911,VLOOKUP_spp!$A$2:$D$103,4,1)</f>
        <v>Diptera</v>
      </c>
      <c r="G911" t="str">
        <f>VLOOKUP($F911,VLOOKUP_spp!$A$2:$E$102,5,1)</f>
        <v>Diptera</v>
      </c>
      <c r="H911" t="str">
        <f t="shared" si="14"/>
        <v>Aug</v>
      </c>
      <c r="I911">
        <v>1</v>
      </c>
    </row>
    <row r="912" spans="1:9" x14ac:dyDescent="0.35">
      <c r="A912">
        <v>911</v>
      </c>
      <c r="B912" s="2">
        <v>44071</v>
      </c>
      <c r="C912" t="s">
        <v>103</v>
      </c>
      <c r="D912" t="s">
        <v>172</v>
      </c>
      <c r="E912">
        <v>1</v>
      </c>
      <c r="F912" t="str">
        <f>VLOOKUP($C912,VLOOKUP_spp!$A$2:$D$103,4,1)</f>
        <v>Hylaeus</v>
      </c>
      <c r="G912" t="str">
        <f>VLOOKUP($F912,VLOOKUP_spp!$A$2:$E$102,5,1)</f>
        <v>Hymenoptera</v>
      </c>
      <c r="H912" t="str">
        <f t="shared" si="14"/>
        <v>Aug</v>
      </c>
      <c r="I912">
        <v>1</v>
      </c>
    </row>
    <row r="913" spans="1:9" x14ac:dyDescent="0.35">
      <c r="A913">
        <v>912</v>
      </c>
      <c r="B913" s="2">
        <v>44071</v>
      </c>
      <c r="C913" t="s">
        <v>103</v>
      </c>
      <c r="D913" t="s">
        <v>150</v>
      </c>
      <c r="E913">
        <v>1</v>
      </c>
      <c r="F913" t="str">
        <f>VLOOKUP($C913,VLOOKUP_spp!$A$2:$D$103,4,1)</f>
        <v>Hylaeus</v>
      </c>
      <c r="G913" t="str">
        <f>VLOOKUP($F913,VLOOKUP_spp!$A$2:$E$102,5,1)</f>
        <v>Hymenoptera</v>
      </c>
      <c r="H913" t="str">
        <f t="shared" si="14"/>
        <v>Aug</v>
      </c>
      <c r="I913">
        <v>1</v>
      </c>
    </row>
    <row r="914" spans="1:9" x14ac:dyDescent="0.35">
      <c r="A914">
        <v>913</v>
      </c>
      <c r="B914" s="2">
        <v>44071</v>
      </c>
      <c r="C914" t="s">
        <v>106</v>
      </c>
      <c r="D914" t="s">
        <v>172</v>
      </c>
      <c r="E914">
        <v>1</v>
      </c>
      <c r="F914" t="str">
        <f>VLOOKUP($C914,VLOOKUP_spp!$A$2:$D$103,4,1)</f>
        <v>Lasioglossum</v>
      </c>
      <c r="G914" t="str">
        <f>VLOOKUP($F914,VLOOKUP_spp!$A$2:$E$102,5,1)</f>
        <v>Hymenoptera</v>
      </c>
      <c r="H914" t="str">
        <f t="shared" si="14"/>
        <v>Aug</v>
      </c>
      <c r="I914">
        <v>1</v>
      </c>
    </row>
    <row r="915" spans="1:9" x14ac:dyDescent="0.35">
      <c r="A915">
        <v>914</v>
      </c>
      <c r="B915" s="2">
        <v>44071</v>
      </c>
      <c r="C915" t="s">
        <v>8</v>
      </c>
      <c r="D915" t="s">
        <v>169</v>
      </c>
      <c r="E915">
        <v>2</v>
      </c>
      <c r="F915" t="str">
        <f>VLOOKUP($C915,VLOOKUP_spp!$A$2:$D$103,4,1)</f>
        <v>Lepidoptera</v>
      </c>
      <c r="G915" t="str">
        <f>VLOOKUP($F915,VLOOKUP_spp!$A$2:$E$102,5,1)</f>
        <v>Lepidoptera</v>
      </c>
      <c r="H915" t="str">
        <f t="shared" si="14"/>
        <v>Aug</v>
      </c>
      <c r="I915">
        <v>1</v>
      </c>
    </row>
    <row r="916" spans="1:9" x14ac:dyDescent="0.35">
      <c r="A916">
        <v>915</v>
      </c>
      <c r="B916" s="2">
        <v>44071</v>
      </c>
      <c r="C916" t="s">
        <v>125</v>
      </c>
      <c r="D916" t="s">
        <v>172</v>
      </c>
      <c r="E916">
        <v>1</v>
      </c>
      <c r="F916" t="str">
        <f>VLOOKUP($C916,VLOOKUP_spp!$A$2:$D$103,4,1)</f>
        <v>Stelis</v>
      </c>
      <c r="G916" t="str">
        <f>VLOOKUP($F916,VLOOKUP_spp!$A$2:$E$102,5,1)</f>
        <v>Hymenoptera</v>
      </c>
      <c r="H916" t="str">
        <f t="shared" si="14"/>
        <v>Aug</v>
      </c>
      <c r="I916">
        <v>1</v>
      </c>
    </row>
    <row r="917" spans="1:9" x14ac:dyDescent="0.35">
      <c r="A917">
        <v>916</v>
      </c>
      <c r="B917" s="2">
        <v>44071</v>
      </c>
      <c r="C917" t="s">
        <v>126</v>
      </c>
      <c r="D917" t="s">
        <v>169</v>
      </c>
      <c r="E917">
        <v>2</v>
      </c>
      <c r="F917" t="str">
        <f>VLOOKUP($C917,VLOOKUP_spp!$A$2:$D$103,4,1)</f>
        <v>Syrphidae</v>
      </c>
      <c r="G917" t="str">
        <f>VLOOKUP($F917,VLOOKUP_spp!$A$2:$E$102,5,1)</f>
        <v>Diptera</v>
      </c>
      <c r="H917" t="str">
        <f t="shared" si="14"/>
        <v>Aug</v>
      </c>
      <c r="I917">
        <v>1</v>
      </c>
    </row>
    <row r="918" spans="1:9" x14ac:dyDescent="0.35">
      <c r="A918">
        <v>917</v>
      </c>
      <c r="B918" s="2">
        <v>44071</v>
      </c>
      <c r="C918" t="s">
        <v>126</v>
      </c>
      <c r="D918" t="s">
        <v>153</v>
      </c>
      <c r="E918">
        <v>2</v>
      </c>
      <c r="F918" t="str">
        <f>VLOOKUP($C918,VLOOKUP_spp!$A$2:$D$103,4,1)</f>
        <v>Syrphidae</v>
      </c>
      <c r="G918" t="str">
        <f>VLOOKUP($F918,VLOOKUP_spp!$A$2:$E$102,5,1)</f>
        <v>Diptera</v>
      </c>
      <c r="H918" t="str">
        <f t="shared" si="14"/>
        <v>Aug</v>
      </c>
      <c r="I918">
        <v>1</v>
      </c>
    </row>
    <row r="919" spans="1:9" x14ac:dyDescent="0.35">
      <c r="A919">
        <v>918</v>
      </c>
      <c r="B919" s="2">
        <v>44071</v>
      </c>
      <c r="C919" t="s">
        <v>126</v>
      </c>
      <c r="D919" t="s">
        <v>172</v>
      </c>
      <c r="E919">
        <v>1</v>
      </c>
      <c r="F919" t="str">
        <f>VLOOKUP($C919,VLOOKUP_spp!$A$2:$D$103,4,1)</f>
        <v>Syrphidae</v>
      </c>
      <c r="G919" t="str">
        <f>VLOOKUP($F919,VLOOKUP_spp!$A$2:$E$102,5,1)</f>
        <v>Diptera</v>
      </c>
      <c r="H919" t="str">
        <f t="shared" si="14"/>
        <v>Aug</v>
      </c>
      <c r="I919">
        <v>1</v>
      </c>
    </row>
    <row r="920" spans="1:9" x14ac:dyDescent="0.35">
      <c r="A920">
        <v>919</v>
      </c>
      <c r="B920" s="2">
        <v>44071</v>
      </c>
      <c r="C920" t="s">
        <v>128</v>
      </c>
      <c r="D920" t="s">
        <v>166</v>
      </c>
      <c r="E920">
        <v>5</v>
      </c>
      <c r="F920" t="str">
        <f>VLOOKUP($C920,VLOOKUP_spp!$A$2:$D$103,4,1)</f>
        <v>Wasp</v>
      </c>
      <c r="G920" t="str">
        <f>VLOOKUP($F920,VLOOKUP_spp!$A$2:$E$102,5,1)</f>
        <v>Hymenoptera</v>
      </c>
      <c r="H920" t="str">
        <f t="shared" si="14"/>
        <v>Aug</v>
      </c>
      <c r="I920">
        <v>1</v>
      </c>
    </row>
    <row r="921" spans="1:9" x14ac:dyDescent="0.35">
      <c r="A921">
        <v>920</v>
      </c>
      <c r="B921" s="2">
        <v>44071</v>
      </c>
      <c r="C921" t="s">
        <v>128</v>
      </c>
      <c r="D921" t="s">
        <v>173</v>
      </c>
      <c r="E921">
        <v>2</v>
      </c>
      <c r="F921" t="str">
        <f>VLOOKUP($C921,VLOOKUP_spp!$A$2:$D$103,4,1)</f>
        <v>Wasp</v>
      </c>
      <c r="G921" t="str">
        <f>VLOOKUP($F921,VLOOKUP_spp!$A$2:$E$102,5,1)</f>
        <v>Hymenoptera</v>
      </c>
      <c r="H921" t="str">
        <f t="shared" si="14"/>
        <v>Aug</v>
      </c>
      <c r="I921">
        <v>1</v>
      </c>
    </row>
    <row r="922" spans="1:9" x14ac:dyDescent="0.35">
      <c r="A922">
        <v>921</v>
      </c>
      <c r="B922" s="2">
        <v>44071</v>
      </c>
      <c r="C922" t="s">
        <v>128</v>
      </c>
      <c r="D922" t="s">
        <v>154</v>
      </c>
      <c r="E922">
        <v>1</v>
      </c>
      <c r="F922" t="str">
        <f>VLOOKUP($C922,VLOOKUP_spp!$A$2:$D$103,4,1)</f>
        <v>Wasp</v>
      </c>
      <c r="G922" t="str">
        <f>VLOOKUP($F922,VLOOKUP_spp!$A$2:$E$102,5,1)</f>
        <v>Hymenoptera</v>
      </c>
      <c r="H922" t="str">
        <f t="shared" si="14"/>
        <v>Aug</v>
      </c>
      <c r="I922">
        <v>1</v>
      </c>
    </row>
    <row r="923" spans="1:9" x14ac:dyDescent="0.35">
      <c r="A923">
        <v>922</v>
      </c>
      <c r="B923" s="2">
        <v>44071</v>
      </c>
      <c r="C923" t="s">
        <v>128</v>
      </c>
      <c r="D923" t="s">
        <v>172</v>
      </c>
      <c r="E923">
        <v>5</v>
      </c>
      <c r="F923" t="str">
        <f>VLOOKUP($C923,VLOOKUP_spp!$A$2:$D$103,4,1)</f>
        <v>Wasp</v>
      </c>
      <c r="G923" t="str">
        <f>VLOOKUP($F923,VLOOKUP_spp!$A$2:$E$102,5,1)</f>
        <v>Hymenoptera</v>
      </c>
      <c r="H923" t="str">
        <f t="shared" si="14"/>
        <v>Aug</v>
      </c>
      <c r="I923">
        <v>1</v>
      </c>
    </row>
    <row r="924" spans="1:9" x14ac:dyDescent="0.35">
      <c r="A924">
        <v>923</v>
      </c>
      <c r="B924" s="2">
        <v>44071</v>
      </c>
      <c r="C924" t="s">
        <v>128</v>
      </c>
      <c r="D924" t="s">
        <v>167</v>
      </c>
      <c r="E924">
        <v>1</v>
      </c>
      <c r="F924" t="str">
        <f>VLOOKUP($C924,VLOOKUP_spp!$A$2:$D$103,4,1)</f>
        <v>Wasp</v>
      </c>
      <c r="G924" t="str">
        <f>VLOOKUP($F924,VLOOKUP_spp!$A$2:$E$102,5,1)</f>
        <v>Hymenoptera</v>
      </c>
      <c r="H924" t="str">
        <f t="shared" si="14"/>
        <v>Aug</v>
      </c>
      <c r="I924">
        <v>1</v>
      </c>
    </row>
    <row r="925" spans="1:9" x14ac:dyDescent="0.35">
      <c r="A925">
        <v>924</v>
      </c>
      <c r="B925" s="2">
        <v>44071</v>
      </c>
      <c r="C925" t="s">
        <v>128</v>
      </c>
      <c r="D925" t="s">
        <v>150</v>
      </c>
      <c r="E925">
        <v>3</v>
      </c>
      <c r="F925" t="str">
        <f>VLOOKUP($C925,VLOOKUP_spp!$A$2:$D$103,4,1)</f>
        <v>Wasp</v>
      </c>
      <c r="G925" t="str">
        <f>VLOOKUP($F925,VLOOKUP_spp!$A$2:$E$102,5,1)</f>
        <v>Hymenoptera</v>
      </c>
      <c r="H925" t="str">
        <f t="shared" si="14"/>
        <v>Aug</v>
      </c>
      <c r="I925">
        <v>1</v>
      </c>
    </row>
    <row r="926" spans="1:9" x14ac:dyDescent="0.35">
      <c r="A926">
        <v>925</v>
      </c>
      <c r="B926" s="2">
        <v>44071</v>
      </c>
      <c r="C926" t="s">
        <v>128</v>
      </c>
      <c r="D926" t="s">
        <v>160</v>
      </c>
      <c r="E926">
        <v>4</v>
      </c>
      <c r="F926" t="str">
        <f>VLOOKUP($C926,VLOOKUP_spp!$A$2:$D$103,4,1)</f>
        <v>Wasp</v>
      </c>
      <c r="G926" t="str">
        <f>VLOOKUP($F926,VLOOKUP_spp!$A$2:$E$102,5,1)</f>
        <v>Hymenoptera</v>
      </c>
      <c r="H926" t="str">
        <f t="shared" si="14"/>
        <v>Aug</v>
      </c>
      <c r="I926">
        <v>1</v>
      </c>
    </row>
    <row r="927" spans="1:9" x14ac:dyDescent="0.35">
      <c r="A927">
        <v>926</v>
      </c>
      <c r="B927" s="2">
        <v>44071</v>
      </c>
      <c r="C927" t="s">
        <v>128</v>
      </c>
      <c r="D927" t="s">
        <v>170</v>
      </c>
      <c r="E927">
        <v>1</v>
      </c>
      <c r="F927" t="str">
        <f>VLOOKUP($C927,VLOOKUP_spp!$A$2:$D$103,4,1)</f>
        <v>Wasp</v>
      </c>
      <c r="G927" t="str">
        <f>VLOOKUP($F927,VLOOKUP_spp!$A$2:$E$102,5,1)</f>
        <v>Hymenoptera</v>
      </c>
      <c r="H927" t="str">
        <f t="shared" si="14"/>
        <v>Aug</v>
      </c>
      <c r="I927">
        <v>1</v>
      </c>
    </row>
    <row r="928" spans="1:9" x14ac:dyDescent="0.35">
      <c r="A928">
        <v>927</v>
      </c>
      <c r="B928" s="2">
        <v>44071</v>
      </c>
      <c r="C928" t="s">
        <v>128</v>
      </c>
      <c r="D928" t="s">
        <v>162</v>
      </c>
      <c r="E928">
        <v>2</v>
      </c>
      <c r="F928" t="str">
        <f>VLOOKUP($C928,VLOOKUP_spp!$A$2:$D$103,4,1)</f>
        <v>Wasp</v>
      </c>
      <c r="G928" t="str">
        <f>VLOOKUP($F928,VLOOKUP_spp!$A$2:$E$102,5,1)</f>
        <v>Hymenoptera</v>
      </c>
      <c r="H928" t="str">
        <f t="shared" si="14"/>
        <v>Aug</v>
      </c>
      <c r="I928">
        <v>1</v>
      </c>
    </row>
    <row r="929" spans="1:9" x14ac:dyDescent="0.35">
      <c r="A929">
        <v>928</v>
      </c>
      <c r="B929" s="2">
        <v>44071</v>
      </c>
      <c r="C929" t="s">
        <v>128</v>
      </c>
      <c r="D929" t="s">
        <v>175</v>
      </c>
      <c r="E929">
        <v>6</v>
      </c>
      <c r="F929" t="str">
        <f>VLOOKUP($C929,VLOOKUP_spp!$A$2:$D$103,4,1)</f>
        <v>Wasp</v>
      </c>
      <c r="G929" t="str">
        <f>VLOOKUP($F929,VLOOKUP_spp!$A$2:$E$102,5,1)</f>
        <v>Hymenoptera</v>
      </c>
      <c r="H929" t="str">
        <f t="shared" si="14"/>
        <v>Aug</v>
      </c>
      <c r="I929">
        <v>1</v>
      </c>
    </row>
    <row r="930" spans="1:9" x14ac:dyDescent="0.35">
      <c r="A930">
        <v>929</v>
      </c>
      <c r="B930" s="2">
        <v>44071</v>
      </c>
      <c r="C930" t="s">
        <v>128</v>
      </c>
      <c r="D930" t="s">
        <v>147</v>
      </c>
      <c r="E930">
        <v>5</v>
      </c>
      <c r="F930" t="str">
        <f>VLOOKUP($C930,VLOOKUP_spp!$A$2:$D$103,4,1)</f>
        <v>Wasp</v>
      </c>
      <c r="G930" t="str">
        <f>VLOOKUP($F930,VLOOKUP_spp!$A$2:$E$102,5,1)</f>
        <v>Hymenoptera</v>
      </c>
      <c r="H930" t="str">
        <f t="shared" si="14"/>
        <v>Aug</v>
      </c>
      <c r="I930">
        <v>1</v>
      </c>
    </row>
    <row r="931" spans="1:9" x14ac:dyDescent="0.35">
      <c r="A931">
        <v>930</v>
      </c>
      <c r="B931" s="2">
        <v>44071</v>
      </c>
      <c r="C931" t="s">
        <v>128</v>
      </c>
      <c r="D931" t="s">
        <v>164</v>
      </c>
      <c r="E931">
        <v>1</v>
      </c>
      <c r="F931" t="str">
        <f>VLOOKUP($C931,VLOOKUP_spp!$A$2:$D$103,4,1)</f>
        <v>Wasp</v>
      </c>
      <c r="G931" t="str">
        <f>VLOOKUP($F931,VLOOKUP_spp!$A$2:$E$102,5,1)</f>
        <v>Hymenoptera</v>
      </c>
      <c r="H931" t="str">
        <f t="shared" si="14"/>
        <v>Aug</v>
      </c>
      <c r="I931">
        <v>1</v>
      </c>
    </row>
    <row r="932" spans="1:9" x14ac:dyDescent="0.35">
      <c r="A932">
        <v>931</v>
      </c>
      <c r="B932" s="2">
        <v>44074</v>
      </c>
      <c r="C932" t="s">
        <v>50</v>
      </c>
      <c r="D932" t="s">
        <v>157</v>
      </c>
      <c r="E932">
        <v>1</v>
      </c>
      <c r="F932" t="str">
        <f>VLOOKUP($C932,VLOOKUP_spp!$A$2:$D$103,4,1)</f>
        <v>Apis_mellifera</v>
      </c>
      <c r="G932" t="str">
        <f>VLOOKUP($F932,VLOOKUP_spp!$A$2:$E$102,5,1)</f>
        <v>Hymenoptera</v>
      </c>
      <c r="H932" t="str">
        <f t="shared" si="14"/>
        <v>Aug</v>
      </c>
      <c r="I932">
        <v>1</v>
      </c>
    </row>
    <row r="933" spans="1:9" x14ac:dyDescent="0.35">
      <c r="A933">
        <v>932</v>
      </c>
      <c r="B933" s="2">
        <v>44074</v>
      </c>
      <c r="C933" t="s">
        <v>50</v>
      </c>
      <c r="D933" t="s">
        <v>173</v>
      </c>
      <c r="E933">
        <v>3</v>
      </c>
      <c r="F933" t="str">
        <f>VLOOKUP($C933,VLOOKUP_spp!$A$2:$D$103,4,1)</f>
        <v>Apis_mellifera</v>
      </c>
      <c r="G933" t="str">
        <f>VLOOKUP($F933,VLOOKUP_spp!$A$2:$E$102,5,1)</f>
        <v>Hymenoptera</v>
      </c>
      <c r="H933" t="str">
        <f t="shared" si="14"/>
        <v>Aug</v>
      </c>
      <c r="I933">
        <v>1</v>
      </c>
    </row>
    <row r="934" spans="1:9" x14ac:dyDescent="0.35">
      <c r="A934">
        <v>933</v>
      </c>
      <c r="B934" s="2">
        <v>44074</v>
      </c>
      <c r="C934" t="s">
        <v>50</v>
      </c>
      <c r="D934" t="s">
        <v>154</v>
      </c>
      <c r="E934">
        <v>2</v>
      </c>
      <c r="F934" t="str">
        <f>VLOOKUP($C934,VLOOKUP_spp!$A$2:$D$103,4,1)</f>
        <v>Apis_mellifera</v>
      </c>
      <c r="G934" t="str">
        <f>VLOOKUP($F934,VLOOKUP_spp!$A$2:$E$102,5,1)</f>
        <v>Hymenoptera</v>
      </c>
      <c r="H934" t="str">
        <f t="shared" si="14"/>
        <v>Aug</v>
      </c>
      <c r="I934">
        <v>1</v>
      </c>
    </row>
    <row r="935" spans="1:9" x14ac:dyDescent="0.35">
      <c r="A935">
        <v>934</v>
      </c>
      <c r="B935" s="2">
        <v>44074</v>
      </c>
      <c r="C935" t="s">
        <v>50</v>
      </c>
      <c r="D935" t="s">
        <v>160</v>
      </c>
      <c r="E935">
        <v>1</v>
      </c>
      <c r="F935" t="str">
        <f>VLOOKUP($C935,VLOOKUP_spp!$A$2:$D$103,4,1)</f>
        <v>Apis_mellifera</v>
      </c>
      <c r="G935" t="str">
        <f>VLOOKUP($F935,VLOOKUP_spp!$A$2:$E$102,5,1)</f>
        <v>Hymenoptera</v>
      </c>
      <c r="H935" t="str">
        <f t="shared" si="14"/>
        <v>Aug</v>
      </c>
      <c r="I935">
        <v>1</v>
      </c>
    </row>
    <row r="936" spans="1:9" x14ac:dyDescent="0.35">
      <c r="A936">
        <v>935</v>
      </c>
      <c r="B936" s="2">
        <v>44074</v>
      </c>
      <c r="C936" t="s">
        <v>7</v>
      </c>
      <c r="D936" t="s">
        <v>157</v>
      </c>
      <c r="E936">
        <v>1</v>
      </c>
      <c r="F936" t="str">
        <f>VLOOKUP($C936,VLOOKUP_spp!$A$2:$D$103,4,1)</f>
        <v>Coleoptera</v>
      </c>
      <c r="G936" t="str">
        <f>VLOOKUP($F936,VLOOKUP_spp!$A$2:$E$102,5,1)</f>
        <v>Coleoptera</v>
      </c>
      <c r="H936" t="str">
        <f t="shared" si="14"/>
        <v>Aug</v>
      </c>
      <c r="I936">
        <v>1</v>
      </c>
    </row>
    <row r="937" spans="1:9" x14ac:dyDescent="0.35">
      <c r="A937">
        <v>936</v>
      </c>
      <c r="B937" s="2">
        <v>44074</v>
      </c>
      <c r="C937" t="s">
        <v>6</v>
      </c>
      <c r="D937" t="s">
        <v>157</v>
      </c>
      <c r="E937">
        <v>2</v>
      </c>
      <c r="F937" t="str">
        <f>VLOOKUP($C937,VLOOKUP_spp!$A$2:$D$103,4,1)</f>
        <v>Diptera</v>
      </c>
      <c r="G937" t="str">
        <f>VLOOKUP($F937,VLOOKUP_spp!$A$2:$E$102,5,1)</f>
        <v>Diptera</v>
      </c>
      <c r="H937" t="str">
        <f t="shared" si="14"/>
        <v>Aug</v>
      </c>
      <c r="I937">
        <v>1</v>
      </c>
    </row>
    <row r="938" spans="1:9" x14ac:dyDescent="0.35">
      <c r="A938">
        <v>937</v>
      </c>
      <c r="B938" s="2">
        <v>44074</v>
      </c>
      <c r="C938" t="s">
        <v>6</v>
      </c>
      <c r="D938" t="s">
        <v>158</v>
      </c>
      <c r="E938">
        <v>2</v>
      </c>
      <c r="F938" t="str">
        <f>VLOOKUP($C938,VLOOKUP_spp!$A$2:$D$103,4,1)</f>
        <v>Diptera</v>
      </c>
      <c r="G938" t="str">
        <f>VLOOKUP($F938,VLOOKUP_spp!$A$2:$E$102,5,1)</f>
        <v>Diptera</v>
      </c>
      <c r="H938" t="str">
        <f t="shared" si="14"/>
        <v>Aug</v>
      </c>
      <c r="I938">
        <v>1</v>
      </c>
    </row>
    <row r="939" spans="1:9" x14ac:dyDescent="0.35">
      <c r="A939">
        <v>938</v>
      </c>
      <c r="B939" s="2">
        <v>44074</v>
      </c>
      <c r="C939" t="s">
        <v>6</v>
      </c>
      <c r="D939" t="s">
        <v>154</v>
      </c>
      <c r="E939">
        <v>2</v>
      </c>
      <c r="F939" t="str">
        <f>VLOOKUP($C939,VLOOKUP_spp!$A$2:$D$103,4,1)</f>
        <v>Diptera</v>
      </c>
      <c r="G939" t="str">
        <f>VLOOKUP($F939,VLOOKUP_spp!$A$2:$E$102,5,1)</f>
        <v>Diptera</v>
      </c>
      <c r="H939" t="str">
        <f t="shared" si="14"/>
        <v>Aug</v>
      </c>
      <c r="I939">
        <v>1</v>
      </c>
    </row>
    <row r="940" spans="1:9" x14ac:dyDescent="0.35">
      <c r="A940">
        <v>939</v>
      </c>
      <c r="B940" s="2">
        <v>44074</v>
      </c>
      <c r="C940" t="s">
        <v>6</v>
      </c>
      <c r="D940" t="s">
        <v>160</v>
      </c>
      <c r="E940">
        <v>3</v>
      </c>
      <c r="F940" t="str">
        <f>VLOOKUP($C940,VLOOKUP_spp!$A$2:$D$103,4,1)</f>
        <v>Diptera</v>
      </c>
      <c r="G940" t="str">
        <f>VLOOKUP($F940,VLOOKUP_spp!$A$2:$E$102,5,1)</f>
        <v>Diptera</v>
      </c>
      <c r="H940" t="str">
        <f t="shared" si="14"/>
        <v>Aug</v>
      </c>
      <c r="I940">
        <v>1</v>
      </c>
    </row>
    <row r="941" spans="1:9" x14ac:dyDescent="0.35">
      <c r="A941">
        <v>940</v>
      </c>
      <c r="B941" s="2">
        <v>44074</v>
      </c>
      <c r="C941" t="s">
        <v>6</v>
      </c>
      <c r="D941" t="s">
        <v>162</v>
      </c>
      <c r="E941">
        <v>10</v>
      </c>
      <c r="F941" t="str">
        <f>VLOOKUP($C941,VLOOKUP_spp!$A$2:$D$103,4,1)</f>
        <v>Diptera</v>
      </c>
      <c r="G941" t="str">
        <f>VLOOKUP($F941,VLOOKUP_spp!$A$2:$E$102,5,1)</f>
        <v>Diptera</v>
      </c>
      <c r="H941" t="str">
        <f t="shared" si="14"/>
        <v>Aug</v>
      </c>
      <c r="I941">
        <v>1</v>
      </c>
    </row>
    <row r="942" spans="1:9" x14ac:dyDescent="0.35">
      <c r="A942">
        <v>941</v>
      </c>
      <c r="B942" s="2">
        <v>44074</v>
      </c>
      <c r="C942" t="s">
        <v>100</v>
      </c>
      <c r="D942" t="s">
        <v>167</v>
      </c>
      <c r="E942">
        <v>1</v>
      </c>
      <c r="F942" t="str">
        <f>VLOOKUP($C942,VLOOKUP_spp!$A$2:$D$103,4,1)</f>
        <v>Halictus</v>
      </c>
      <c r="G942" t="str">
        <f>VLOOKUP($F942,VLOOKUP_spp!$A$2:$E$102,5,1)</f>
        <v>Hymenoptera</v>
      </c>
      <c r="H942" t="str">
        <f t="shared" si="14"/>
        <v>Aug</v>
      </c>
      <c r="I942">
        <v>1</v>
      </c>
    </row>
    <row r="943" spans="1:9" x14ac:dyDescent="0.35">
      <c r="A943">
        <v>942</v>
      </c>
      <c r="B943" s="2">
        <v>44074</v>
      </c>
      <c r="C943" t="s">
        <v>103</v>
      </c>
      <c r="D943" t="s">
        <v>160</v>
      </c>
      <c r="E943">
        <v>1</v>
      </c>
      <c r="F943" t="str">
        <f>VLOOKUP($C943,VLOOKUP_spp!$A$2:$D$103,4,1)</f>
        <v>Hylaeus</v>
      </c>
      <c r="G943" t="str">
        <f>VLOOKUP($F943,VLOOKUP_spp!$A$2:$E$102,5,1)</f>
        <v>Hymenoptera</v>
      </c>
      <c r="H943" t="str">
        <f t="shared" si="14"/>
        <v>Aug</v>
      </c>
      <c r="I943">
        <v>1</v>
      </c>
    </row>
    <row r="944" spans="1:9" x14ac:dyDescent="0.35">
      <c r="A944">
        <v>943</v>
      </c>
      <c r="B944" s="2">
        <v>44074</v>
      </c>
      <c r="C944" t="s">
        <v>8</v>
      </c>
      <c r="D944" t="s">
        <v>162</v>
      </c>
      <c r="E944">
        <v>1</v>
      </c>
      <c r="F944" t="str">
        <f>VLOOKUP($C944,VLOOKUP_spp!$A$2:$D$103,4,1)</f>
        <v>Lepidoptera</v>
      </c>
      <c r="G944" t="str">
        <f>VLOOKUP($F944,VLOOKUP_spp!$A$2:$E$102,5,1)</f>
        <v>Lepidoptera</v>
      </c>
      <c r="H944" t="str">
        <f t="shared" si="14"/>
        <v>Aug</v>
      </c>
      <c r="I944">
        <v>1</v>
      </c>
    </row>
    <row r="945" spans="1:9" x14ac:dyDescent="0.35">
      <c r="A945">
        <v>944</v>
      </c>
      <c r="B945" s="2">
        <v>44074</v>
      </c>
      <c r="C945" t="s">
        <v>128</v>
      </c>
      <c r="D945" t="s">
        <v>154</v>
      </c>
      <c r="E945">
        <v>4</v>
      </c>
      <c r="F945" t="str">
        <f>VLOOKUP($C945,VLOOKUP_spp!$A$2:$D$103,4,1)</f>
        <v>Wasp</v>
      </c>
      <c r="G945" t="str">
        <f>VLOOKUP($F945,VLOOKUP_spp!$A$2:$E$102,5,1)</f>
        <v>Hymenoptera</v>
      </c>
      <c r="H945" t="str">
        <f t="shared" si="14"/>
        <v>Aug</v>
      </c>
      <c r="I945">
        <v>1</v>
      </c>
    </row>
    <row r="946" spans="1:9" x14ac:dyDescent="0.35">
      <c r="A946">
        <v>945</v>
      </c>
      <c r="B946" s="2">
        <v>44074</v>
      </c>
      <c r="C946" t="s">
        <v>128</v>
      </c>
      <c r="D946" t="s">
        <v>170</v>
      </c>
      <c r="E946">
        <v>2</v>
      </c>
      <c r="F946" t="str">
        <f>VLOOKUP($C946,VLOOKUP_spp!$A$2:$D$103,4,1)</f>
        <v>Wasp</v>
      </c>
      <c r="G946" t="str">
        <f>VLOOKUP($F946,VLOOKUP_spp!$A$2:$E$102,5,1)</f>
        <v>Hymenoptera</v>
      </c>
      <c r="H946" t="str">
        <f t="shared" si="14"/>
        <v>Aug</v>
      </c>
      <c r="I946">
        <v>1</v>
      </c>
    </row>
    <row r="947" spans="1:9" x14ac:dyDescent="0.35">
      <c r="A947">
        <v>946</v>
      </c>
      <c r="B947" s="2">
        <v>44074</v>
      </c>
      <c r="C947" t="s">
        <v>128</v>
      </c>
      <c r="D947" t="s">
        <v>178</v>
      </c>
      <c r="E947">
        <v>2</v>
      </c>
      <c r="F947" t="str">
        <f>VLOOKUP($C947,VLOOKUP_spp!$A$2:$D$103,4,1)</f>
        <v>Wasp</v>
      </c>
      <c r="G947" t="str">
        <f>VLOOKUP($F947,VLOOKUP_spp!$A$2:$E$102,5,1)</f>
        <v>Hymenoptera</v>
      </c>
      <c r="H947" t="str">
        <f t="shared" si="14"/>
        <v>Aug</v>
      </c>
      <c r="I947">
        <v>1</v>
      </c>
    </row>
    <row r="948" spans="1:9" x14ac:dyDescent="0.35">
      <c r="A948">
        <v>947</v>
      </c>
      <c r="B948" s="2">
        <v>44074</v>
      </c>
      <c r="C948" t="s">
        <v>128</v>
      </c>
      <c r="D948" t="s">
        <v>162</v>
      </c>
      <c r="E948">
        <v>1</v>
      </c>
      <c r="F948" t="str">
        <f>VLOOKUP($C948,VLOOKUP_spp!$A$2:$D$103,4,1)</f>
        <v>Wasp</v>
      </c>
      <c r="G948" t="str">
        <f>VLOOKUP($F948,VLOOKUP_spp!$A$2:$E$102,5,1)</f>
        <v>Hymenoptera</v>
      </c>
      <c r="H948" t="str">
        <f t="shared" si="14"/>
        <v>Aug</v>
      </c>
      <c r="I948">
        <v>1</v>
      </c>
    </row>
    <row r="949" spans="1:9" x14ac:dyDescent="0.35">
      <c r="A949">
        <v>948</v>
      </c>
      <c r="B949" s="2">
        <v>44074</v>
      </c>
      <c r="C949" t="s">
        <v>128</v>
      </c>
      <c r="D949" t="s">
        <v>156</v>
      </c>
      <c r="E949">
        <v>1</v>
      </c>
      <c r="F949" t="str">
        <f>VLOOKUP($C949,VLOOKUP_spp!$A$2:$D$103,4,1)</f>
        <v>Wasp</v>
      </c>
      <c r="G949" t="str">
        <f>VLOOKUP($F949,VLOOKUP_spp!$A$2:$E$102,5,1)</f>
        <v>Hymenoptera</v>
      </c>
      <c r="H949" t="str">
        <f t="shared" si="14"/>
        <v>Aug</v>
      </c>
      <c r="I949">
        <v>1</v>
      </c>
    </row>
    <row r="950" spans="1:9" x14ac:dyDescent="0.35">
      <c r="A950">
        <v>949</v>
      </c>
      <c r="B950" s="2">
        <v>44074</v>
      </c>
      <c r="C950" t="s">
        <v>128</v>
      </c>
      <c r="D950" t="s">
        <v>176</v>
      </c>
      <c r="E950">
        <v>2</v>
      </c>
      <c r="F950" t="str">
        <f>VLOOKUP($C950,VLOOKUP_spp!$A$2:$D$103,4,1)</f>
        <v>Wasp</v>
      </c>
      <c r="G950" t="str">
        <f>VLOOKUP($F950,VLOOKUP_spp!$A$2:$E$102,5,1)</f>
        <v>Hymenoptera</v>
      </c>
      <c r="H950" t="str">
        <f t="shared" si="14"/>
        <v>Aug</v>
      </c>
      <c r="I950">
        <v>1</v>
      </c>
    </row>
    <row r="951" spans="1:9" x14ac:dyDescent="0.35">
      <c r="A951">
        <v>950</v>
      </c>
      <c r="B951" s="2">
        <v>44076</v>
      </c>
      <c r="C951" t="s">
        <v>50</v>
      </c>
      <c r="D951" t="s">
        <v>171</v>
      </c>
      <c r="E951">
        <v>3</v>
      </c>
      <c r="F951" t="str">
        <f>VLOOKUP($C951,VLOOKUP_spp!$A$2:$D$103,4,1)</f>
        <v>Apis_mellifera</v>
      </c>
      <c r="G951" t="str">
        <f>VLOOKUP($F951,VLOOKUP_spp!$A$2:$E$102,5,1)</f>
        <v>Hymenoptera</v>
      </c>
      <c r="H951" t="str">
        <f t="shared" si="14"/>
        <v>Sep</v>
      </c>
      <c r="I951">
        <v>1</v>
      </c>
    </row>
    <row r="952" spans="1:9" x14ac:dyDescent="0.35">
      <c r="A952">
        <v>951</v>
      </c>
      <c r="B952" s="2">
        <v>44076</v>
      </c>
      <c r="C952" t="s">
        <v>50</v>
      </c>
      <c r="D952" t="s">
        <v>169</v>
      </c>
      <c r="E952">
        <v>1</v>
      </c>
      <c r="F952" t="str">
        <f>VLOOKUP($C952,VLOOKUP_spp!$A$2:$D$103,4,1)</f>
        <v>Apis_mellifera</v>
      </c>
      <c r="G952" t="str">
        <f>VLOOKUP($F952,VLOOKUP_spp!$A$2:$E$102,5,1)</f>
        <v>Hymenoptera</v>
      </c>
      <c r="H952" t="str">
        <f t="shared" si="14"/>
        <v>Sep</v>
      </c>
      <c r="I952">
        <v>1</v>
      </c>
    </row>
    <row r="953" spans="1:9" x14ac:dyDescent="0.35">
      <c r="A953">
        <v>952</v>
      </c>
      <c r="B953" s="2">
        <v>44076</v>
      </c>
      <c r="C953" t="s">
        <v>50</v>
      </c>
      <c r="D953" t="s">
        <v>157</v>
      </c>
      <c r="E953">
        <v>1</v>
      </c>
      <c r="F953" t="str">
        <f>VLOOKUP($C953,VLOOKUP_spp!$A$2:$D$103,4,1)</f>
        <v>Apis_mellifera</v>
      </c>
      <c r="G953" t="str">
        <f>VLOOKUP($F953,VLOOKUP_spp!$A$2:$E$102,5,1)</f>
        <v>Hymenoptera</v>
      </c>
      <c r="H953" t="str">
        <f t="shared" si="14"/>
        <v>Sep</v>
      </c>
      <c r="I953">
        <v>1</v>
      </c>
    </row>
    <row r="954" spans="1:9" x14ac:dyDescent="0.35">
      <c r="A954">
        <v>953</v>
      </c>
      <c r="B954" s="2">
        <v>44076</v>
      </c>
      <c r="C954" t="s">
        <v>50</v>
      </c>
      <c r="D954" t="s">
        <v>153</v>
      </c>
      <c r="E954">
        <v>1</v>
      </c>
      <c r="F954" t="str">
        <f>VLOOKUP($C954,VLOOKUP_spp!$A$2:$D$103,4,1)</f>
        <v>Apis_mellifera</v>
      </c>
      <c r="G954" t="str">
        <f>VLOOKUP($F954,VLOOKUP_spp!$A$2:$E$102,5,1)</f>
        <v>Hymenoptera</v>
      </c>
      <c r="H954" t="str">
        <f t="shared" si="14"/>
        <v>Sep</v>
      </c>
      <c r="I954">
        <v>1</v>
      </c>
    </row>
    <row r="955" spans="1:9" x14ac:dyDescent="0.35">
      <c r="A955">
        <v>954</v>
      </c>
      <c r="B955" s="2">
        <v>44076</v>
      </c>
      <c r="C955" t="s">
        <v>50</v>
      </c>
      <c r="D955" t="s">
        <v>158</v>
      </c>
      <c r="E955">
        <v>1</v>
      </c>
      <c r="F955" t="str">
        <f>VLOOKUP($C955,VLOOKUP_spp!$A$2:$D$103,4,1)</f>
        <v>Apis_mellifera</v>
      </c>
      <c r="G955" t="str">
        <f>VLOOKUP($F955,VLOOKUP_spp!$A$2:$E$102,5,1)</f>
        <v>Hymenoptera</v>
      </c>
      <c r="H955" t="str">
        <f t="shared" si="14"/>
        <v>Sep</v>
      </c>
      <c r="I955">
        <v>1</v>
      </c>
    </row>
    <row r="956" spans="1:9" x14ac:dyDescent="0.35">
      <c r="A956">
        <v>955</v>
      </c>
      <c r="B956" s="2">
        <v>44076</v>
      </c>
      <c r="C956" t="s">
        <v>50</v>
      </c>
      <c r="D956" t="s">
        <v>173</v>
      </c>
      <c r="E956">
        <v>8</v>
      </c>
      <c r="F956" t="str">
        <f>VLOOKUP($C956,VLOOKUP_spp!$A$2:$D$103,4,1)</f>
        <v>Apis_mellifera</v>
      </c>
      <c r="G956" t="str">
        <f>VLOOKUP($F956,VLOOKUP_spp!$A$2:$E$102,5,1)</f>
        <v>Hymenoptera</v>
      </c>
      <c r="H956" t="str">
        <f t="shared" si="14"/>
        <v>Sep</v>
      </c>
      <c r="I956">
        <v>1</v>
      </c>
    </row>
    <row r="957" spans="1:9" x14ac:dyDescent="0.35">
      <c r="A957">
        <v>956</v>
      </c>
      <c r="B957" s="2">
        <v>44076</v>
      </c>
      <c r="C957" t="s">
        <v>50</v>
      </c>
      <c r="D957" t="s">
        <v>154</v>
      </c>
      <c r="E957">
        <v>3</v>
      </c>
      <c r="F957" t="str">
        <f>VLOOKUP($C957,VLOOKUP_spp!$A$2:$D$103,4,1)</f>
        <v>Apis_mellifera</v>
      </c>
      <c r="G957" t="str">
        <f>VLOOKUP($F957,VLOOKUP_spp!$A$2:$E$102,5,1)</f>
        <v>Hymenoptera</v>
      </c>
      <c r="H957" t="str">
        <f t="shared" si="14"/>
        <v>Sep</v>
      </c>
      <c r="I957">
        <v>1</v>
      </c>
    </row>
    <row r="958" spans="1:9" x14ac:dyDescent="0.35">
      <c r="A958">
        <v>957</v>
      </c>
      <c r="B958" s="2">
        <v>44076</v>
      </c>
      <c r="C958" t="s">
        <v>50</v>
      </c>
      <c r="D958" t="s">
        <v>172</v>
      </c>
      <c r="E958">
        <v>2</v>
      </c>
      <c r="F958" t="str">
        <f>VLOOKUP($C958,VLOOKUP_spp!$A$2:$D$103,4,1)</f>
        <v>Apis_mellifera</v>
      </c>
      <c r="G958" t="str">
        <f>VLOOKUP($F958,VLOOKUP_spp!$A$2:$E$102,5,1)</f>
        <v>Hymenoptera</v>
      </c>
      <c r="H958" t="str">
        <f t="shared" si="14"/>
        <v>Sep</v>
      </c>
      <c r="I958">
        <v>1</v>
      </c>
    </row>
    <row r="959" spans="1:9" x14ac:dyDescent="0.35">
      <c r="A959">
        <v>958</v>
      </c>
      <c r="B959" s="2">
        <v>44076</v>
      </c>
      <c r="C959" t="s">
        <v>50</v>
      </c>
      <c r="D959" t="s">
        <v>160</v>
      </c>
      <c r="E959">
        <v>2</v>
      </c>
      <c r="F959" t="str">
        <f>VLOOKUP($C959,VLOOKUP_spp!$A$2:$D$103,4,1)</f>
        <v>Apis_mellifera</v>
      </c>
      <c r="G959" t="str">
        <f>VLOOKUP($F959,VLOOKUP_spp!$A$2:$E$102,5,1)</f>
        <v>Hymenoptera</v>
      </c>
      <c r="H959" t="str">
        <f t="shared" si="14"/>
        <v>Sep</v>
      </c>
      <c r="I959">
        <v>1</v>
      </c>
    </row>
    <row r="960" spans="1:9" x14ac:dyDescent="0.35">
      <c r="A960">
        <v>959</v>
      </c>
      <c r="B960" s="2">
        <v>44076</v>
      </c>
      <c r="C960" t="s">
        <v>50</v>
      </c>
      <c r="D960" t="s">
        <v>170</v>
      </c>
      <c r="E960">
        <v>4</v>
      </c>
      <c r="F960" t="str">
        <f>VLOOKUP($C960,VLOOKUP_spp!$A$2:$D$103,4,1)</f>
        <v>Apis_mellifera</v>
      </c>
      <c r="G960" t="str">
        <f>VLOOKUP($F960,VLOOKUP_spp!$A$2:$E$102,5,1)</f>
        <v>Hymenoptera</v>
      </c>
      <c r="H960" t="str">
        <f t="shared" si="14"/>
        <v>Sep</v>
      </c>
      <c r="I960">
        <v>1</v>
      </c>
    </row>
    <row r="961" spans="1:9" x14ac:dyDescent="0.35">
      <c r="A961">
        <v>960</v>
      </c>
      <c r="B961" s="2">
        <v>44076</v>
      </c>
      <c r="C961" t="s">
        <v>50</v>
      </c>
      <c r="D961" t="s">
        <v>161</v>
      </c>
      <c r="E961">
        <v>2</v>
      </c>
      <c r="F961" t="str">
        <f>VLOOKUP($C961,VLOOKUP_spp!$A$2:$D$103,4,1)</f>
        <v>Apis_mellifera</v>
      </c>
      <c r="G961" t="str">
        <f>VLOOKUP($F961,VLOOKUP_spp!$A$2:$E$102,5,1)</f>
        <v>Hymenoptera</v>
      </c>
      <c r="H961" t="str">
        <f t="shared" si="14"/>
        <v>Sep</v>
      </c>
      <c r="I961">
        <v>1</v>
      </c>
    </row>
    <row r="962" spans="1:9" x14ac:dyDescent="0.35">
      <c r="A962">
        <v>961</v>
      </c>
      <c r="B962" s="2">
        <v>44076</v>
      </c>
      <c r="C962" t="s">
        <v>50</v>
      </c>
      <c r="D962" t="s">
        <v>162</v>
      </c>
      <c r="E962">
        <v>4</v>
      </c>
      <c r="F962" t="str">
        <f>VLOOKUP($C962,VLOOKUP_spp!$A$2:$D$103,4,1)</f>
        <v>Apis_mellifera</v>
      </c>
      <c r="G962" t="str">
        <f>VLOOKUP($F962,VLOOKUP_spp!$A$2:$E$102,5,1)</f>
        <v>Hymenoptera</v>
      </c>
      <c r="H962" t="str">
        <f t="shared" si="14"/>
        <v>Sep</v>
      </c>
      <c r="I962">
        <v>1</v>
      </c>
    </row>
    <row r="963" spans="1:9" x14ac:dyDescent="0.35">
      <c r="A963">
        <v>962</v>
      </c>
      <c r="B963" s="2">
        <v>44076</v>
      </c>
      <c r="C963" t="s">
        <v>50</v>
      </c>
      <c r="D963" t="s">
        <v>156</v>
      </c>
      <c r="E963">
        <v>6</v>
      </c>
      <c r="F963" t="str">
        <f>VLOOKUP($C963,VLOOKUP_spp!$A$2:$D$103,4,1)</f>
        <v>Apis_mellifera</v>
      </c>
      <c r="G963" t="str">
        <f>VLOOKUP($F963,VLOOKUP_spp!$A$2:$E$102,5,1)</f>
        <v>Hymenoptera</v>
      </c>
      <c r="H963" t="str">
        <f t="shared" ref="H963:H1026" si="15">TEXT(B963, "mmm")</f>
        <v>Sep</v>
      </c>
      <c r="I963">
        <v>1</v>
      </c>
    </row>
    <row r="964" spans="1:9" x14ac:dyDescent="0.35">
      <c r="A964">
        <v>963</v>
      </c>
      <c r="B964" s="2">
        <v>44076</v>
      </c>
      <c r="C964" t="s">
        <v>50</v>
      </c>
      <c r="D964" t="s">
        <v>164</v>
      </c>
      <c r="E964">
        <v>2</v>
      </c>
      <c r="F964" t="str">
        <f>VLOOKUP($C964,VLOOKUP_spp!$A$2:$D$103,4,1)</f>
        <v>Apis_mellifera</v>
      </c>
      <c r="G964" t="str">
        <f>VLOOKUP($F964,VLOOKUP_spp!$A$2:$E$102,5,1)</f>
        <v>Hymenoptera</v>
      </c>
      <c r="H964" t="str">
        <f t="shared" si="15"/>
        <v>Sep</v>
      </c>
      <c r="I964">
        <v>1</v>
      </c>
    </row>
    <row r="965" spans="1:9" x14ac:dyDescent="0.35">
      <c r="A965">
        <v>964</v>
      </c>
      <c r="B965" s="2">
        <v>44076</v>
      </c>
      <c r="C965" t="s">
        <v>57</v>
      </c>
      <c r="D965" t="s">
        <v>167</v>
      </c>
      <c r="E965">
        <v>1</v>
      </c>
      <c r="F965" t="str">
        <f>VLOOKUP($C965,VLOOKUP_spp!$A$2:$D$103,4,1)</f>
        <v>Bombus_bimaculatus</v>
      </c>
      <c r="G965" t="str">
        <f>VLOOKUP($F965,VLOOKUP_spp!$A$2:$E$102,5,1)</f>
        <v>Hymenoptera</v>
      </c>
      <c r="H965" t="str">
        <f t="shared" si="15"/>
        <v>Sep</v>
      </c>
      <c r="I965">
        <v>1</v>
      </c>
    </row>
    <row r="966" spans="1:9" x14ac:dyDescent="0.35">
      <c r="A966">
        <v>965</v>
      </c>
      <c r="B966" s="2">
        <v>44076</v>
      </c>
      <c r="C966" t="s">
        <v>57</v>
      </c>
      <c r="D966" t="s">
        <v>162</v>
      </c>
      <c r="E966">
        <v>1</v>
      </c>
      <c r="F966" t="str">
        <f>VLOOKUP($C966,VLOOKUP_spp!$A$2:$D$103,4,1)</f>
        <v>Bombus_bimaculatus</v>
      </c>
      <c r="G966" t="str">
        <f>VLOOKUP($F966,VLOOKUP_spp!$A$2:$E$102,5,1)</f>
        <v>Hymenoptera</v>
      </c>
      <c r="H966" t="str">
        <f t="shared" si="15"/>
        <v>Sep</v>
      </c>
      <c r="I966">
        <v>1</v>
      </c>
    </row>
    <row r="967" spans="1:9" x14ac:dyDescent="0.35">
      <c r="A967">
        <v>966</v>
      </c>
      <c r="B967" s="2">
        <v>44076</v>
      </c>
      <c r="C967" t="s">
        <v>67</v>
      </c>
      <c r="D967" t="s">
        <v>171</v>
      </c>
      <c r="E967">
        <v>4</v>
      </c>
      <c r="F967" t="str">
        <f>VLOOKUP($C967,VLOOKUP_spp!$A$2:$D$103,4,1)</f>
        <v>Bombus_impatiens</v>
      </c>
      <c r="G967" t="str">
        <f>VLOOKUP($F967,VLOOKUP_spp!$A$2:$E$102,5,1)</f>
        <v>Hymenoptera</v>
      </c>
      <c r="H967" t="str">
        <f t="shared" si="15"/>
        <v>Sep</v>
      </c>
      <c r="I967">
        <v>1</v>
      </c>
    </row>
    <row r="968" spans="1:9" x14ac:dyDescent="0.35">
      <c r="A968">
        <v>967</v>
      </c>
      <c r="B968" s="2">
        <v>44076</v>
      </c>
      <c r="C968" t="s">
        <v>67</v>
      </c>
      <c r="D968" t="s">
        <v>157</v>
      </c>
      <c r="E968">
        <v>3</v>
      </c>
      <c r="F968" t="str">
        <f>VLOOKUP($C968,VLOOKUP_spp!$A$2:$D$103,4,1)</f>
        <v>Bombus_impatiens</v>
      </c>
      <c r="G968" t="str">
        <f>VLOOKUP($F968,VLOOKUP_spp!$A$2:$E$102,5,1)</f>
        <v>Hymenoptera</v>
      </c>
      <c r="H968" t="str">
        <f t="shared" si="15"/>
        <v>Sep</v>
      </c>
      <c r="I968">
        <v>1</v>
      </c>
    </row>
    <row r="969" spans="1:9" x14ac:dyDescent="0.35">
      <c r="A969">
        <v>968</v>
      </c>
      <c r="B969" s="2">
        <v>44076</v>
      </c>
      <c r="C969" t="s">
        <v>67</v>
      </c>
      <c r="D969" t="s">
        <v>158</v>
      </c>
      <c r="E969">
        <v>3</v>
      </c>
      <c r="F969" t="str">
        <f>VLOOKUP($C969,VLOOKUP_spp!$A$2:$D$103,4,1)</f>
        <v>Bombus_impatiens</v>
      </c>
      <c r="G969" t="str">
        <f>VLOOKUP($F969,VLOOKUP_spp!$A$2:$E$102,5,1)</f>
        <v>Hymenoptera</v>
      </c>
      <c r="H969" t="str">
        <f t="shared" si="15"/>
        <v>Sep</v>
      </c>
      <c r="I969">
        <v>1</v>
      </c>
    </row>
    <row r="970" spans="1:9" x14ac:dyDescent="0.35">
      <c r="A970">
        <v>969</v>
      </c>
      <c r="B970" s="2">
        <v>44076</v>
      </c>
      <c r="C970" t="s">
        <v>67</v>
      </c>
      <c r="D970" t="s">
        <v>166</v>
      </c>
      <c r="E970">
        <v>1</v>
      </c>
      <c r="F970" t="str">
        <f>VLOOKUP($C970,VLOOKUP_spp!$A$2:$D$103,4,1)</f>
        <v>Bombus_impatiens</v>
      </c>
      <c r="G970" t="str">
        <f>VLOOKUP($F970,VLOOKUP_spp!$A$2:$E$102,5,1)</f>
        <v>Hymenoptera</v>
      </c>
      <c r="H970" t="str">
        <f t="shared" si="15"/>
        <v>Sep</v>
      </c>
      <c r="I970">
        <v>1</v>
      </c>
    </row>
    <row r="971" spans="1:9" x14ac:dyDescent="0.35">
      <c r="A971">
        <v>970</v>
      </c>
      <c r="B971" s="2">
        <v>44076</v>
      </c>
      <c r="C971" t="s">
        <v>67</v>
      </c>
      <c r="D971" t="s">
        <v>173</v>
      </c>
      <c r="E971">
        <v>2</v>
      </c>
      <c r="F971" t="str">
        <f>VLOOKUP($C971,VLOOKUP_spp!$A$2:$D$103,4,1)</f>
        <v>Bombus_impatiens</v>
      </c>
      <c r="G971" t="str">
        <f>VLOOKUP($F971,VLOOKUP_spp!$A$2:$E$102,5,1)</f>
        <v>Hymenoptera</v>
      </c>
      <c r="H971" t="str">
        <f t="shared" si="15"/>
        <v>Sep</v>
      </c>
      <c r="I971">
        <v>1</v>
      </c>
    </row>
    <row r="972" spans="1:9" x14ac:dyDescent="0.35">
      <c r="A972">
        <v>971</v>
      </c>
      <c r="B972" s="2">
        <v>44076</v>
      </c>
      <c r="C972" t="s">
        <v>67</v>
      </c>
      <c r="D972" t="s">
        <v>154</v>
      </c>
      <c r="E972">
        <v>4</v>
      </c>
      <c r="F972" t="str">
        <f>VLOOKUP($C972,VLOOKUP_spp!$A$2:$D$103,4,1)</f>
        <v>Bombus_impatiens</v>
      </c>
      <c r="G972" t="str">
        <f>VLOOKUP($F972,VLOOKUP_spp!$A$2:$E$102,5,1)</f>
        <v>Hymenoptera</v>
      </c>
      <c r="H972" t="str">
        <f t="shared" si="15"/>
        <v>Sep</v>
      </c>
      <c r="I972">
        <v>1</v>
      </c>
    </row>
    <row r="973" spans="1:9" x14ac:dyDescent="0.35">
      <c r="A973">
        <v>972</v>
      </c>
      <c r="B973" s="2">
        <v>44076</v>
      </c>
      <c r="C973" t="s">
        <v>67</v>
      </c>
      <c r="D973" t="s">
        <v>150</v>
      </c>
      <c r="E973">
        <v>2</v>
      </c>
      <c r="F973" t="str">
        <f>VLOOKUP($C973,VLOOKUP_spp!$A$2:$D$103,4,1)</f>
        <v>Bombus_impatiens</v>
      </c>
      <c r="G973" t="str">
        <f>VLOOKUP($F973,VLOOKUP_spp!$A$2:$E$102,5,1)</f>
        <v>Hymenoptera</v>
      </c>
      <c r="H973" t="str">
        <f t="shared" si="15"/>
        <v>Sep</v>
      </c>
      <c r="I973">
        <v>1</v>
      </c>
    </row>
    <row r="974" spans="1:9" x14ac:dyDescent="0.35">
      <c r="A974">
        <v>973</v>
      </c>
      <c r="B974" s="2">
        <v>44076</v>
      </c>
      <c r="C974" t="s">
        <v>67</v>
      </c>
      <c r="D974" t="s">
        <v>160</v>
      </c>
      <c r="E974">
        <v>1</v>
      </c>
      <c r="F974" t="str">
        <f>VLOOKUP($C974,VLOOKUP_spp!$A$2:$D$103,4,1)</f>
        <v>Bombus_impatiens</v>
      </c>
      <c r="G974" t="str">
        <f>VLOOKUP($F974,VLOOKUP_spp!$A$2:$E$102,5,1)</f>
        <v>Hymenoptera</v>
      </c>
      <c r="H974" t="str">
        <f t="shared" si="15"/>
        <v>Sep</v>
      </c>
      <c r="I974">
        <v>1</v>
      </c>
    </row>
    <row r="975" spans="1:9" x14ac:dyDescent="0.35">
      <c r="A975">
        <v>974</v>
      </c>
      <c r="B975" s="2">
        <v>44076</v>
      </c>
      <c r="C975" t="s">
        <v>67</v>
      </c>
      <c r="D975" t="s">
        <v>162</v>
      </c>
      <c r="E975">
        <v>1</v>
      </c>
      <c r="F975" t="str">
        <f>VLOOKUP($C975,VLOOKUP_spp!$A$2:$D$103,4,1)</f>
        <v>Bombus_impatiens</v>
      </c>
      <c r="G975" t="str">
        <f>VLOOKUP($F975,VLOOKUP_spp!$A$2:$E$102,5,1)</f>
        <v>Hymenoptera</v>
      </c>
      <c r="H975" t="str">
        <f t="shared" si="15"/>
        <v>Sep</v>
      </c>
      <c r="I975">
        <v>1</v>
      </c>
    </row>
    <row r="976" spans="1:9" x14ac:dyDescent="0.35">
      <c r="A976">
        <v>975</v>
      </c>
      <c r="B976" s="2">
        <v>44076</v>
      </c>
      <c r="C976" t="s">
        <v>67</v>
      </c>
      <c r="D976" t="s">
        <v>156</v>
      </c>
      <c r="E976">
        <v>2</v>
      </c>
      <c r="F976" t="str">
        <f>VLOOKUP($C976,VLOOKUP_spp!$A$2:$D$103,4,1)</f>
        <v>Bombus_impatiens</v>
      </c>
      <c r="G976" t="str">
        <f>VLOOKUP($F976,VLOOKUP_spp!$A$2:$E$102,5,1)</f>
        <v>Hymenoptera</v>
      </c>
      <c r="H976" t="str">
        <f t="shared" si="15"/>
        <v>Sep</v>
      </c>
      <c r="I976">
        <v>1</v>
      </c>
    </row>
    <row r="977" spans="1:9" x14ac:dyDescent="0.35">
      <c r="A977">
        <v>976</v>
      </c>
      <c r="B977" s="2">
        <v>44076</v>
      </c>
      <c r="C977" t="s">
        <v>76</v>
      </c>
      <c r="D977" t="s">
        <v>167</v>
      </c>
      <c r="E977">
        <v>1</v>
      </c>
      <c r="F977" t="str">
        <f>VLOOKUP($C977,VLOOKUP_spp!$A$2:$D$103,4,1)</f>
        <v>Bombus_rufocinctus</v>
      </c>
      <c r="G977" t="str">
        <f>VLOOKUP($F977,VLOOKUP_spp!$A$2:$E$102,5,1)</f>
        <v>Hymenoptera</v>
      </c>
      <c r="H977" t="str">
        <f t="shared" si="15"/>
        <v>Sep</v>
      </c>
      <c r="I977">
        <v>1</v>
      </c>
    </row>
    <row r="978" spans="1:9" x14ac:dyDescent="0.35">
      <c r="A978">
        <v>977</v>
      </c>
      <c r="B978" s="2">
        <v>44076</v>
      </c>
      <c r="C978" t="s">
        <v>85</v>
      </c>
      <c r="D978" t="s">
        <v>157</v>
      </c>
      <c r="E978">
        <v>1</v>
      </c>
      <c r="F978" t="str">
        <f>VLOOKUP($C978,VLOOKUP_spp!$A$2:$D$103,4,1)</f>
        <v>Ceratina</v>
      </c>
      <c r="G978" t="str">
        <f>VLOOKUP($F978,VLOOKUP_spp!$A$2:$E$102,5,1)</f>
        <v>Hymenoptera</v>
      </c>
      <c r="H978" t="str">
        <f t="shared" si="15"/>
        <v>Sep</v>
      </c>
      <c r="I978">
        <v>1</v>
      </c>
    </row>
    <row r="979" spans="1:9" x14ac:dyDescent="0.35">
      <c r="A979">
        <v>978</v>
      </c>
      <c r="B979" s="2">
        <v>44076</v>
      </c>
      <c r="C979" t="s">
        <v>7</v>
      </c>
      <c r="D979" t="s">
        <v>147</v>
      </c>
      <c r="E979">
        <v>1</v>
      </c>
      <c r="F979" t="str">
        <f>VLOOKUP($C979,VLOOKUP_spp!$A$2:$D$103,4,1)</f>
        <v>Coleoptera</v>
      </c>
      <c r="G979" t="str">
        <f>VLOOKUP($F979,VLOOKUP_spp!$A$2:$E$102,5,1)</f>
        <v>Coleoptera</v>
      </c>
      <c r="H979" t="str">
        <f t="shared" si="15"/>
        <v>Sep</v>
      </c>
      <c r="I979">
        <v>1</v>
      </c>
    </row>
    <row r="980" spans="1:9" x14ac:dyDescent="0.35">
      <c r="A980">
        <v>979</v>
      </c>
      <c r="B980" s="2">
        <v>44076</v>
      </c>
      <c r="C980" t="s">
        <v>7</v>
      </c>
      <c r="D980" t="s">
        <v>156</v>
      </c>
      <c r="E980">
        <v>1</v>
      </c>
      <c r="F980" t="str">
        <f>VLOOKUP($C980,VLOOKUP_spp!$A$2:$D$103,4,1)</f>
        <v>Coleoptera</v>
      </c>
      <c r="G980" t="str">
        <f>VLOOKUP($F980,VLOOKUP_spp!$A$2:$E$102,5,1)</f>
        <v>Coleoptera</v>
      </c>
      <c r="H980" t="str">
        <f t="shared" si="15"/>
        <v>Sep</v>
      </c>
      <c r="I980">
        <v>1</v>
      </c>
    </row>
    <row r="981" spans="1:9" x14ac:dyDescent="0.35">
      <c r="A981">
        <v>980</v>
      </c>
      <c r="B981" s="2">
        <v>44076</v>
      </c>
      <c r="C981" t="s">
        <v>7</v>
      </c>
      <c r="D981" t="s">
        <v>176</v>
      </c>
      <c r="E981">
        <v>1</v>
      </c>
      <c r="F981" t="str">
        <f>VLOOKUP($C981,VLOOKUP_spp!$A$2:$D$103,4,1)</f>
        <v>Coleoptera</v>
      </c>
      <c r="G981" t="str">
        <f>VLOOKUP($F981,VLOOKUP_spp!$A$2:$E$102,5,1)</f>
        <v>Coleoptera</v>
      </c>
      <c r="H981" t="str">
        <f t="shared" si="15"/>
        <v>Sep</v>
      </c>
      <c r="I981">
        <v>1</v>
      </c>
    </row>
    <row r="982" spans="1:9" x14ac:dyDescent="0.35">
      <c r="A982">
        <v>981</v>
      </c>
      <c r="B982" s="2">
        <v>44076</v>
      </c>
      <c r="C982" t="s">
        <v>6</v>
      </c>
      <c r="D982" t="s">
        <v>169</v>
      </c>
      <c r="E982">
        <v>1</v>
      </c>
      <c r="F982" t="str">
        <f>VLOOKUP($C982,VLOOKUP_spp!$A$2:$D$103,4,1)</f>
        <v>Diptera</v>
      </c>
      <c r="G982" t="str">
        <f>VLOOKUP($F982,VLOOKUP_spp!$A$2:$E$102,5,1)</f>
        <v>Diptera</v>
      </c>
      <c r="H982" t="str">
        <f t="shared" si="15"/>
        <v>Sep</v>
      </c>
      <c r="I982">
        <v>1</v>
      </c>
    </row>
    <row r="983" spans="1:9" x14ac:dyDescent="0.35">
      <c r="A983">
        <v>982</v>
      </c>
      <c r="B983" s="2">
        <v>44076</v>
      </c>
      <c r="C983" t="s">
        <v>6</v>
      </c>
      <c r="D983" t="s">
        <v>157</v>
      </c>
      <c r="E983">
        <v>1</v>
      </c>
      <c r="F983" t="str">
        <f>VLOOKUP($C983,VLOOKUP_spp!$A$2:$D$103,4,1)</f>
        <v>Diptera</v>
      </c>
      <c r="G983" t="str">
        <f>VLOOKUP($F983,VLOOKUP_spp!$A$2:$E$102,5,1)</f>
        <v>Diptera</v>
      </c>
      <c r="H983" t="str">
        <f t="shared" si="15"/>
        <v>Sep</v>
      </c>
      <c r="I983">
        <v>1</v>
      </c>
    </row>
    <row r="984" spans="1:9" x14ac:dyDescent="0.35">
      <c r="A984">
        <v>983</v>
      </c>
      <c r="B984" s="2">
        <v>44076</v>
      </c>
      <c r="C984" t="s">
        <v>6</v>
      </c>
      <c r="D984" t="s">
        <v>158</v>
      </c>
      <c r="E984">
        <v>2</v>
      </c>
      <c r="F984" t="str">
        <f>VLOOKUP($C984,VLOOKUP_spp!$A$2:$D$103,4,1)</f>
        <v>Diptera</v>
      </c>
      <c r="G984" t="str">
        <f>VLOOKUP($F984,VLOOKUP_spp!$A$2:$E$102,5,1)</f>
        <v>Diptera</v>
      </c>
      <c r="H984" t="str">
        <f t="shared" si="15"/>
        <v>Sep</v>
      </c>
      <c r="I984">
        <v>1</v>
      </c>
    </row>
    <row r="985" spans="1:9" x14ac:dyDescent="0.35">
      <c r="A985">
        <v>984</v>
      </c>
      <c r="B985" s="2">
        <v>44076</v>
      </c>
      <c r="C985" t="s">
        <v>6</v>
      </c>
      <c r="D985" t="s">
        <v>166</v>
      </c>
      <c r="E985">
        <v>1</v>
      </c>
      <c r="F985" t="str">
        <f>VLOOKUP($C985,VLOOKUP_spp!$A$2:$D$103,4,1)</f>
        <v>Diptera</v>
      </c>
      <c r="G985" t="str">
        <f>VLOOKUP($F985,VLOOKUP_spp!$A$2:$E$102,5,1)</f>
        <v>Diptera</v>
      </c>
      <c r="H985" t="str">
        <f t="shared" si="15"/>
        <v>Sep</v>
      </c>
      <c r="I985">
        <v>1</v>
      </c>
    </row>
    <row r="986" spans="1:9" x14ac:dyDescent="0.35">
      <c r="A986">
        <v>985</v>
      </c>
      <c r="B986" s="2">
        <v>44076</v>
      </c>
      <c r="C986" t="s">
        <v>6</v>
      </c>
      <c r="D986" t="s">
        <v>173</v>
      </c>
      <c r="E986">
        <v>1</v>
      </c>
      <c r="F986" t="str">
        <f>VLOOKUP($C986,VLOOKUP_spp!$A$2:$D$103,4,1)</f>
        <v>Diptera</v>
      </c>
      <c r="G986" t="str">
        <f>VLOOKUP($F986,VLOOKUP_spp!$A$2:$E$102,5,1)</f>
        <v>Diptera</v>
      </c>
      <c r="H986" t="str">
        <f t="shared" si="15"/>
        <v>Sep</v>
      </c>
      <c r="I986">
        <v>1</v>
      </c>
    </row>
    <row r="987" spans="1:9" x14ac:dyDescent="0.35">
      <c r="A987">
        <v>986</v>
      </c>
      <c r="B987" s="2">
        <v>44076</v>
      </c>
      <c r="C987" t="s">
        <v>6</v>
      </c>
      <c r="D987" t="s">
        <v>154</v>
      </c>
      <c r="E987">
        <v>1</v>
      </c>
      <c r="F987" t="str">
        <f>VLOOKUP($C987,VLOOKUP_spp!$A$2:$D$103,4,1)</f>
        <v>Diptera</v>
      </c>
      <c r="G987" t="str">
        <f>VLOOKUP($F987,VLOOKUP_spp!$A$2:$E$102,5,1)</f>
        <v>Diptera</v>
      </c>
      <c r="H987" t="str">
        <f t="shared" si="15"/>
        <v>Sep</v>
      </c>
      <c r="I987">
        <v>1</v>
      </c>
    </row>
    <row r="988" spans="1:9" x14ac:dyDescent="0.35">
      <c r="A988">
        <v>987</v>
      </c>
      <c r="B988" s="2">
        <v>44076</v>
      </c>
      <c r="C988" t="s">
        <v>6</v>
      </c>
      <c r="D988" t="s">
        <v>172</v>
      </c>
      <c r="E988">
        <v>3</v>
      </c>
      <c r="F988" t="str">
        <f>VLOOKUP($C988,VLOOKUP_spp!$A$2:$D$103,4,1)</f>
        <v>Diptera</v>
      </c>
      <c r="G988" t="str">
        <f>VLOOKUP($F988,VLOOKUP_spp!$A$2:$E$102,5,1)</f>
        <v>Diptera</v>
      </c>
      <c r="H988" t="str">
        <f t="shared" si="15"/>
        <v>Sep</v>
      </c>
      <c r="I988">
        <v>1</v>
      </c>
    </row>
    <row r="989" spans="1:9" x14ac:dyDescent="0.35">
      <c r="A989">
        <v>988</v>
      </c>
      <c r="B989" s="2">
        <v>44076</v>
      </c>
      <c r="C989" t="s">
        <v>6</v>
      </c>
      <c r="D989" t="s">
        <v>159</v>
      </c>
      <c r="E989">
        <v>1</v>
      </c>
      <c r="F989" t="str">
        <f>VLOOKUP($C989,VLOOKUP_spp!$A$2:$D$103,4,1)</f>
        <v>Diptera</v>
      </c>
      <c r="G989" t="str">
        <f>VLOOKUP($F989,VLOOKUP_spp!$A$2:$E$102,5,1)</f>
        <v>Diptera</v>
      </c>
      <c r="H989" t="str">
        <f t="shared" si="15"/>
        <v>Sep</v>
      </c>
      <c r="I989">
        <v>1</v>
      </c>
    </row>
    <row r="990" spans="1:9" x14ac:dyDescent="0.35">
      <c r="A990">
        <v>989</v>
      </c>
      <c r="B990" s="2">
        <v>44076</v>
      </c>
      <c r="C990" t="s">
        <v>6</v>
      </c>
      <c r="D990" t="s">
        <v>161</v>
      </c>
      <c r="E990">
        <v>2</v>
      </c>
      <c r="F990" t="str">
        <f>VLOOKUP($C990,VLOOKUP_spp!$A$2:$D$103,4,1)</f>
        <v>Diptera</v>
      </c>
      <c r="G990" t="str">
        <f>VLOOKUP($F990,VLOOKUP_spp!$A$2:$E$102,5,1)</f>
        <v>Diptera</v>
      </c>
      <c r="H990" t="str">
        <f t="shared" si="15"/>
        <v>Sep</v>
      </c>
      <c r="I990">
        <v>1</v>
      </c>
    </row>
    <row r="991" spans="1:9" x14ac:dyDescent="0.35">
      <c r="A991">
        <v>990</v>
      </c>
      <c r="B991" s="2">
        <v>44076</v>
      </c>
      <c r="C991" t="s">
        <v>6</v>
      </c>
      <c r="D991" t="s">
        <v>155</v>
      </c>
      <c r="E991">
        <v>1</v>
      </c>
      <c r="F991" t="str">
        <f>VLOOKUP($C991,VLOOKUP_spp!$A$2:$D$103,4,1)</f>
        <v>Diptera</v>
      </c>
      <c r="G991" t="str">
        <f>VLOOKUP($F991,VLOOKUP_spp!$A$2:$E$102,5,1)</f>
        <v>Diptera</v>
      </c>
      <c r="H991" t="str">
        <f t="shared" si="15"/>
        <v>Sep</v>
      </c>
      <c r="I991">
        <v>1</v>
      </c>
    </row>
    <row r="992" spans="1:9" x14ac:dyDescent="0.35">
      <c r="A992">
        <v>991</v>
      </c>
      <c r="B992" s="2">
        <v>44076</v>
      </c>
      <c r="C992" t="s">
        <v>96</v>
      </c>
      <c r="D992" t="s">
        <v>154</v>
      </c>
      <c r="E992">
        <v>1</v>
      </c>
      <c r="F992" t="str">
        <f>VLOOKUP($C992,VLOOKUP_spp!$A$2:$D$103,4,1)</f>
        <v>Habropoda</v>
      </c>
      <c r="G992" t="str">
        <f>VLOOKUP($F992,VLOOKUP_spp!$A$2:$E$102,5,1)</f>
        <v>Hymenoptera</v>
      </c>
      <c r="H992" t="str">
        <f t="shared" si="15"/>
        <v>Sep</v>
      </c>
      <c r="I992">
        <v>1</v>
      </c>
    </row>
    <row r="993" spans="1:9" x14ac:dyDescent="0.35">
      <c r="A993">
        <v>992</v>
      </c>
      <c r="B993" s="2">
        <v>44076</v>
      </c>
      <c r="C993" t="s">
        <v>97</v>
      </c>
      <c r="D993" t="s">
        <v>172</v>
      </c>
      <c r="E993">
        <v>2</v>
      </c>
      <c r="F993" t="str">
        <f>VLOOKUP($C993,VLOOKUP_spp!$A$2:$D$103,4,1)</f>
        <v>Halictus</v>
      </c>
      <c r="G993" t="str">
        <f>VLOOKUP($F993,VLOOKUP_spp!$A$2:$E$102,5,1)</f>
        <v>Hymenoptera</v>
      </c>
      <c r="H993" t="str">
        <f t="shared" si="15"/>
        <v>Sep</v>
      </c>
      <c r="I993">
        <v>1</v>
      </c>
    </row>
    <row r="994" spans="1:9" x14ac:dyDescent="0.35">
      <c r="A994">
        <v>993</v>
      </c>
      <c r="B994" s="2">
        <v>44076</v>
      </c>
      <c r="C994" t="s">
        <v>103</v>
      </c>
      <c r="D994" t="s">
        <v>147</v>
      </c>
      <c r="E994">
        <v>1</v>
      </c>
      <c r="F994" t="str">
        <f>VLOOKUP($C994,VLOOKUP_spp!$A$2:$D$103,4,1)</f>
        <v>Hylaeus</v>
      </c>
      <c r="G994" t="str">
        <f>VLOOKUP($F994,VLOOKUP_spp!$A$2:$E$102,5,1)</f>
        <v>Hymenoptera</v>
      </c>
      <c r="H994" t="str">
        <f t="shared" si="15"/>
        <v>Sep</v>
      </c>
      <c r="I994">
        <v>1</v>
      </c>
    </row>
    <row r="995" spans="1:9" x14ac:dyDescent="0.35">
      <c r="A995">
        <v>994</v>
      </c>
      <c r="B995" s="2">
        <v>44076</v>
      </c>
      <c r="C995" t="s">
        <v>8</v>
      </c>
      <c r="D995" t="s">
        <v>157</v>
      </c>
      <c r="E995">
        <v>1</v>
      </c>
      <c r="F995" t="str">
        <f>VLOOKUP($C995,VLOOKUP_spp!$A$2:$D$103,4,1)</f>
        <v>Lepidoptera</v>
      </c>
      <c r="G995" t="str">
        <f>VLOOKUP($F995,VLOOKUP_spp!$A$2:$E$102,5,1)</f>
        <v>Lepidoptera</v>
      </c>
      <c r="H995" t="str">
        <f t="shared" si="15"/>
        <v>Sep</v>
      </c>
      <c r="I995">
        <v>1</v>
      </c>
    </row>
    <row r="996" spans="1:9" x14ac:dyDescent="0.35">
      <c r="A996">
        <v>995</v>
      </c>
      <c r="B996" s="2">
        <v>44076</v>
      </c>
      <c r="C996" t="s">
        <v>8</v>
      </c>
      <c r="D996" t="s">
        <v>154</v>
      </c>
      <c r="E996">
        <v>1</v>
      </c>
      <c r="F996" t="str">
        <f>VLOOKUP($C996,VLOOKUP_spp!$A$2:$D$103,4,1)</f>
        <v>Lepidoptera</v>
      </c>
      <c r="G996" t="str">
        <f>VLOOKUP($F996,VLOOKUP_spp!$A$2:$E$102,5,1)</f>
        <v>Lepidoptera</v>
      </c>
      <c r="H996" t="str">
        <f t="shared" si="15"/>
        <v>Sep</v>
      </c>
      <c r="I996">
        <v>1</v>
      </c>
    </row>
    <row r="997" spans="1:9" x14ac:dyDescent="0.35">
      <c r="A997">
        <v>996</v>
      </c>
      <c r="B997" s="2">
        <v>44076</v>
      </c>
      <c r="C997" t="s">
        <v>119</v>
      </c>
      <c r="D997" t="s">
        <v>153</v>
      </c>
      <c r="E997">
        <v>1</v>
      </c>
      <c r="F997" t="str">
        <f>VLOOKUP($C997,VLOOKUP_spp!$A$2:$D$103,4,1)</f>
        <v>Perdita</v>
      </c>
      <c r="G997" t="str">
        <f>VLOOKUP($F997,VLOOKUP_spp!$A$2:$E$102,5,1)</f>
        <v>Hymenoptera</v>
      </c>
      <c r="H997" t="str">
        <f t="shared" si="15"/>
        <v>Sep</v>
      </c>
      <c r="I997">
        <v>1</v>
      </c>
    </row>
    <row r="998" spans="1:9" x14ac:dyDescent="0.35">
      <c r="A998">
        <v>997</v>
      </c>
      <c r="B998" s="2">
        <v>44076</v>
      </c>
      <c r="C998" t="s">
        <v>126</v>
      </c>
      <c r="D998" t="s">
        <v>157</v>
      </c>
      <c r="E998">
        <v>3</v>
      </c>
      <c r="F998" t="str">
        <f>VLOOKUP($C998,VLOOKUP_spp!$A$2:$D$103,4,1)</f>
        <v>Syrphidae</v>
      </c>
      <c r="G998" t="str">
        <f>VLOOKUP($F998,VLOOKUP_spp!$A$2:$E$102,5,1)</f>
        <v>Diptera</v>
      </c>
      <c r="H998" t="str">
        <f t="shared" si="15"/>
        <v>Sep</v>
      </c>
      <c r="I998">
        <v>1</v>
      </c>
    </row>
    <row r="999" spans="1:9" x14ac:dyDescent="0.35">
      <c r="A999">
        <v>998</v>
      </c>
      <c r="B999" s="2">
        <v>44076</v>
      </c>
      <c r="C999" t="s">
        <v>126</v>
      </c>
      <c r="D999" t="s">
        <v>158</v>
      </c>
      <c r="E999">
        <v>1</v>
      </c>
      <c r="F999" t="str">
        <f>VLOOKUP($C999,VLOOKUP_spp!$A$2:$D$103,4,1)</f>
        <v>Syrphidae</v>
      </c>
      <c r="G999" t="str">
        <f>VLOOKUP($F999,VLOOKUP_spp!$A$2:$E$102,5,1)</f>
        <v>Diptera</v>
      </c>
      <c r="H999" t="str">
        <f t="shared" si="15"/>
        <v>Sep</v>
      </c>
      <c r="I999">
        <v>1</v>
      </c>
    </row>
    <row r="1000" spans="1:9" x14ac:dyDescent="0.35">
      <c r="A1000">
        <v>999</v>
      </c>
      <c r="B1000" s="2">
        <v>44076</v>
      </c>
      <c r="C1000" t="s">
        <v>126</v>
      </c>
      <c r="D1000" t="s">
        <v>160</v>
      </c>
      <c r="E1000">
        <v>1</v>
      </c>
      <c r="F1000" t="str">
        <f>VLOOKUP($C1000,VLOOKUP_spp!$A$2:$D$103,4,1)</f>
        <v>Syrphidae</v>
      </c>
      <c r="G1000" t="str">
        <f>VLOOKUP($F1000,VLOOKUP_spp!$A$2:$E$102,5,1)</f>
        <v>Diptera</v>
      </c>
      <c r="H1000" t="str">
        <f t="shared" si="15"/>
        <v>Sep</v>
      </c>
      <c r="I1000">
        <v>1</v>
      </c>
    </row>
    <row r="1001" spans="1:9" x14ac:dyDescent="0.35">
      <c r="A1001">
        <v>1000</v>
      </c>
      <c r="B1001" s="2">
        <v>44076</v>
      </c>
      <c r="C1001" t="s">
        <v>126</v>
      </c>
      <c r="D1001" t="s">
        <v>161</v>
      </c>
      <c r="E1001">
        <v>1</v>
      </c>
      <c r="F1001" t="str">
        <f>VLOOKUP($C1001,VLOOKUP_spp!$A$2:$D$103,4,1)</f>
        <v>Syrphidae</v>
      </c>
      <c r="G1001" t="str">
        <f>VLOOKUP($F1001,VLOOKUP_spp!$A$2:$E$102,5,1)</f>
        <v>Diptera</v>
      </c>
      <c r="H1001" t="str">
        <f t="shared" si="15"/>
        <v>Sep</v>
      </c>
      <c r="I1001">
        <v>1</v>
      </c>
    </row>
    <row r="1002" spans="1:9" x14ac:dyDescent="0.35">
      <c r="A1002">
        <v>1001</v>
      </c>
      <c r="B1002" s="2">
        <v>44076</v>
      </c>
      <c r="C1002" t="s">
        <v>126</v>
      </c>
      <c r="D1002" t="s">
        <v>156</v>
      </c>
      <c r="E1002">
        <v>1</v>
      </c>
      <c r="F1002" t="str">
        <f>VLOOKUP($C1002,VLOOKUP_spp!$A$2:$D$103,4,1)</f>
        <v>Syrphidae</v>
      </c>
      <c r="G1002" t="str">
        <f>VLOOKUP($F1002,VLOOKUP_spp!$A$2:$E$102,5,1)</f>
        <v>Diptera</v>
      </c>
      <c r="H1002" t="str">
        <f t="shared" si="15"/>
        <v>Sep</v>
      </c>
      <c r="I1002">
        <v>1</v>
      </c>
    </row>
    <row r="1003" spans="1:9" x14ac:dyDescent="0.35">
      <c r="A1003">
        <v>1002</v>
      </c>
      <c r="B1003" s="2">
        <v>44076</v>
      </c>
      <c r="C1003" t="s">
        <v>128</v>
      </c>
      <c r="D1003" t="s">
        <v>169</v>
      </c>
      <c r="E1003">
        <v>2</v>
      </c>
      <c r="F1003" t="str">
        <f>VLOOKUP($C1003,VLOOKUP_spp!$A$2:$D$103,4,1)</f>
        <v>Wasp</v>
      </c>
      <c r="G1003" t="str">
        <f>VLOOKUP($F1003,VLOOKUP_spp!$A$2:$E$102,5,1)</f>
        <v>Hymenoptera</v>
      </c>
      <c r="H1003" t="str">
        <f t="shared" si="15"/>
        <v>Sep</v>
      </c>
      <c r="I1003">
        <v>1</v>
      </c>
    </row>
    <row r="1004" spans="1:9" x14ac:dyDescent="0.35">
      <c r="A1004">
        <v>1003</v>
      </c>
      <c r="B1004" s="2">
        <v>44076</v>
      </c>
      <c r="C1004" t="s">
        <v>128</v>
      </c>
      <c r="D1004" t="s">
        <v>157</v>
      </c>
      <c r="E1004">
        <v>5</v>
      </c>
      <c r="F1004" t="str">
        <f>VLOOKUP($C1004,VLOOKUP_spp!$A$2:$D$103,4,1)</f>
        <v>Wasp</v>
      </c>
      <c r="G1004" t="str">
        <f>VLOOKUP($F1004,VLOOKUP_spp!$A$2:$E$102,5,1)</f>
        <v>Hymenoptera</v>
      </c>
      <c r="H1004" t="str">
        <f t="shared" si="15"/>
        <v>Sep</v>
      </c>
      <c r="I1004">
        <v>1</v>
      </c>
    </row>
    <row r="1005" spans="1:9" x14ac:dyDescent="0.35">
      <c r="A1005">
        <v>1004</v>
      </c>
      <c r="B1005" s="2">
        <v>44076</v>
      </c>
      <c r="C1005" t="s">
        <v>128</v>
      </c>
      <c r="D1005" t="s">
        <v>158</v>
      </c>
      <c r="E1005">
        <v>1</v>
      </c>
      <c r="F1005" t="str">
        <f>VLOOKUP($C1005,VLOOKUP_spp!$A$2:$D$103,4,1)</f>
        <v>Wasp</v>
      </c>
      <c r="G1005" t="str">
        <f>VLOOKUP($F1005,VLOOKUP_spp!$A$2:$E$102,5,1)</f>
        <v>Hymenoptera</v>
      </c>
      <c r="H1005" t="str">
        <f t="shared" si="15"/>
        <v>Sep</v>
      </c>
      <c r="I1005">
        <v>1</v>
      </c>
    </row>
    <row r="1006" spans="1:9" x14ac:dyDescent="0.35">
      <c r="A1006">
        <v>1005</v>
      </c>
      <c r="B1006" s="2">
        <v>44076</v>
      </c>
      <c r="C1006" t="s">
        <v>128</v>
      </c>
      <c r="D1006" t="s">
        <v>166</v>
      </c>
      <c r="E1006">
        <v>3</v>
      </c>
      <c r="F1006" t="str">
        <f>VLOOKUP($C1006,VLOOKUP_spp!$A$2:$D$103,4,1)</f>
        <v>Wasp</v>
      </c>
      <c r="G1006" t="str">
        <f>VLOOKUP($F1006,VLOOKUP_spp!$A$2:$E$102,5,1)</f>
        <v>Hymenoptera</v>
      </c>
      <c r="H1006" t="str">
        <f t="shared" si="15"/>
        <v>Sep</v>
      </c>
      <c r="I1006">
        <v>1</v>
      </c>
    </row>
    <row r="1007" spans="1:9" x14ac:dyDescent="0.35">
      <c r="A1007">
        <v>1006</v>
      </c>
      <c r="B1007" s="2">
        <v>44076</v>
      </c>
      <c r="C1007" t="s">
        <v>128</v>
      </c>
      <c r="D1007" t="s">
        <v>173</v>
      </c>
      <c r="E1007">
        <v>3</v>
      </c>
      <c r="F1007" t="str">
        <f>VLOOKUP($C1007,VLOOKUP_spp!$A$2:$D$103,4,1)</f>
        <v>Wasp</v>
      </c>
      <c r="G1007" t="str">
        <f>VLOOKUP($F1007,VLOOKUP_spp!$A$2:$E$102,5,1)</f>
        <v>Hymenoptera</v>
      </c>
      <c r="H1007" t="str">
        <f t="shared" si="15"/>
        <v>Sep</v>
      </c>
      <c r="I1007">
        <v>1</v>
      </c>
    </row>
    <row r="1008" spans="1:9" x14ac:dyDescent="0.35">
      <c r="A1008">
        <v>1007</v>
      </c>
      <c r="B1008" s="2">
        <v>44076</v>
      </c>
      <c r="C1008" t="s">
        <v>128</v>
      </c>
      <c r="D1008" t="s">
        <v>154</v>
      </c>
      <c r="E1008">
        <v>2</v>
      </c>
      <c r="F1008" t="str">
        <f>VLOOKUP($C1008,VLOOKUP_spp!$A$2:$D$103,4,1)</f>
        <v>Wasp</v>
      </c>
      <c r="G1008" t="str">
        <f>VLOOKUP($F1008,VLOOKUP_spp!$A$2:$E$102,5,1)</f>
        <v>Hymenoptera</v>
      </c>
      <c r="H1008" t="str">
        <f t="shared" si="15"/>
        <v>Sep</v>
      </c>
      <c r="I1008">
        <v>1</v>
      </c>
    </row>
    <row r="1009" spans="1:9" x14ac:dyDescent="0.35">
      <c r="A1009">
        <v>1008</v>
      </c>
      <c r="B1009" s="2">
        <v>44076</v>
      </c>
      <c r="C1009" t="s">
        <v>128</v>
      </c>
      <c r="D1009" t="s">
        <v>150</v>
      </c>
      <c r="E1009">
        <v>8</v>
      </c>
      <c r="F1009" t="str">
        <f>VLOOKUP($C1009,VLOOKUP_spp!$A$2:$D$103,4,1)</f>
        <v>Wasp</v>
      </c>
      <c r="G1009" t="str">
        <f>VLOOKUP($F1009,VLOOKUP_spp!$A$2:$E$102,5,1)</f>
        <v>Hymenoptera</v>
      </c>
      <c r="H1009" t="str">
        <f t="shared" si="15"/>
        <v>Sep</v>
      </c>
      <c r="I1009">
        <v>1</v>
      </c>
    </row>
    <row r="1010" spans="1:9" x14ac:dyDescent="0.35">
      <c r="A1010">
        <v>1009</v>
      </c>
      <c r="B1010" s="2">
        <v>44076</v>
      </c>
      <c r="C1010" t="s">
        <v>128</v>
      </c>
      <c r="D1010" t="s">
        <v>159</v>
      </c>
      <c r="E1010">
        <v>3</v>
      </c>
      <c r="F1010" t="str">
        <f>VLOOKUP($C1010,VLOOKUP_spp!$A$2:$D$103,4,1)</f>
        <v>Wasp</v>
      </c>
      <c r="G1010" t="str">
        <f>VLOOKUP($F1010,VLOOKUP_spp!$A$2:$E$102,5,1)</f>
        <v>Hymenoptera</v>
      </c>
      <c r="H1010" t="str">
        <f t="shared" si="15"/>
        <v>Sep</v>
      </c>
      <c r="I1010">
        <v>1</v>
      </c>
    </row>
    <row r="1011" spans="1:9" x14ac:dyDescent="0.35">
      <c r="A1011">
        <v>1010</v>
      </c>
      <c r="B1011" s="2">
        <v>44076</v>
      </c>
      <c r="C1011" t="s">
        <v>128</v>
      </c>
      <c r="D1011" t="s">
        <v>170</v>
      </c>
      <c r="E1011">
        <v>6</v>
      </c>
      <c r="F1011" t="str">
        <f>VLOOKUP($C1011,VLOOKUP_spp!$A$2:$D$103,4,1)</f>
        <v>Wasp</v>
      </c>
      <c r="G1011" t="str">
        <f>VLOOKUP($F1011,VLOOKUP_spp!$A$2:$E$102,5,1)</f>
        <v>Hymenoptera</v>
      </c>
      <c r="H1011" t="str">
        <f t="shared" si="15"/>
        <v>Sep</v>
      </c>
      <c r="I1011">
        <v>1</v>
      </c>
    </row>
    <row r="1012" spans="1:9" x14ac:dyDescent="0.35">
      <c r="A1012">
        <v>1011</v>
      </c>
      <c r="B1012" s="2">
        <v>44076</v>
      </c>
      <c r="C1012" t="s">
        <v>128</v>
      </c>
      <c r="D1012" t="s">
        <v>161</v>
      </c>
      <c r="E1012">
        <v>8</v>
      </c>
      <c r="F1012" t="str">
        <f>VLOOKUP($C1012,VLOOKUP_spp!$A$2:$D$103,4,1)</f>
        <v>Wasp</v>
      </c>
      <c r="G1012" t="str">
        <f>VLOOKUP($F1012,VLOOKUP_spp!$A$2:$E$102,5,1)</f>
        <v>Hymenoptera</v>
      </c>
      <c r="H1012" t="str">
        <f t="shared" si="15"/>
        <v>Sep</v>
      </c>
      <c r="I1012">
        <v>1</v>
      </c>
    </row>
    <row r="1013" spans="1:9" x14ac:dyDescent="0.35">
      <c r="A1013">
        <v>1012</v>
      </c>
      <c r="B1013" s="2">
        <v>44076</v>
      </c>
      <c r="C1013" t="s">
        <v>128</v>
      </c>
      <c r="D1013" t="s">
        <v>162</v>
      </c>
      <c r="E1013">
        <v>3</v>
      </c>
      <c r="F1013" t="str">
        <f>VLOOKUP($C1013,VLOOKUP_spp!$A$2:$D$103,4,1)</f>
        <v>Wasp</v>
      </c>
      <c r="G1013" t="str">
        <f>VLOOKUP($F1013,VLOOKUP_spp!$A$2:$E$102,5,1)</f>
        <v>Hymenoptera</v>
      </c>
      <c r="H1013" t="str">
        <f t="shared" si="15"/>
        <v>Sep</v>
      </c>
      <c r="I1013">
        <v>1</v>
      </c>
    </row>
    <row r="1014" spans="1:9" x14ac:dyDescent="0.35">
      <c r="A1014">
        <v>1013</v>
      </c>
      <c r="B1014" s="2">
        <v>44076</v>
      </c>
      <c r="C1014" t="s">
        <v>128</v>
      </c>
      <c r="D1014" t="s">
        <v>175</v>
      </c>
      <c r="E1014">
        <v>3</v>
      </c>
      <c r="F1014" t="str">
        <f>VLOOKUP($C1014,VLOOKUP_spp!$A$2:$D$103,4,1)</f>
        <v>Wasp</v>
      </c>
      <c r="G1014" t="str">
        <f>VLOOKUP($F1014,VLOOKUP_spp!$A$2:$E$102,5,1)</f>
        <v>Hymenoptera</v>
      </c>
      <c r="H1014" t="str">
        <f t="shared" si="15"/>
        <v>Sep</v>
      </c>
      <c r="I1014">
        <v>1</v>
      </c>
    </row>
    <row r="1015" spans="1:9" x14ac:dyDescent="0.35">
      <c r="A1015">
        <v>1014</v>
      </c>
      <c r="B1015" s="2">
        <v>44076</v>
      </c>
      <c r="C1015" t="s">
        <v>128</v>
      </c>
      <c r="D1015" t="s">
        <v>147</v>
      </c>
      <c r="E1015">
        <v>6</v>
      </c>
      <c r="F1015" t="str">
        <f>VLOOKUP($C1015,VLOOKUP_spp!$A$2:$D$103,4,1)</f>
        <v>Wasp</v>
      </c>
      <c r="G1015" t="str">
        <f>VLOOKUP($F1015,VLOOKUP_spp!$A$2:$E$102,5,1)</f>
        <v>Hymenoptera</v>
      </c>
      <c r="H1015" t="str">
        <f t="shared" si="15"/>
        <v>Sep</v>
      </c>
      <c r="I1015">
        <v>1</v>
      </c>
    </row>
    <row r="1016" spans="1:9" x14ac:dyDescent="0.35">
      <c r="A1016">
        <v>1015</v>
      </c>
      <c r="B1016" s="2">
        <v>44076</v>
      </c>
      <c r="C1016" t="s">
        <v>128</v>
      </c>
      <c r="D1016" t="s">
        <v>156</v>
      </c>
      <c r="E1016">
        <v>4</v>
      </c>
      <c r="F1016" t="str">
        <f>VLOOKUP($C1016,VLOOKUP_spp!$A$2:$D$103,4,1)</f>
        <v>Wasp</v>
      </c>
      <c r="G1016" t="str">
        <f>VLOOKUP($F1016,VLOOKUP_spp!$A$2:$E$102,5,1)</f>
        <v>Hymenoptera</v>
      </c>
      <c r="H1016" t="str">
        <f t="shared" si="15"/>
        <v>Sep</v>
      </c>
      <c r="I1016">
        <v>1</v>
      </c>
    </row>
    <row r="1017" spans="1:9" x14ac:dyDescent="0.35">
      <c r="A1017">
        <v>1016</v>
      </c>
      <c r="B1017" s="2">
        <v>44076</v>
      </c>
      <c r="C1017" t="s">
        <v>128</v>
      </c>
      <c r="D1017" t="s">
        <v>164</v>
      </c>
      <c r="E1017">
        <v>1</v>
      </c>
      <c r="F1017" t="str">
        <f>VLOOKUP($C1017,VLOOKUP_spp!$A$2:$D$103,4,1)</f>
        <v>Wasp</v>
      </c>
      <c r="G1017" t="str">
        <f>VLOOKUP($F1017,VLOOKUP_spp!$A$2:$E$102,5,1)</f>
        <v>Hymenoptera</v>
      </c>
      <c r="H1017" t="str">
        <f t="shared" si="15"/>
        <v>Sep</v>
      </c>
      <c r="I1017">
        <v>1</v>
      </c>
    </row>
    <row r="1018" spans="1:9" x14ac:dyDescent="0.35">
      <c r="A1018">
        <v>1017</v>
      </c>
      <c r="B1018" s="2">
        <v>44076</v>
      </c>
      <c r="C1018" t="s">
        <v>128</v>
      </c>
      <c r="D1018" t="s">
        <v>155</v>
      </c>
      <c r="E1018">
        <v>4</v>
      </c>
      <c r="F1018" t="str">
        <f>VLOOKUP($C1018,VLOOKUP_spp!$A$2:$D$103,4,1)</f>
        <v>Wasp</v>
      </c>
      <c r="G1018" t="str">
        <f>VLOOKUP($F1018,VLOOKUP_spp!$A$2:$E$102,5,1)</f>
        <v>Hymenoptera</v>
      </c>
      <c r="H1018" t="str">
        <f t="shared" si="15"/>
        <v>Sep</v>
      </c>
      <c r="I1018">
        <v>1</v>
      </c>
    </row>
    <row r="1019" spans="1:9" x14ac:dyDescent="0.35">
      <c r="A1019">
        <v>1018</v>
      </c>
      <c r="B1019" s="2">
        <v>44088</v>
      </c>
      <c r="C1019" t="s">
        <v>50</v>
      </c>
      <c r="D1019" t="s">
        <v>157</v>
      </c>
      <c r="E1019">
        <v>5</v>
      </c>
      <c r="F1019" t="str">
        <f>VLOOKUP($C1019,VLOOKUP_spp!$A$2:$D$103,4,1)</f>
        <v>Apis_mellifera</v>
      </c>
      <c r="G1019" t="str">
        <f>VLOOKUP($F1019,VLOOKUP_spp!$A$2:$E$102,5,1)</f>
        <v>Hymenoptera</v>
      </c>
      <c r="H1019" t="str">
        <f t="shared" si="15"/>
        <v>Sep</v>
      </c>
      <c r="I1019">
        <v>1</v>
      </c>
    </row>
    <row r="1020" spans="1:9" x14ac:dyDescent="0.35">
      <c r="A1020">
        <v>1019</v>
      </c>
      <c r="B1020" s="2">
        <v>44088</v>
      </c>
      <c r="C1020" t="s">
        <v>50</v>
      </c>
      <c r="D1020" t="s">
        <v>173</v>
      </c>
      <c r="E1020">
        <v>4</v>
      </c>
      <c r="F1020" t="str">
        <f>VLOOKUP($C1020,VLOOKUP_spp!$A$2:$D$103,4,1)</f>
        <v>Apis_mellifera</v>
      </c>
      <c r="G1020" t="str">
        <f>VLOOKUP($F1020,VLOOKUP_spp!$A$2:$E$102,5,1)</f>
        <v>Hymenoptera</v>
      </c>
      <c r="H1020" t="str">
        <f t="shared" si="15"/>
        <v>Sep</v>
      </c>
      <c r="I1020">
        <v>1</v>
      </c>
    </row>
    <row r="1021" spans="1:9" x14ac:dyDescent="0.35">
      <c r="A1021">
        <v>1020</v>
      </c>
      <c r="B1021" s="2">
        <v>44088</v>
      </c>
      <c r="C1021" t="s">
        <v>50</v>
      </c>
      <c r="D1021" t="s">
        <v>172</v>
      </c>
      <c r="E1021">
        <v>3</v>
      </c>
      <c r="F1021" t="str">
        <f>VLOOKUP($C1021,VLOOKUP_spp!$A$2:$D$103,4,1)</f>
        <v>Apis_mellifera</v>
      </c>
      <c r="G1021" t="str">
        <f>VLOOKUP($F1021,VLOOKUP_spp!$A$2:$E$102,5,1)</f>
        <v>Hymenoptera</v>
      </c>
      <c r="H1021" t="str">
        <f t="shared" si="15"/>
        <v>Sep</v>
      </c>
      <c r="I1021">
        <v>1</v>
      </c>
    </row>
    <row r="1022" spans="1:9" x14ac:dyDescent="0.35">
      <c r="A1022">
        <v>1021</v>
      </c>
      <c r="B1022" s="2">
        <v>44088</v>
      </c>
      <c r="C1022" t="s">
        <v>50</v>
      </c>
      <c r="D1022" t="s">
        <v>161</v>
      </c>
      <c r="E1022">
        <v>2</v>
      </c>
      <c r="F1022" t="str">
        <f>VLOOKUP($C1022,VLOOKUP_spp!$A$2:$D$103,4,1)</f>
        <v>Apis_mellifera</v>
      </c>
      <c r="G1022" t="str">
        <f>VLOOKUP($F1022,VLOOKUP_spp!$A$2:$E$102,5,1)</f>
        <v>Hymenoptera</v>
      </c>
      <c r="H1022" t="str">
        <f t="shared" si="15"/>
        <v>Sep</v>
      </c>
      <c r="I1022">
        <v>1</v>
      </c>
    </row>
    <row r="1023" spans="1:9" x14ac:dyDescent="0.35">
      <c r="A1023">
        <v>1022</v>
      </c>
      <c r="B1023" s="2">
        <v>44088</v>
      </c>
      <c r="C1023" t="s">
        <v>67</v>
      </c>
      <c r="D1023" t="s">
        <v>166</v>
      </c>
      <c r="E1023">
        <v>5</v>
      </c>
      <c r="F1023" t="str">
        <f>VLOOKUP($C1023,VLOOKUP_spp!$A$2:$D$103,4,1)</f>
        <v>Bombus_impatiens</v>
      </c>
      <c r="G1023" t="str">
        <f>VLOOKUP($F1023,VLOOKUP_spp!$A$2:$E$102,5,1)</f>
        <v>Hymenoptera</v>
      </c>
      <c r="H1023" t="str">
        <f t="shared" si="15"/>
        <v>Sep</v>
      </c>
      <c r="I1023">
        <v>1</v>
      </c>
    </row>
    <row r="1024" spans="1:9" x14ac:dyDescent="0.35">
      <c r="A1024">
        <v>1023</v>
      </c>
      <c r="B1024" s="2">
        <v>44088</v>
      </c>
      <c r="C1024" t="s">
        <v>67</v>
      </c>
      <c r="D1024" t="s">
        <v>173</v>
      </c>
      <c r="E1024">
        <v>3</v>
      </c>
      <c r="F1024" t="str">
        <f>VLOOKUP($C1024,VLOOKUP_spp!$A$2:$D$103,4,1)</f>
        <v>Bombus_impatiens</v>
      </c>
      <c r="G1024" t="str">
        <f>VLOOKUP($F1024,VLOOKUP_spp!$A$2:$E$102,5,1)</f>
        <v>Hymenoptera</v>
      </c>
      <c r="H1024" t="str">
        <f t="shared" si="15"/>
        <v>Sep</v>
      </c>
      <c r="I1024">
        <v>1</v>
      </c>
    </row>
    <row r="1025" spans="1:9" x14ac:dyDescent="0.35">
      <c r="A1025">
        <v>1024</v>
      </c>
      <c r="B1025" s="2">
        <v>44088</v>
      </c>
      <c r="C1025" t="s">
        <v>7</v>
      </c>
      <c r="D1025" t="s">
        <v>157</v>
      </c>
      <c r="E1025">
        <v>1</v>
      </c>
      <c r="F1025" t="str">
        <f>VLOOKUP($C1025,VLOOKUP_spp!$A$2:$D$103,4,1)</f>
        <v>Coleoptera</v>
      </c>
      <c r="G1025" t="str">
        <f>VLOOKUP($F1025,VLOOKUP_spp!$A$2:$E$102,5,1)</f>
        <v>Coleoptera</v>
      </c>
      <c r="H1025" t="str">
        <f t="shared" si="15"/>
        <v>Sep</v>
      </c>
      <c r="I1025">
        <v>1</v>
      </c>
    </row>
    <row r="1026" spans="1:9" x14ac:dyDescent="0.35">
      <c r="A1026">
        <v>1025</v>
      </c>
      <c r="B1026" s="2">
        <v>44088</v>
      </c>
      <c r="C1026" t="s">
        <v>6</v>
      </c>
      <c r="D1026" t="s">
        <v>157</v>
      </c>
      <c r="E1026">
        <v>3</v>
      </c>
      <c r="F1026" t="str">
        <f>VLOOKUP($C1026,VLOOKUP_spp!$A$2:$D$103,4,1)</f>
        <v>Diptera</v>
      </c>
      <c r="G1026" t="str">
        <f>VLOOKUP($F1026,VLOOKUP_spp!$A$2:$E$102,5,1)</f>
        <v>Diptera</v>
      </c>
      <c r="H1026" t="str">
        <f t="shared" si="15"/>
        <v>Sep</v>
      </c>
      <c r="I1026">
        <v>1</v>
      </c>
    </row>
    <row r="1027" spans="1:9" x14ac:dyDescent="0.35">
      <c r="A1027">
        <v>1026</v>
      </c>
      <c r="B1027" s="2">
        <v>44088</v>
      </c>
      <c r="C1027" t="s">
        <v>6</v>
      </c>
      <c r="D1027" t="s">
        <v>173</v>
      </c>
      <c r="E1027">
        <v>1</v>
      </c>
      <c r="F1027" t="str">
        <f>VLOOKUP($C1027,VLOOKUP_spp!$A$2:$D$103,4,1)</f>
        <v>Diptera</v>
      </c>
      <c r="G1027" t="str">
        <f>VLOOKUP($F1027,VLOOKUP_spp!$A$2:$E$102,5,1)</f>
        <v>Diptera</v>
      </c>
      <c r="H1027" t="str">
        <f t="shared" ref="H1027:H1090" si="16">TEXT(B1027, "mmm")</f>
        <v>Sep</v>
      </c>
      <c r="I1027">
        <v>1</v>
      </c>
    </row>
    <row r="1028" spans="1:9" x14ac:dyDescent="0.35">
      <c r="A1028">
        <v>1027</v>
      </c>
      <c r="B1028" s="2">
        <v>44088</v>
      </c>
      <c r="C1028" t="s">
        <v>6</v>
      </c>
      <c r="D1028" t="s">
        <v>172</v>
      </c>
      <c r="E1028">
        <v>1</v>
      </c>
      <c r="F1028" t="str">
        <f>VLOOKUP($C1028,VLOOKUP_spp!$A$2:$D$103,4,1)</f>
        <v>Diptera</v>
      </c>
      <c r="G1028" t="str">
        <f>VLOOKUP($F1028,VLOOKUP_spp!$A$2:$E$102,5,1)</f>
        <v>Diptera</v>
      </c>
      <c r="H1028" t="str">
        <f t="shared" si="16"/>
        <v>Sep</v>
      </c>
      <c r="I1028">
        <v>1</v>
      </c>
    </row>
    <row r="1029" spans="1:9" x14ac:dyDescent="0.35">
      <c r="A1029">
        <v>1028</v>
      </c>
      <c r="B1029" s="2">
        <v>44088</v>
      </c>
      <c r="C1029" t="s">
        <v>101</v>
      </c>
      <c r="D1029" t="s">
        <v>161</v>
      </c>
      <c r="E1029">
        <v>1</v>
      </c>
      <c r="F1029" t="str">
        <f>VLOOKUP($C1029,VLOOKUP_spp!$A$2:$D$103,4,1)</f>
        <v>Halictus_tripartitus</v>
      </c>
      <c r="G1029" t="str">
        <f>VLOOKUP($F1029,VLOOKUP_spp!$A$2:$E$102,5,1)</f>
        <v>Hymenoptera</v>
      </c>
      <c r="H1029" t="str">
        <f t="shared" si="16"/>
        <v>Sep</v>
      </c>
      <c r="I1029">
        <v>1</v>
      </c>
    </row>
    <row r="1030" spans="1:9" x14ac:dyDescent="0.35">
      <c r="A1030">
        <v>1029</v>
      </c>
      <c r="B1030" s="2">
        <v>44088</v>
      </c>
      <c r="C1030" t="s">
        <v>106</v>
      </c>
      <c r="D1030" t="s">
        <v>161</v>
      </c>
      <c r="E1030">
        <v>1</v>
      </c>
      <c r="F1030" t="str">
        <f>VLOOKUP($C1030,VLOOKUP_spp!$A$2:$D$103,4,1)</f>
        <v>Lasioglossum</v>
      </c>
      <c r="G1030" t="str">
        <f>VLOOKUP($F1030,VLOOKUP_spp!$A$2:$E$102,5,1)</f>
        <v>Hymenoptera</v>
      </c>
      <c r="H1030" t="str">
        <f t="shared" si="16"/>
        <v>Sep</v>
      </c>
      <c r="I1030">
        <v>1</v>
      </c>
    </row>
    <row r="1031" spans="1:9" x14ac:dyDescent="0.35">
      <c r="A1031">
        <v>1030</v>
      </c>
      <c r="B1031" s="2">
        <v>44088</v>
      </c>
      <c r="C1031" t="s">
        <v>8</v>
      </c>
      <c r="D1031" t="s">
        <v>173</v>
      </c>
      <c r="E1031">
        <v>1</v>
      </c>
      <c r="F1031" t="str">
        <f>VLOOKUP($C1031,VLOOKUP_spp!$A$2:$D$103,4,1)</f>
        <v>Lepidoptera</v>
      </c>
      <c r="G1031" t="str">
        <f>VLOOKUP($F1031,VLOOKUP_spp!$A$2:$E$102,5,1)</f>
        <v>Lepidoptera</v>
      </c>
      <c r="H1031" t="str">
        <f t="shared" si="16"/>
        <v>Sep</v>
      </c>
      <c r="I1031">
        <v>1</v>
      </c>
    </row>
    <row r="1032" spans="1:9" x14ac:dyDescent="0.35">
      <c r="A1032">
        <v>1031</v>
      </c>
      <c r="B1032" s="2">
        <v>44088</v>
      </c>
      <c r="C1032" t="s">
        <v>126</v>
      </c>
      <c r="D1032" t="s">
        <v>158</v>
      </c>
      <c r="E1032">
        <v>2</v>
      </c>
      <c r="F1032" t="str">
        <f>VLOOKUP($C1032,VLOOKUP_spp!$A$2:$D$103,4,1)</f>
        <v>Syrphidae</v>
      </c>
      <c r="G1032" t="str">
        <f>VLOOKUP($F1032,VLOOKUP_spp!$A$2:$E$102,5,1)</f>
        <v>Diptera</v>
      </c>
      <c r="H1032" t="str">
        <f t="shared" si="16"/>
        <v>Sep</v>
      </c>
      <c r="I1032">
        <v>1</v>
      </c>
    </row>
    <row r="1033" spans="1:9" x14ac:dyDescent="0.35">
      <c r="A1033">
        <v>1032</v>
      </c>
      <c r="B1033" s="2">
        <v>44088</v>
      </c>
      <c r="C1033" t="s">
        <v>126</v>
      </c>
      <c r="D1033" t="s">
        <v>173</v>
      </c>
      <c r="E1033">
        <v>2</v>
      </c>
      <c r="F1033" t="str">
        <f>VLOOKUP($C1033,VLOOKUP_spp!$A$2:$D$103,4,1)</f>
        <v>Syrphidae</v>
      </c>
      <c r="G1033" t="str">
        <f>VLOOKUP($F1033,VLOOKUP_spp!$A$2:$E$102,5,1)</f>
        <v>Diptera</v>
      </c>
      <c r="H1033" t="str">
        <f t="shared" si="16"/>
        <v>Sep</v>
      </c>
      <c r="I1033">
        <v>1</v>
      </c>
    </row>
    <row r="1034" spans="1:9" x14ac:dyDescent="0.35">
      <c r="A1034">
        <v>1033</v>
      </c>
      <c r="B1034" s="2">
        <v>44088</v>
      </c>
      <c r="C1034" t="s">
        <v>128</v>
      </c>
      <c r="D1034" t="s">
        <v>157</v>
      </c>
      <c r="E1034">
        <v>4</v>
      </c>
      <c r="F1034" t="str">
        <f>VLOOKUP($C1034,VLOOKUP_spp!$A$2:$D$103,4,1)</f>
        <v>Wasp</v>
      </c>
      <c r="G1034" t="str">
        <f>VLOOKUP($F1034,VLOOKUP_spp!$A$2:$E$102,5,1)</f>
        <v>Hymenoptera</v>
      </c>
      <c r="H1034" t="str">
        <f t="shared" si="16"/>
        <v>Sep</v>
      </c>
      <c r="I1034">
        <v>1</v>
      </c>
    </row>
    <row r="1035" spans="1:9" x14ac:dyDescent="0.35">
      <c r="A1035">
        <v>1034</v>
      </c>
      <c r="B1035" s="2">
        <v>44088</v>
      </c>
      <c r="C1035" t="s">
        <v>128</v>
      </c>
      <c r="D1035" t="s">
        <v>158</v>
      </c>
      <c r="E1035">
        <v>2</v>
      </c>
      <c r="F1035" t="str">
        <f>VLOOKUP($C1035,VLOOKUP_spp!$A$2:$D$103,4,1)</f>
        <v>Wasp</v>
      </c>
      <c r="G1035" t="str">
        <f>VLOOKUP($F1035,VLOOKUP_spp!$A$2:$E$102,5,1)</f>
        <v>Hymenoptera</v>
      </c>
      <c r="H1035" t="str">
        <f t="shared" si="16"/>
        <v>Sep</v>
      </c>
      <c r="I1035">
        <v>1</v>
      </c>
    </row>
    <row r="1036" spans="1:9" x14ac:dyDescent="0.35">
      <c r="A1036">
        <v>1035</v>
      </c>
      <c r="B1036" s="2">
        <v>44088</v>
      </c>
      <c r="C1036" t="s">
        <v>128</v>
      </c>
      <c r="D1036" t="s">
        <v>166</v>
      </c>
      <c r="E1036">
        <v>5</v>
      </c>
      <c r="F1036" t="str">
        <f>VLOOKUP($C1036,VLOOKUP_spp!$A$2:$D$103,4,1)</f>
        <v>Wasp</v>
      </c>
      <c r="G1036" t="str">
        <f>VLOOKUP($F1036,VLOOKUP_spp!$A$2:$E$102,5,1)</f>
        <v>Hymenoptera</v>
      </c>
      <c r="H1036" t="str">
        <f t="shared" si="16"/>
        <v>Sep</v>
      </c>
      <c r="I1036">
        <v>1</v>
      </c>
    </row>
    <row r="1037" spans="1:9" x14ac:dyDescent="0.35">
      <c r="A1037">
        <v>1036</v>
      </c>
      <c r="B1037" s="2">
        <v>44088</v>
      </c>
      <c r="C1037" t="s">
        <v>128</v>
      </c>
      <c r="D1037" t="s">
        <v>173</v>
      </c>
      <c r="E1037">
        <v>10</v>
      </c>
      <c r="F1037" t="str">
        <f>VLOOKUP($C1037,VLOOKUP_spp!$A$2:$D$103,4,1)</f>
        <v>Wasp</v>
      </c>
      <c r="G1037" t="str">
        <f>VLOOKUP($F1037,VLOOKUP_spp!$A$2:$E$102,5,1)</f>
        <v>Hymenoptera</v>
      </c>
      <c r="H1037" t="str">
        <f t="shared" si="16"/>
        <v>Sep</v>
      </c>
      <c r="I1037">
        <v>1</v>
      </c>
    </row>
    <row r="1038" spans="1:9" x14ac:dyDescent="0.35">
      <c r="A1038">
        <v>1037</v>
      </c>
      <c r="B1038" s="2">
        <v>44088</v>
      </c>
      <c r="C1038" t="s">
        <v>128</v>
      </c>
      <c r="D1038" t="s">
        <v>172</v>
      </c>
      <c r="E1038">
        <v>7</v>
      </c>
      <c r="F1038" t="str">
        <f>VLOOKUP($C1038,VLOOKUP_spp!$A$2:$D$103,4,1)</f>
        <v>Wasp</v>
      </c>
      <c r="G1038" t="str">
        <f>VLOOKUP($F1038,VLOOKUP_spp!$A$2:$E$102,5,1)</f>
        <v>Hymenoptera</v>
      </c>
      <c r="H1038" t="str">
        <f t="shared" si="16"/>
        <v>Sep</v>
      </c>
      <c r="I1038">
        <v>1</v>
      </c>
    </row>
    <row r="1039" spans="1:9" x14ac:dyDescent="0.35">
      <c r="A1039">
        <v>1038</v>
      </c>
      <c r="B1039" s="2">
        <v>44088</v>
      </c>
      <c r="C1039" t="s">
        <v>128</v>
      </c>
      <c r="D1039" t="s">
        <v>161</v>
      </c>
      <c r="E1039">
        <v>2</v>
      </c>
      <c r="F1039" t="str">
        <f>VLOOKUP($C1039,VLOOKUP_spp!$A$2:$D$103,4,1)</f>
        <v>Wasp</v>
      </c>
      <c r="G1039" t="str">
        <f>VLOOKUP($F1039,VLOOKUP_spp!$A$2:$E$102,5,1)</f>
        <v>Hymenoptera</v>
      </c>
      <c r="H1039" t="str">
        <f t="shared" si="16"/>
        <v>Sep</v>
      </c>
      <c r="I1039">
        <v>1</v>
      </c>
    </row>
    <row r="1040" spans="1:9" x14ac:dyDescent="0.35">
      <c r="A1040">
        <v>1039</v>
      </c>
      <c r="B1040" s="2">
        <v>44090</v>
      </c>
      <c r="C1040" t="s">
        <v>50</v>
      </c>
      <c r="D1040" t="s">
        <v>171</v>
      </c>
      <c r="E1040">
        <v>2</v>
      </c>
      <c r="F1040" t="str">
        <f>VLOOKUP($C1040,VLOOKUP_spp!$A$2:$D$103,4,1)</f>
        <v>Apis_mellifera</v>
      </c>
      <c r="G1040" t="str">
        <f>VLOOKUP($F1040,VLOOKUP_spp!$A$2:$E$102,5,1)</f>
        <v>Hymenoptera</v>
      </c>
      <c r="H1040" t="str">
        <f t="shared" si="16"/>
        <v>Sep</v>
      </c>
      <c r="I1040">
        <v>1</v>
      </c>
    </row>
    <row r="1041" spans="1:9" x14ac:dyDescent="0.35">
      <c r="A1041">
        <v>1040</v>
      </c>
      <c r="B1041" s="2">
        <v>44090</v>
      </c>
      <c r="C1041" t="s">
        <v>50</v>
      </c>
      <c r="D1041" t="s">
        <v>164</v>
      </c>
      <c r="E1041">
        <v>1</v>
      </c>
      <c r="F1041" t="str">
        <f>VLOOKUP($C1041,VLOOKUP_spp!$A$2:$D$103,4,1)</f>
        <v>Apis_mellifera</v>
      </c>
      <c r="G1041" t="str">
        <f>VLOOKUP($F1041,VLOOKUP_spp!$A$2:$E$102,5,1)</f>
        <v>Hymenoptera</v>
      </c>
      <c r="H1041" t="str">
        <f t="shared" si="16"/>
        <v>Sep</v>
      </c>
      <c r="I1041">
        <v>1</v>
      </c>
    </row>
    <row r="1042" spans="1:9" x14ac:dyDescent="0.35">
      <c r="A1042">
        <v>1041</v>
      </c>
      <c r="B1042" s="2">
        <v>44090</v>
      </c>
      <c r="C1042" t="s">
        <v>67</v>
      </c>
      <c r="D1042" t="s">
        <v>171</v>
      </c>
      <c r="E1042">
        <v>2</v>
      </c>
      <c r="F1042" t="str">
        <f>VLOOKUP($C1042,VLOOKUP_spp!$A$2:$D$103,4,1)</f>
        <v>Bombus_impatiens</v>
      </c>
      <c r="G1042" t="str">
        <f>VLOOKUP($F1042,VLOOKUP_spp!$A$2:$E$102,5,1)</f>
        <v>Hymenoptera</v>
      </c>
      <c r="H1042" t="str">
        <f t="shared" si="16"/>
        <v>Sep</v>
      </c>
      <c r="I1042">
        <v>1</v>
      </c>
    </row>
    <row r="1043" spans="1:9" x14ac:dyDescent="0.35">
      <c r="A1043">
        <v>1042</v>
      </c>
      <c r="B1043" s="2">
        <v>44090</v>
      </c>
      <c r="C1043" t="s">
        <v>6</v>
      </c>
      <c r="D1043" t="s">
        <v>171</v>
      </c>
      <c r="E1043">
        <v>3</v>
      </c>
      <c r="F1043" t="str">
        <f>VLOOKUP($C1043,VLOOKUP_spp!$A$2:$D$103,4,1)</f>
        <v>Diptera</v>
      </c>
      <c r="G1043" t="str">
        <f>VLOOKUP($F1043,VLOOKUP_spp!$A$2:$E$102,5,1)</f>
        <v>Diptera</v>
      </c>
      <c r="H1043" t="str">
        <f t="shared" si="16"/>
        <v>Sep</v>
      </c>
      <c r="I1043">
        <v>1</v>
      </c>
    </row>
    <row r="1044" spans="1:9" x14ac:dyDescent="0.35">
      <c r="A1044">
        <v>1043</v>
      </c>
      <c r="B1044" s="2">
        <v>44090</v>
      </c>
      <c r="C1044" t="s">
        <v>6</v>
      </c>
      <c r="D1044" t="s">
        <v>162</v>
      </c>
      <c r="E1044">
        <v>1</v>
      </c>
      <c r="F1044" t="str">
        <f>VLOOKUP($C1044,VLOOKUP_spp!$A$2:$D$103,4,1)</f>
        <v>Diptera</v>
      </c>
      <c r="G1044" t="str">
        <f>VLOOKUP($F1044,VLOOKUP_spp!$A$2:$E$102,5,1)</f>
        <v>Diptera</v>
      </c>
      <c r="H1044" t="str">
        <f t="shared" si="16"/>
        <v>Sep</v>
      </c>
      <c r="I1044">
        <v>1</v>
      </c>
    </row>
    <row r="1045" spans="1:9" x14ac:dyDescent="0.35">
      <c r="A1045">
        <v>1044</v>
      </c>
      <c r="B1045" s="2">
        <v>44090</v>
      </c>
      <c r="C1045" t="s">
        <v>126</v>
      </c>
      <c r="D1045" t="s">
        <v>162</v>
      </c>
      <c r="E1045">
        <v>2</v>
      </c>
      <c r="F1045" t="str">
        <f>VLOOKUP($C1045,VLOOKUP_spp!$A$2:$D$103,4,1)</f>
        <v>Syrphidae</v>
      </c>
      <c r="G1045" t="str">
        <f>VLOOKUP($F1045,VLOOKUP_spp!$A$2:$E$102,5,1)</f>
        <v>Diptera</v>
      </c>
      <c r="H1045" t="str">
        <f t="shared" si="16"/>
        <v>Sep</v>
      </c>
      <c r="I1045">
        <v>1</v>
      </c>
    </row>
    <row r="1046" spans="1:9" x14ac:dyDescent="0.35">
      <c r="A1046">
        <v>1045</v>
      </c>
      <c r="B1046" s="2">
        <v>44090</v>
      </c>
      <c r="C1046" t="s">
        <v>128</v>
      </c>
      <c r="D1046" t="s">
        <v>162</v>
      </c>
      <c r="E1046">
        <v>4</v>
      </c>
      <c r="F1046" t="str">
        <f>VLOOKUP($C1046,VLOOKUP_spp!$A$2:$D$103,4,1)</f>
        <v>Wasp</v>
      </c>
      <c r="G1046" t="str">
        <f>VLOOKUP($F1046,VLOOKUP_spp!$A$2:$E$102,5,1)</f>
        <v>Hymenoptera</v>
      </c>
      <c r="H1046" t="str">
        <f t="shared" si="16"/>
        <v>Sep</v>
      </c>
      <c r="I1046">
        <v>1</v>
      </c>
    </row>
    <row r="1047" spans="1:9" x14ac:dyDescent="0.35">
      <c r="A1047">
        <v>1046</v>
      </c>
      <c r="B1047" s="2">
        <v>44092</v>
      </c>
      <c r="C1047" t="s">
        <v>50</v>
      </c>
      <c r="D1047" t="s">
        <v>171</v>
      </c>
      <c r="E1047">
        <v>2</v>
      </c>
      <c r="F1047" t="str">
        <f>VLOOKUP($C1047,VLOOKUP_spp!$A$2:$D$103,4,1)</f>
        <v>Apis_mellifera</v>
      </c>
      <c r="G1047" t="str">
        <f>VLOOKUP($F1047,VLOOKUP_spp!$A$2:$E$102,5,1)</f>
        <v>Hymenoptera</v>
      </c>
      <c r="H1047" t="str">
        <f t="shared" si="16"/>
        <v>Sep</v>
      </c>
      <c r="I1047">
        <v>1</v>
      </c>
    </row>
    <row r="1048" spans="1:9" x14ac:dyDescent="0.35">
      <c r="A1048">
        <v>1047</v>
      </c>
      <c r="B1048" s="2">
        <v>44092</v>
      </c>
      <c r="C1048" t="s">
        <v>50</v>
      </c>
      <c r="D1048" t="s">
        <v>169</v>
      </c>
      <c r="E1048">
        <v>2</v>
      </c>
      <c r="F1048" t="str">
        <f>VLOOKUP($C1048,VLOOKUP_spp!$A$2:$D$103,4,1)</f>
        <v>Apis_mellifera</v>
      </c>
      <c r="G1048" t="str">
        <f>VLOOKUP($F1048,VLOOKUP_spp!$A$2:$E$102,5,1)</f>
        <v>Hymenoptera</v>
      </c>
      <c r="H1048" t="str">
        <f t="shared" si="16"/>
        <v>Sep</v>
      </c>
      <c r="I1048">
        <v>1</v>
      </c>
    </row>
    <row r="1049" spans="1:9" x14ac:dyDescent="0.35">
      <c r="A1049">
        <v>1048</v>
      </c>
      <c r="B1049" s="2">
        <v>44092</v>
      </c>
      <c r="C1049" t="s">
        <v>50</v>
      </c>
      <c r="D1049" t="s">
        <v>157</v>
      </c>
      <c r="E1049">
        <v>3</v>
      </c>
      <c r="F1049" t="str">
        <f>VLOOKUP($C1049,VLOOKUP_spp!$A$2:$D$103,4,1)</f>
        <v>Apis_mellifera</v>
      </c>
      <c r="G1049" t="str">
        <f>VLOOKUP($F1049,VLOOKUP_spp!$A$2:$E$102,5,1)</f>
        <v>Hymenoptera</v>
      </c>
      <c r="H1049" t="str">
        <f t="shared" si="16"/>
        <v>Sep</v>
      </c>
      <c r="I1049">
        <v>1</v>
      </c>
    </row>
    <row r="1050" spans="1:9" x14ac:dyDescent="0.35">
      <c r="A1050">
        <v>1049</v>
      </c>
      <c r="B1050" s="2">
        <v>44092</v>
      </c>
      <c r="C1050" t="s">
        <v>50</v>
      </c>
      <c r="D1050" t="s">
        <v>158</v>
      </c>
      <c r="E1050">
        <v>3</v>
      </c>
      <c r="F1050" t="str">
        <f>VLOOKUP($C1050,VLOOKUP_spp!$A$2:$D$103,4,1)</f>
        <v>Apis_mellifera</v>
      </c>
      <c r="G1050" t="str">
        <f>VLOOKUP($F1050,VLOOKUP_spp!$A$2:$E$102,5,1)</f>
        <v>Hymenoptera</v>
      </c>
      <c r="H1050" t="str">
        <f t="shared" si="16"/>
        <v>Sep</v>
      </c>
      <c r="I1050">
        <v>1</v>
      </c>
    </row>
    <row r="1051" spans="1:9" x14ac:dyDescent="0.35">
      <c r="A1051">
        <v>1050</v>
      </c>
      <c r="B1051" s="2">
        <v>44092</v>
      </c>
      <c r="C1051" t="s">
        <v>50</v>
      </c>
      <c r="D1051" t="s">
        <v>166</v>
      </c>
      <c r="E1051">
        <v>2</v>
      </c>
      <c r="F1051" t="str">
        <f>VLOOKUP($C1051,VLOOKUP_spp!$A$2:$D$103,4,1)</f>
        <v>Apis_mellifera</v>
      </c>
      <c r="G1051" t="str">
        <f>VLOOKUP($F1051,VLOOKUP_spp!$A$2:$E$102,5,1)</f>
        <v>Hymenoptera</v>
      </c>
      <c r="H1051" t="str">
        <f t="shared" si="16"/>
        <v>Sep</v>
      </c>
      <c r="I1051">
        <v>1</v>
      </c>
    </row>
    <row r="1052" spans="1:9" x14ac:dyDescent="0.35">
      <c r="A1052">
        <v>1051</v>
      </c>
      <c r="B1052" s="2">
        <v>44092</v>
      </c>
      <c r="C1052" t="s">
        <v>50</v>
      </c>
      <c r="D1052" t="s">
        <v>173</v>
      </c>
      <c r="E1052">
        <v>3</v>
      </c>
      <c r="F1052" t="str">
        <f>VLOOKUP($C1052,VLOOKUP_spp!$A$2:$D$103,4,1)</f>
        <v>Apis_mellifera</v>
      </c>
      <c r="G1052" t="str">
        <f>VLOOKUP($F1052,VLOOKUP_spp!$A$2:$E$102,5,1)</f>
        <v>Hymenoptera</v>
      </c>
      <c r="H1052" t="str">
        <f t="shared" si="16"/>
        <v>Sep</v>
      </c>
      <c r="I1052">
        <v>1</v>
      </c>
    </row>
    <row r="1053" spans="1:9" x14ac:dyDescent="0.35">
      <c r="A1053">
        <v>1052</v>
      </c>
      <c r="B1053" s="2">
        <v>44092</v>
      </c>
      <c r="C1053" t="s">
        <v>50</v>
      </c>
      <c r="D1053" t="s">
        <v>172</v>
      </c>
      <c r="E1053">
        <v>3</v>
      </c>
      <c r="F1053" t="str">
        <f>VLOOKUP($C1053,VLOOKUP_spp!$A$2:$D$103,4,1)</f>
        <v>Apis_mellifera</v>
      </c>
      <c r="G1053" t="str">
        <f>VLOOKUP($F1053,VLOOKUP_spp!$A$2:$E$102,5,1)</f>
        <v>Hymenoptera</v>
      </c>
      <c r="H1053" t="str">
        <f t="shared" si="16"/>
        <v>Sep</v>
      </c>
      <c r="I1053">
        <v>1</v>
      </c>
    </row>
    <row r="1054" spans="1:9" x14ac:dyDescent="0.35">
      <c r="A1054">
        <v>1053</v>
      </c>
      <c r="B1054" s="2">
        <v>44092</v>
      </c>
      <c r="C1054" t="s">
        <v>50</v>
      </c>
      <c r="D1054" t="s">
        <v>162</v>
      </c>
      <c r="E1054">
        <v>9</v>
      </c>
      <c r="F1054" t="str">
        <f>VLOOKUP($C1054,VLOOKUP_spp!$A$2:$D$103,4,1)</f>
        <v>Apis_mellifera</v>
      </c>
      <c r="G1054" t="str">
        <f>VLOOKUP($F1054,VLOOKUP_spp!$A$2:$E$102,5,1)</f>
        <v>Hymenoptera</v>
      </c>
      <c r="H1054" t="str">
        <f t="shared" si="16"/>
        <v>Sep</v>
      </c>
      <c r="I1054">
        <v>1</v>
      </c>
    </row>
    <row r="1055" spans="1:9" x14ac:dyDescent="0.35">
      <c r="A1055">
        <v>1054</v>
      </c>
      <c r="B1055" s="2">
        <v>44092</v>
      </c>
      <c r="C1055" t="s">
        <v>50</v>
      </c>
      <c r="D1055" t="s">
        <v>175</v>
      </c>
      <c r="E1055">
        <v>3</v>
      </c>
      <c r="F1055" t="str">
        <f>VLOOKUP($C1055,VLOOKUP_spp!$A$2:$D$103,4,1)</f>
        <v>Apis_mellifera</v>
      </c>
      <c r="G1055" t="str">
        <f>VLOOKUP($F1055,VLOOKUP_spp!$A$2:$E$102,5,1)</f>
        <v>Hymenoptera</v>
      </c>
      <c r="H1055" t="str">
        <f t="shared" si="16"/>
        <v>Sep</v>
      </c>
      <c r="I1055">
        <v>1</v>
      </c>
    </row>
    <row r="1056" spans="1:9" x14ac:dyDescent="0.35">
      <c r="A1056">
        <v>1055</v>
      </c>
      <c r="B1056" s="2">
        <v>44092</v>
      </c>
      <c r="C1056" t="s">
        <v>50</v>
      </c>
      <c r="D1056" t="s">
        <v>147</v>
      </c>
      <c r="E1056">
        <v>3</v>
      </c>
      <c r="F1056" t="str">
        <f>VLOOKUP($C1056,VLOOKUP_spp!$A$2:$D$103,4,1)</f>
        <v>Apis_mellifera</v>
      </c>
      <c r="G1056" t="str">
        <f>VLOOKUP($F1056,VLOOKUP_spp!$A$2:$E$102,5,1)</f>
        <v>Hymenoptera</v>
      </c>
      <c r="H1056" t="str">
        <f t="shared" si="16"/>
        <v>Sep</v>
      </c>
      <c r="I1056">
        <v>1</v>
      </c>
    </row>
    <row r="1057" spans="1:9" x14ac:dyDescent="0.35">
      <c r="A1057">
        <v>1056</v>
      </c>
      <c r="B1057" s="2">
        <v>44092</v>
      </c>
      <c r="C1057" t="s">
        <v>67</v>
      </c>
      <c r="D1057" t="s">
        <v>169</v>
      </c>
      <c r="E1057">
        <v>3</v>
      </c>
      <c r="F1057" t="str">
        <f>VLOOKUP($C1057,VLOOKUP_spp!$A$2:$D$103,4,1)</f>
        <v>Bombus_impatiens</v>
      </c>
      <c r="G1057" t="str">
        <f>VLOOKUP($F1057,VLOOKUP_spp!$A$2:$E$102,5,1)</f>
        <v>Hymenoptera</v>
      </c>
      <c r="H1057" t="str">
        <f t="shared" si="16"/>
        <v>Sep</v>
      </c>
      <c r="I1057">
        <v>1</v>
      </c>
    </row>
    <row r="1058" spans="1:9" x14ac:dyDescent="0.35">
      <c r="A1058">
        <v>1057</v>
      </c>
      <c r="B1058" s="2">
        <v>44092</v>
      </c>
      <c r="C1058" t="s">
        <v>67</v>
      </c>
      <c r="D1058" t="s">
        <v>157</v>
      </c>
      <c r="E1058">
        <v>1</v>
      </c>
      <c r="F1058" t="str">
        <f>VLOOKUP($C1058,VLOOKUP_spp!$A$2:$D$103,4,1)</f>
        <v>Bombus_impatiens</v>
      </c>
      <c r="G1058" t="str">
        <f>VLOOKUP($F1058,VLOOKUP_spp!$A$2:$E$102,5,1)</f>
        <v>Hymenoptera</v>
      </c>
      <c r="H1058" t="str">
        <f t="shared" si="16"/>
        <v>Sep</v>
      </c>
      <c r="I1058">
        <v>1</v>
      </c>
    </row>
    <row r="1059" spans="1:9" x14ac:dyDescent="0.35">
      <c r="A1059">
        <v>1058</v>
      </c>
      <c r="B1059" s="2">
        <v>44092</v>
      </c>
      <c r="C1059" t="s">
        <v>67</v>
      </c>
      <c r="D1059" t="s">
        <v>176</v>
      </c>
      <c r="E1059">
        <v>2</v>
      </c>
      <c r="F1059" t="str">
        <f>VLOOKUP($C1059,VLOOKUP_spp!$A$2:$D$103,4,1)</f>
        <v>Bombus_impatiens</v>
      </c>
      <c r="G1059" t="str">
        <f>VLOOKUP($F1059,VLOOKUP_spp!$A$2:$E$102,5,1)</f>
        <v>Hymenoptera</v>
      </c>
      <c r="H1059" t="str">
        <f t="shared" si="16"/>
        <v>Sep</v>
      </c>
      <c r="I1059">
        <v>1</v>
      </c>
    </row>
    <row r="1060" spans="1:9" x14ac:dyDescent="0.35">
      <c r="A1060">
        <v>1059</v>
      </c>
      <c r="B1060" s="2">
        <v>44092</v>
      </c>
      <c r="C1060" t="s">
        <v>7</v>
      </c>
      <c r="D1060" t="s">
        <v>157</v>
      </c>
      <c r="E1060">
        <v>2</v>
      </c>
      <c r="F1060" t="str">
        <f>VLOOKUP($C1060,VLOOKUP_spp!$A$2:$D$103,4,1)</f>
        <v>Coleoptera</v>
      </c>
      <c r="G1060" t="str">
        <f>VLOOKUP($F1060,VLOOKUP_spp!$A$2:$E$102,5,1)</f>
        <v>Coleoptera</v>
      </c>
      <c r="H1060" t="str">
        <f t="shared" si="16"/>
        <v>Sep</v>
      </c>
      <c r="I1060">
        <v>1</v>
      </c>
    </row>
    <row r="1061" spans="1:9" x14ac:dyDescent="0.35">
      <c r="A1061">
        <v>1060</v>
      </c>
      <c r="B1061" s="2">
        <v>44092</v>
      </c>
      <c r="C1061" t="s">
        <v>7</v>
      </c>
      <c r="D1061" t="s">
        <v>158</v>
      </c>
      <c r="E1061">
        <v>1</v>
      </c>
      <c r="F1061" t="str">
        <f>VLOOKUP($C1061,VLOOKUP_spp!$A$2:$D$103,4,1)</f>
        <v>Coleoptera</v>
      </c>
      <c r="G1061" t="str">
        <f>VLOOKUP($F1061,VLOOKUP_spp!$A$2:$E$102,5,1)</f>
        <v>Coleoptera</v>
      </c>
      <c r="H1061" t="str">
        <f t="shared" si="16"/>
        <v>Sep</v>
      </c>
      <c r="I1061">
        <v>1</v>
      </c>
    </row>
    <row r="1062" spans="1:9" x14ac:dyDescent="0.35">
      <c r="A1062">
        <v>1061</v>
      </c>
      <c r="B1062" s="2">
        <v>44092</v>
      </c>
      <c r="C1062" t="s">
        <v>7</v>
      </c>
      <c r="D1062" t="s">
        <v>166</v>
      </c>
      <c r="E1062">
        <v>3</v>
      </c>
      <c r="F1062" t="str">
        <f>VLOOKUP($C1062,VLOOKUP_spp!$A$2:$D$103,4,1)</f>
        <v>Coleoptera</v>
      </c>
      <c r="G1062" t="str">
        <f>VLOOKUP($F1062,VLOOKUP_spp!$A$2:$E$102,5,1)</f>
        <v>Coleoptera</v>
      </c>
      <c r="H1062" t="str">
        <f t="shared" si="16"/>
        <v>Sep</v>
      </c>
      <c r="I1062">
        <v>1</v>
      </c>
    </row>
    <row r="1063" spans="1:9" x14ac:dyDescent="0.35">
      <c r="A1063">
        <v>1062</v>
      </c>
      <c r="B1063" s="2">
        <v>44092</v>
      </c>
      <c r="C1063" t="s">
        <v>7</v>
      </c>
      <c r="D1063" t="s">
        <v>172</v>
      </c>
      <c r="E1063">
        <v>1</v>
      </c>
      <c r="F1063" t="str">
        <f>VLOOKUP($C1063,VLOOKUP_spp!$A$2:$D$103,4,1)</f>
        <v>Coleoptera</v>
      </c>
      <c r="G1063" t="str">
        <f>VLOOKUP($F1063,VLOOKUP_spp!$A$2:$E$102,5,1)</f>
        <v>Coleoptera</v>
      </c>
      <c r="H1063" t="str">
        <f t="shared" si="16"/>
        <v>Sep</v>
      </c>
      <c r="I1063">
        <v>1</v>
      </c>
    </row>
    <row r="1064" spans="1:9" x14ac:dyDescent="0.35">
      <c r="A1064">
        <v>1063</v>
      </c>
      <c r="B1064" s="2">
        <v>44092</v>
      </c>
      <c r="C1064" t="s">
        <v>7</v>
      </c>
      <c r="D1064" t="s">
        <v>161</v>
      </c>
      <c r="E1064">
        <v>1</v>
      </c>
      <c r="F1064" t="str">
        <f>VLOOKUP($C1064,VLOOKUP_spp!$A$2:$D$103,4,1)</f>
        <v>Coleoptera</v>
      </c>
      <c r="G1064" t="str">
        <f>VLOOKUP($F1064,VLOOKUP_spp!$A$2:$E$102,5,1)</f>
        <v>Coleoptera</v>
      </c>
      <c r="H1064" t="str">
        <f t="shared" si="16"/>
        <v>Sep</v>
      </c>
      <c r="I1064">
        <v>1</v>
      </c>
    </row>
    <row r="1065" spans="1:9" x14ac:dyDescent="0.35">
      <c r="A1065">
        <v>1064</v>
      </c>
      <c r="B1065" s="2">
        <v>44092</v>
      </c>
      <c r="C1065" t="s">
        <v>6</v>
      </c>
      <c r="D1065" t="s">
        <v>171</v>
      </c>
      <c r="E1065">
        <v>1</v>
      </c>
      <c r="F1065" t="str">
        <f>VLOOKUP($C1065,VLOOKUP_spp!$A$2:$D$103,4,1)</f>
        <v>Diptera</v>
      </c>
      <c r="G1065" t="str">
        <f>VLOOKUP($F1065,VLOOKUP_spp!$A$2:$E$102,5,1)</f>
        <v>Diptera</v>
      </c>
      <c r="H1065" t="str">
        <f t="shared" si="16"/>
        <v>Sep</v>
      </c>
      <c r="I1065">
        <v>1</v>
      </c>
    </row>
    <row r="1066" spans="1:9" x14ac:dyDescent="0.35">
      <c r="A1066">
        <v>1065</v>
      </c>
      <c r="B1066" s="2">
        <v>44092</v>
      </c>
      <c r="C1066" t="s">
        <v>6</v>
      </c>
      <c r="D1066" t="s">
        <v>157</v>
      </c>
      <c r="E1066">
        <v>3</v>
      </c>
      <c r="F1066" t="str">
        <f>VLOOKUP($C1066,VLOOKUP_spp!$A$2:$D$103,4,1)</f>
        <v>Diptera</v>
      </c>
      <c r="G1066" t="str">
        <f>VLOOKUP($F1066,VLOOKUP_spp!$A$2:$E$102,5,1)</f>
        <v>Diptera</v>
      </c>
      <c r="H1066" t="str">
        <f t="shared" si="16"/>
        <v>Sep</v>
      </c>
      <c r="I1066">
        <v>1</v>
      </c>
    </row>
    <row r="1067" spans="1:9" x14ac:dyDescent="0.35">
      <c r="A1067">
        <v>1066</v>
      </c>
      <c r="B1067" s="2">
        <v>44092</v>
      </c>
      <c r="C1067" t="s">
        <v>6</v>
      </c>
      <c r="D1067" t="s">
        <v>158</v>
      </c>
      <c r="E1067">
        <v>4</v>
      </c>
      <c r="F1067" t="str">
        <f>VLOOKUP($C1067,VLOOKUP_spp!$A$2:$D$103,4,1)</f>
        <v>Diptera</v>
      </c>
      <c r="G1067" t="str">
        <f>VLOOKUP($F1067,VLOOKUP_spp!$A$2:$E$102,5,1)</f>
        <v>Diptera</v>
      </c>
      <c r="H1067" t="str">
        <f t="shared" si="16"/>
        <v>Sep</v>
      </c>
      <c r="I1067">
        <v>1</v>
      </c>
    </row>
    <row r="1068" spans="1:9" x14ac:dyDescent="0.35">
      <c r="A1068">
        <v>1067</v>
      </c>
      <c r="B1068" s="2">
        <v>44092</v>
      </c>
      <c r="C1068" t="s">
        <v>6</v>
      </c>
      <c r="D1068" t="s">
        <v>172</v>
      </c>
      <c r="E1068">
        <v>2</v>
      </c>
      <c r="F1068" t="str">
        <f>VLOOKUP($C1068,VLOOKUP_spp!$A$2:$D$103,4,1)</f>
        <v>Diptera</v>
      </c>
      <c r="G1068" t="str">
        <f>VLOOKUP($F1068,VLOOKUP_spp!$A$2:$E$102,5,1)</f>
        <v>Diptera</v>
      </c>
      <c r="H1068" t="str">
        <f t="shared" si="16"/>
        <v>Sep</v>
      </c>
      <c r="I1068">
        <v>1</v>
      </c>
    </row>
    <row r="1069" spans="1:9" x14ac:dyDescent="0.35">
      <c r="A1069">
        <v>1068</v>
      </c>
      <c r="B1069" s="2">
        <v>44092</v>
      </c>
      <c r="C1069" t="s">
        <v>6</v>
      </c>
      <c r="D1069" t="s">
        <v>160</v>
      </c>
      <c r="E1069">
        <v>2</v>
      </c>
      <c r="F1069" t="str">
        <f>VLOOKUP($C1069,VLOOKUP_spp!$A$2:$D$103,4,1)</f>
        <v>Diptera</v>
      </c>
      <c r="G1069" t="str">
        <f>VLOOKUP($F1069,VLOOKUP_spp!$A$2:$E$102,5,1)</f>
        <v>Diptera</v>
      </c>
      <c r="H1069" t="str">
        <f t="shared" si="16"/>
        <v>Sep</v>
      </c>
      <c r="I1069">
        <v>1</v>
      </c>
    </row>
    <row r="1070" spans="1:9" x14ac:dyDescent="0.35">
      <c r="A1070">
        <v>1069</v>
      </c>
      <c r="B1070" s="2">
        <v>44092</v>
      </c>
      <c r="C1070" t="s">
        <v>6</v>
      </c>
      <c r="D1070" t="s">
        <v>162</v>
      </c>
      <c r="E1070">
        <v>2</v>
      </c>
      <c r="F1070" t="str">
        <f>VLOOKUP($C1070,VLOOKUP_spp!$A$2:$D$103,4,1)</f>
        <v>Diptera</v>
      </c>
      <c r="G1070" t="str">
        <f>VLOOKUP($F1070,VLOOKUP_spp!$A$2:$E$102,5,1)</f>
        <v>Diptera</v>
      </c>
      <c r="H1070" t="str">
        <f t="shared" si="16"/>
        <v>Sep</v>
      </c>
      <c r="I1070">
        <v>1</v>
      </c>
    </row>
    <row r="1071" spans="1:9" x14ac:dyDescent="0.35">
      <c r="A1071">
        <v>1070</v>
      </c>
      <c r="B1071" s="2">
        <v>44092</v>
      </c>
      <c r="C1071" t="s">
        <v>6</v>
      </c>
      <c r="D1071" t="s">
        <v>147</v>
      </c>
      <c r="E1071">
        <v>1</v>
      </c>
      <c r="F1071" t="str">
        <f>VLOOKUP($C1071,VLOOKUP_spp!$A$2:$D$103,4,1)</f>
        <v>Diptera</v>
      </c>
      <c r="G1071" t="str">
        <f>VLOOKUP($F1071,VLOOKUP_spp!$A$2:$E$102,5,1)</f>
        <v>Diptera</v>
      </c>
      <c r="H1071" t="str">
        <f t="shared" si="16"/>
        <v>Sep</v>
      </c>
      <c r="I1071">
        <v>1</v>
      </c>
    </row>
    <row r="1072" spans="1:9" x14ac:dyDescent="0.35">
      <c r="A1072">
        <v>1071</v>
      </c>
      <c r="B1072" s="2">
        <v>44092</v>
      </c>
      <c r="C1072" t="s">
        <v>93</v>
      </c>
      <c r="D1072" t="s">
        <v>161</v>
      </c>
      <c r="E1072">
        <v>1</v>
      </c>
      <c r="F1072" t="str">
        <f>VLOOKUP($C1072,VLOOKUP_spp!$A$2:$D$103,4,1)</f>
        <v>Epeolus</v>
      </c>
      <c r="G1072" t="str">
        <f>VLOOKUP($F1072,VLOOKUP_spp!$A$2:$E$102,5,1)</f>
        <v>Hymenoptera</v>
      </c>
      <c r="H1072" t="str">
        <f t="shared" si="16"/>
        <v>Sep</v>
      </c>
      <c r="I1072">
        <v>1</v>
      </c>
    </row>
    <row r="1073" spans="1:9" x14ac:dyDescent="0.35">
      <c r="A1073">
        <v>1072</v>
      </c>
      <c r="B1073" s="2">
        <v>44092</v>
      </c>
      <c r="C1073" t="s">
        <v>93</v>
      </c>
      <c r="D1073" t="s">
        <v>147</v>
      </c>
      <c r="E1073">
        <v>1</v>
      </c>
      <c r="F1073" t="str">
        <f>VLOOKUP($C1073,VLOOKUP_spp!$A$2:$D$103,4,1)</f>
        <v>Epeolus</v>
      </c>
      <c r="G1073" t="str">
        <f>VLOOKUP($F1073,VLOOKUP_spp!$A$2:$E$102,5,1)</f>
        <v>Hymenoptera</v>
      </c>
      <c r="H1073" t="str">
        <f t="shared" si="16"/>
        <v>Sep</v>
      </c>
      <c r="I1073">
        <v>1</v>
      </c>
    </row>
    <row r="1074" spans="1:9" x14ac:dyDescent="0.35">
      <c r="A1074">
        <v>1073</v>
      </c>
      <c r="B1074" s="2">
        <v>44092</v>
      </c>
      <c r="C1074" t="s">
        <v>8</v>
      </c>
      <c r="D1074" t="s">
        <v>169</v>
      </c>
      <c r="E1074">
        <v>1</v>
      </c>
      <c r="F1074" t="str">
        <f>VLOOKUP($C1074,VLOOKUP_spp!$A$2:$D$103,4,1)</f>
        <v>Lepidoptera</v>
      </c>
      <c r="G1074" t="str">
        <f>VLOOKUP($F1074,VLOOKUP_spp!$A$2:$E$102,5,1)</f>
        <v>Lepidoptera</v>
      </c>
      <c r="H1074" t="str">
        <f t="shared" si="16"/>
        <v>Sep</v>
      </c>
      <c r="I1074">
        <v>1</v>
      </c>
    </row>
    <row r="1075" spans="1:9" x14ac:dyDescent="0.35">
      <c r="A1075">
        <v>1074</v>
      </c>
      <c r="B1075" s="2">
        <v>44092</v>
      </c>
      <c r="C1075" t="s">
        <v>8</v>
      </c>
      <c r="D1075" t="s">
        <v>157</v>
      </c>
      <c r="E1075">
        <v>2</v>
      </c>
      <c r="F1075" t="str">
        <f>VLOOKUP($C1075,VLOOKUP_spp!$A$2:$D$103,4,1)</f>
        <v>Lepidoptera</v>
      </c>
      <c r="G1075" t="str">
        <f>VLOOKUP($F1075,VLOOKUP_spp!$A$2:$E$102,5,1)</f>
        <v>Lepidoptera</v>
      </c>
      <c r="H1075" t="str">
        <f t="shared" si="16"/>
        <v>Sep</v>
      </c>
      <c r="I1075">
        <v>1</v>
      </c>
    </row>
    <row r="1076" spans="1:9" x14ac:dyDescent="0.35">
      <c r="A1076">
        <v>1075</v>
      </c>
      <c r="B1076" s="2">
        <v>44092</v>
      </c>
      <c r="C1076" t="s">
        <v>8</v>
      </c>
      <c r="D1076" t="s">
        <v>158</v>
      </c>
      <c r="E1076">
        <v>1</v>
      </c>
      <c r="F1076" t="str">
        <f>VLOOKUP($C1076,VLOOKUP_spp!$A$2:$D$103,4,1)</f>
        <v>Lepidoptera</v>
      </c>
      <c r="G1076" t="str">
        <f>VLOOKUP($F1076,VLOOKUP_spp!$A$2:$E$102,5,1)</f>
        <v>Lepidoptera</v>
      </c>
      <c r="H1076" t="str">
        <f t="shared" si="16"/>
        <v>Sep</v>
      </c>
      <c r="I1076">
        <v>1</v>
      </c>
    </row>
    <row r="1077" spans="1:9" x14ac:dyDescent="0.35">
      <c r="A1077">
        <v>1076</v>
      </c>
      <c r="B1077" s="2">
        <v>44092</v>
      </c>
      <c r="C1077" t="s">
        <v>8</v>
      </c>
      <c r="D1077" t="s">
        <v>173</v>
      </c>
      <c r="E1077">
        <v>2</v>
      </c>
      <c r="F1077" t="str">
        <f>VLOOKUP($C1077,VLOOKUP_spp!$A$2:$D$103,4,1)</f>
        <v>Lepidoptera</v>
      </c>
      <c r="G1077" t="str">
        <f>VLOOKUP($F1077,VLOOKUP_spp!$A$2:$E$102,5,1)</f>
        <v>Lepidoptera</v>
      </c>
      <c r="H1077" t="str">
        <f t="shared" si="16"/>
        <v>Sep</v>
      </c>
      <c r="I1077">
        <v>1</v>
      </c>
    </row>
    <row r="1078" spans="1:9" x14ac:dyDescent="0.35">
      <c r="A1078">
        <v>1077</v>
      </c>
      <c r="B1078" s="2">
        <v>44092</v>
      </c>
      <c r="C1078" t="s">
        <v>126</v>
      </c>
      <c r="D1078" t="s">
        <v>171</v>
      </c>
      <c r="E1078">
        <v>1</v>
      </c>
      <c r="F1078" t="str">
        <f>VLOOKUP($C1078,VLOOKUP_spp!$A$2:$D$103,4,1)</f>
        <v>Syrphidae</v>
      </c>
      <c r="G1078" t="str">
        <f>VLOOKUP($F1078,VLOOKUP_spp!$A$2:$E$102,5,1)</f>
        <v>Diptera</v>
      </c>
      <c r="H1078" t="str">
        <f t="shared" si="16"/>
        <v>Sep</v>
      </c>
      <c r="I1078">
        <v>1</v>
      </c>
    </row>
    <row r="1079" spans="1:9" x14ac:dyDescent="0.35">
      <c r="A1079">
        <v>1078</v>
      </c>
      <c r="B1079" s="2">
        <v>44092</v>
      </c>
      <c r="C1079" t="s">
        <v>126</v>
      </c>
      <c r="D1079" t="s">
        <v>169</v>
      </c>
      <c r="E1079">
        <v>1</v>
      </c>
      <c r="F1079" t="str">
        <f>VLOOKUP($C1079,VLOOKUP_spp!$A$2:$D$103,4,1)</f>
        <v>Syrphidae</v>
      </c>
      <c r="G1079" t="str">
        <f>VLOOKUP($F1079,VLOOKUP_spp!$A$2:$E$102,5,1)</f>
        <v>Diptera</v>
      </c>
      <c r="H1079" t="str">
        <f t="shared" si="16"/>
        <v>Sep</v>
      </c>
      <c r="I1079">
        <v>1</v>
      </c>
    </row>
    <row r="1080" spans="1:9" x14ac:dyDescent="0.35">
      <c r="A1080">
        <v>1079</v>
      </c>
      <c r="B1080" s="2">
        <v>44092</v>
      </c>
      <c r="C1080" t="s">
        <v>126</v>
      </c>
      <c r="D1080" t="s">
        <v>161</v>
      </c>
      <c r="E1080">
        <v>1</v>
      </c>
      <c r="F1080" t="str">
        <f>VLOOKUP($C1080,VLOOKUP_spp!$A$2:$D$103,4,1)</f>
        <v>Syrphidae</v>
      </c>
      <c r="G1080" t="str">
        <f>VLOOKUP($F1080,VLOOKUP_spp!$A$2:$E$102,5,1)</f>
        <v>Diptera</v>
      </c>
      <c r="H1080" t="str">
        <f t="shared" si="16"/>
        <v>Sep</v>
      </c>
      <c r="I1080">
        <v>1</v>
      </c>
    </row>
    <row r="1081" spans="1:9" x14ac:dyDescent="0.35">
      <c r="A1081">
        <v>1080</v>
      </c>
      <c r="B1081" s="2">
        <v>44092</v>
      </c>
      <c r="C1081" t="s">
        <v>126</v>
      </c>
      <c r="D1081" t="s">
        <v>147</v>
      </c>
      <c r="E1081">
        <v>2</v>
      </c>
      <c r="F1081" t="str">
        <f>VLOOKUP($C1081,VLOOKUP_spp!$A$2:$D$103,4,1)</f>
        <v>Syrphidae</v>
      </c>
      <c r="G1081" t="str">
        <f>VLOOKUP($F1081,VLOOKUP_spp!$A$2:$E$102,5,1)</f>
        <v>Diptera</v>
      </c>
      <c r="H1081" t="str">
        <f t="shared" si="16"/>
        <v>Sep</v>
      </c>
      <c r="I1081">
        <v>1</v>
      </c>
    </row>
    <row r="1082" spans="1:9" x14ac:dyDescent="0.35">
      <c r="A1082">
        <v>1081</v>
      </c>
      <c r="B1082" s="2">
        <v>44092</v>
      </c>
      <c r="C1082" t="s">
        <v>128</v>
      </c>
      <c r="D1082" t="s">
        <v>171</v>
      </c>
      <c r="E1082">
        <v>1</v>
      </c>
      <c r="F1082" t="str">
        <f>VLOOKUP($C1082,VLOOKUP_spp!$A$2:$D$103,4,1)</f>
        <v>Wasp</v>
      </c>
      <c r="G1082" t="str">
        <f>VLOOKUP($F1082,VLOOKUP_spp!$A$2:$E$102,5,1)</f>
        <v>Hymenoptera</v>
      </c>
      <c r="H1082" t="str">
        <f t="shared" si="16"/>
        <v>Sep</v>
      </c>
      <c r="I1082">
        <v>1</v>
      </c>
    </row>
    <row r="1083" spans="1:9" x14ac:dyDescent="0.35">
      <c r="A1083">
        <v>1082</v>
      </c>
      <c r="B1083" s="2">
        <v>44092</v>
      </c>
      <c r="C1083" t="s">
        <v>128</v>
      </c>
      <c r="D1083" t="s">
        <v>169</v>
      </c>
      <c r="E1083">
        <v>2</v>
      </c>
      <c r="F1083" t="str">
        <f>VLOOKUP($C1083,VLOOKUP_spp!$A$2:$D$103,4,1)</f>
        <v>Wasp</v>
      </c>
      <c r="G1083" t="str">
        <f>VLOOKUP($F1083,VLOOKUP_spp!$A$2:$E$102,5,1)</f>
        <v>Hymenoptera</v>
      </c>
      <c r="H1083" t="str">
        <f t="shared" si="16"/>
        <v>Sep</v>
      </c>
      <c r="I1083">
        <v>1</v>
      </c>
    </row>
    <row r="1084" spans="1:9" x14ac:dyDescent="0.35">
      <c r="A1084">
        <v>1083</v>
      </c>
      <c r="B1084" s="2">
        <v>44092</v>
      </c>
      <c r="C1084" t="s">
        <v>128</v>
      </c>
      <c r="D1084" t="s">
        <v>157</v>
      </c>
      <c r="E1084">
        <v>4</v>
      </c>
      <c r="F1084" t="str">
        <f>VLOOKUP($C1084,VLOOKUP_spp!$A$2:$D$103,4,1)</f>
        <v>Wasp</v>
      </c>
      <c r="G1084" t="str">
        <f>VLOOKUP($F1084,VLOOKUP_spp!$A$2:$E$102,5,1)</f>
        <v>Hymenoptera</v>
      </c>
      <c r="H1084" t="str">
        <f t="shared" si="16"/>
        <v>Sep</v>
      </c>
      <c r="I1084">
        <v>1</v>
      </c>
    </row>
    <row r="1085" spans="1:9" x14ac:dyDescent="0.35">
      <c r="A1085">
        <v>1084</v>
      </c>
      <c r="B1085" s="2">
        <v>44092</v>
      </c>
      <c r="C1085" t="s">
        <v>128</v>
      </c>
      <c r="D1085" t="s">
        <v>158</v>
      </c>
      <c r="E1085">
        <v>3</v>
      </c>
      <c r="F1085" t="str">
        <f>VLOOKUP($C1085,VLOOKUP_spp!$A$2:$D$103,4,1)</f>
        <v>Wasp</v>
      </c>
      <c r="G1085" t="str">
        <f>VLOOKUP($F1085,VLOOKUP_spp!$A$2:$E$102,5,1)</f>
        <v>Hymenoptera</v>
      </c>
      <c r="H1085" t="str">
        <f t="shared" si="16"/>
        <v>Sep</v>
      </c>
      <c r="I1085">
        <v>1</v>
      </c>
    </row>
    <row r="1086" spans="1:9" x14ac:dyDescent="0.35">
      <c r="A1086">
        <v>1085</v>
      </c>
      <c r="B1086" s="2">
        <v>44092</v>
      </c>
      <c r="C1086" t="s">
        <v>128</v>
      </c>
      <c r="D1086" t="s">
        <v>166</v>
      </c>
      <c r="E1086">
        <v>1</v>
      </c>
      <c r="F1086" t="str">
        <f>VLOOKUP($C1086,VLOOKUP_spp!$A$2:$D$103,4,1)</f>
        <v>Wasp</v>
      </c>
      <c r="G1086" t="str">
        <f>VLOOKUP($F1086,VLOOKUP_spp!$A$2:$E$102,5,1)</f>
        <v>Hymenoptera</v>
      </c>
      <c r="H1086" t="str">
        <f t="shared" si="16"/>
        <v>Sep</v>
      </c>
      <c r="I1086">
        <v>1</v>
      </c>
    </row>
    <row r="1087" spans="1:9" x14ac:dyDescent="0.35">
      <c r="A1087">
        <v>1086</v>
      </c>
      <c r="B1087" s="2">
        <v>44092</v>
      </c>
      <c r="C1087" t="s">
        <v>128</v>
      </c>
      <c r="D1087" t="s">
        <v>163</v>
      </c>
      <c r="E1087">
        <v>2</v>
      </c>
      <c r="F1087" t="str">
        <f>VLOOKUP($C1087,VLOOKUP_spp!$A$2:$D$103,4,1)</f>
        <v>Wasp</v>
      </c>
      <c r="G1087" t="str">
        <f>VLOOKUP($F1087,VLOOKUP_spp!$A$2:$E$102,5,1)</f>
        <v>Hymenoptera</v>
      </c>
      <c r="H1087" t="str">
        <f t="shared" si="16"/>
        <v>Sep</v>
      </c>
      <c r="I1087">
        <v>1</v>
      </c>
    </row>
    <row r="1088" spans="1:9" x14ac:dyDescent="0.35">
      <c r="A1088">
        <v>1087</v>
      </c>
      <c r="B1088" s="2">
        <v>44092</v>
      </c>
      <c r="C1088" t="s">
        <v>128</v>
      </c>
      <c r="D1088" t="s">
        <v>160</v>
      </c>
      <c r="E1088">
        <v>2</v>
      </c>
      <c r="F1088" t="str">
        <f>VLOOKUP($C1088,VLOOKUP_spp!$A$2:$D$103,4,1)</f>
        <v>Wasp</v>
      </c>
      <c r="G1088" t="str">
        <f>VLOOKUP($F1088,VLOOKUP_spp!$A$2:$E$102,5,1)</f>
        <v>Hymenoptera</v>
      </c>
      <c r="H1088" t="str">
        <f t="shared" si="16"/>
        <v>Sep</v>
      </c>
      <c r="I1088">
        <v>1</v>
      </c>
    </row>
    <row r="1089" spans="1:9" x14ac:dyDescent="0.35">
      <c r="A1089">
        <v>1088</v>
      </c>
      <c r="B1089" s="2">
        <v>44092</v>
      </c>
      <c r="C1089" t="s">
        <v>128</v>
      </c>
      <c r="D1089" t="s">
        <v>162</v>
      </c>
      <c r="E1089">
        <v>3</v>
      </c>
      <c r="F1089" t="str">
        <f>VLOOKUP($C1089,VLOOKUP_spp!$A$2:$D$103,4,1)</f>
        <v>Wasp</v>
      </c>
      <c r="G1089" t="str">
        <f>VLOOKUP($F1089,VLOOKUP_spp!$A$2:$E$102,5,1)</f>
        <v>Hymenoptera</v>
      </c>
      <c r="H1089" t="str">
        <f t="shared" si="16"/>
        <v>Sep</v>
      </c>
      <c r="I1089">
        <v>1</v>
      </c>
    </row>
    <row r="1090" spans="1:9" x14ac:dyDescent="0.35">
      <c r="A1090">
        <v>1089</v>
      </c>
      <c r="B1090" s="2">
        <v>44092</v>
      </c>
      <c r="C1090" t="s">
        <v>128</v>
      </c>
      <c r="D1090" t="s">
        <v>147</v>
      </c>
      <c r="E1090">
        <v>13</v>
      </c>
      <c r="F1090" t="str">
        <f>VLOOKUP($C1090,VLOOKUP_spp!$A$2:$D$103,4,1)</f>
        <v>Wasp</v>
      </c>
      <c r="G1090" t="str">
        <f>VLOOKUP($F1090,VLOOKUP_spp!$A$2:$E$102,5,1)</f>
        <v>Hymenoptera</v>
      </c>
      <c r="H1090" t="str">
        <f t="shared" si="16"/>
        <v>Sep</v>
      </c>
      <c r="I1090">
        <v>1</v>
      </c>
    </row>
    <row r="1091" spans="1:9" x14ac:dyDescent="0.35">
      <c r="A1091">
        <v>1090</v>
      </c>
      <c r="B1091" s="2">
        <v>44095</v>
      </c>
      <c r="C1091" t="s">
        <v>34</v>
      </c>
      <c r="D1091" t="s">
        <v>176</v>
      </c>
      <c r="E1091">
        <v>1</v>
      </c>
      <c r="F1091" t="str">
        <f>VLOOKUP($C1091,VLOOKUP_spp!$A$2:$D$103,4,1)</f>
        <v>Andrena_milwaukeensis</v>
      </c>
      <c r="G1091" t="str">
        <f>VLOOKUP($F1091,VLOOKUP_spp!$A$2:$E$102,5,1)</f>
        <v>Hymenoptera</v>
      </c>
      <c r="H1091" t="str">
        <f t="shared" ref="H1091:H1154" si="17">TEXT(B1091, "mmm")</f>
        <v>Sep</v>
      </c>
      <c r="I1091">
        <v>1</v>
      </c>
    </row>
    <row r="1092" spans="1:9" x14ac:dyDescent="0.35">
      <c r="A1092">
        <v>1091</v>
      </c>
      <c r="B1092" s="2">
        <v>44095</v>
      </c>
      <c r="C1092" t="s">
        <v>50</v>
      </c>
      <c r="D1092" t="s">
        <v>169</v>
      </c>
      <c r="E1092">
        <v>2</v>
      </c>
      <c r="F1092" t="str">
        <f>VLOOKUP($C1092,VLOOKUP_spp!$A$2:$D$103,4,1)</f>
        <v>Apis_mellifera</v>
      </c>
      <c r="G1092" t="str">
        <f>VLOOKUP($F1092,VLOOKUP_spp!$A$2:$E$102,5,1)</f>
        <v>Hymenoptera</v>
      </c>
      <c r="H1092" t="str">
        <f t="shared" si="17"/>
        <v>Sep</v>
      </c>
      <c r="I1092">
        <v>1</v>
      </c>
    </row>
    <row r="1093" spans="1:9" x14ac:dyDescent="0.35">
      <c r="A1093">
        <v>1092</v>
      </c>
      <c r="B1093" s="2">
        <v>44095</v>
      </c>
      <c r="C1093" t="s">
        <v>50</v>
      </c>
      <c r="D1093" t="s">
        <v>157</v>
      </c>
      <c r="E1093">
        <v>1</v>
      </c>
      <c r="F1093" t="str">
        <f>VLOOKUP($C1093,VLOOKUP_spp!$A$2:$D$103,4,1)</f>
        <v>Apis_mellifera</v>
      </c>
      <c r="G1093" t="str">
        <f>VLOOKUP($F1093,VLOOKUP_spp!$A$2:$E$102,5,1)</f>
        <v>Hymenoptera</v>
      </c>
      <c r="H1093" t="str">
        <f t="shared" si="17"/>
        <v>Sep</v>
      </c>
      <c r="I1093">
        <v>1</v>
      </c>
    </row>
    <row r="1094" spans="1:9" x14ac:dyDescent="0.35">
      <c r="A1094">
        <v>1093</v>
      </c>
      <c r="B1094" s="2">
        <v>44095</v>
      </c>
      <c r="C1094" t="s">
        <v>50</v>
      </c>
      <c r="D1094" t="s">
        <v>153</v>
      </c>
      <c r="E1094">
        <v>1</v>
      </c>
      <c r="F1094" t="str">
        <f>VLOOKUP($C1094,VLOOKUP_spp!$A$2:$D$103,4,1)</f>
        <v>Apis_mellifera</v>
      </c>
      <c r="G1094" t="str">
        <f>VLOOKUP($F1094,VLOOKUP_spp!$A$2:$E$102,5,1)</f>
        <v>Hymenoptera</v>
      </c>
      <c r="H1094" t="str">
        <f t="shared" si="17"/>
        <v>Sep</v>
      </c>
      <c r="I1094">
        <v>1</v>
      </c>
    </row>
    <row r="1095" spans="1:9" x14ac:dyDescent="0.35">
      <c r="A1095">
        <v>1094</v>
      </c>
      <c r="B1095" s="2">
        <v>44095</v>
      </c>
      <c r="C1095" t="s">
        <v>50</v>
      </c>
      <c r="D1095" t="s">
        <v>165</v>
      </c>
      <c r="E1095">
        <v>1</v>
      </c>
      <c r="F1095" t="str">
        <f>VLOOKUP($C1095,VLOOKUP_spp!$A$2:$D$103,4,1)</f>
        <v>Apis_mellifera</v>
      </c>
      <c r="G1095" t="str">
        <f>VLOOKUP($F1095,VLOOKUP_spp!$A$2:$E$102,5,1)</f>
        <v>Hymenoptera</v>
      </c>
      <c r="H1095" t="str">
        <f t="shared" si="17"/>
        <v>Sep</v>
      </c>
      <c r="I1095">
        <v>1</v>
      </c>
    </row>
    <row r="1096" spans="1:9" x14ac:dyDescent="0.35">
      <c r="A1096">
        <v>1095</v>
      </c>
      <c r="B1096" s="2">
        <v>44095</v>
      </c>
      <c r="C1096" t="s">
        <v>50</v>
      </c>
      <c r="D1096" t="s">
        <v>158</v>
      </c>
      <c r="E1096">
        <v>3</v>
      </c>
      <c r="F1096" t="str">
        <f>VLOOKUP($C1096,VLOOKUP_spp!$A$2:$D$103,4,1)</f>
        <v>Apis_mellifera</v>
      </c>
      <c r="G1096" t="str">
        <f>VLOOKUP($F1096,VLOOKUP_spp!$A$2:$E$102,5,1)</f>
        <v>Hymenoptera</v>
      </c>
      <c r="H1096" t="str">
        <f t="shared" si="17"/>
        <v>Sep</v>
      </c>
      <c r="I1096">
        <v>1</v>
      </c>
    </row>
    <row r="1097" spans="1:9" x14ac:dyDescent="0.35">
      <c r="A1097">
        <v>1096</v>
      </c>
      <c r="B1097" s="2">
        <v>44095</v>
      </c>
      <c r="C1097" t="s">
        <v>50</v>
      </c>
      <c r="D1097" t="s">
        <v>166</v>
      </c>
      <c r="E1097">
        <v>2</v>
      </c>
      <c r="F1097" t="str">
        <f>VLOOKUP($C1097,VLOOKUP_spp!$A$2:$D$103,4,1)</f>
        <v>Apis_mellifera</v>
      </c>
      <c r="G1097" t="str">
        <f>VLOOKUP($F1097,VLOOKUP_spp!$A$2:$E$102,5,1)</f>
        <v>Hymenoptera</v>
      </c>
      <c r="H1097" t="str">
        <f t="shared" si="17"/>
        <v>Sep</v>
      </c>
      <c r="I1097">
        <v>1</v>
      </c>
    </row>
    <row r="1098" spans="1:9" x14ac:dyDescent="0.35">
      <c r="A1098">
        <v>1097</v>
      </c>
      <c r="B1098" s="2">
        <v>44095</v>
      </c>
      <c r="C1098" t="s">
        <v>50</v>
      </c>
      <c r="D1098" t="s">
        <v>173</v>
      </c>
      <c r="E1098">
        <v>2</v>
      </c>
      <c r="F1098" t="str">
        <f>VLOOKUP($C1098,VLOOKUP_spp!$A$2:$D$103,4,1)</f>
        <v>Apis_mellifera</v>
      </c>
      <c r="G1098" t="str">
        <f>VLOOKUP($F1098,VLOOKUP_spp!$A$2:$E$102,5,1)</f>
        <v>Hymenoptera</v>
      </c>
      <c r="H1098" t="str">
        <f t="shared" si="17"/>
        <v>Sep</v>
      </c>
      <c r="I1098">
        <v>1</v>
      </c>
    </row>
    <row r="1099" spans="1:9" x14ac:dyDescent="0.35">
      <c r="A1099">
        <v>1098</v>
      </c>
      <c r="B1099" s="2">
        <v>44095</v>
      </c>
      <c r="C1099" t="s">
        <v>50</v>
      </c>
      <c r="D1099" t="s">
        <v>150</v>
      </c>
      <c r="E1099">
        <v>2</v>
      </c>
      <c r="F1099" t="str">
        <f>VLOOKUP($C1099,VLOOKUP_spp!$A$2:$D$103,4,1)</f>
        <v>Apis_mellifera</v>
      </c>
      <c r="G1099" t="str">
        <f>VLOOKUP($F1099,VLOOKUP_spp!$A$2:$E$102,5,1)</f>
        <v>Hymenoptera</v>
      </c>
      <c r="H1099" t="str">
        <f t="shared" si="17"/>
        <v>Sep</v>
      </c>
      <c r="I1099">
        <v>1</v>
      </c>
    </row>
    <row r="1100" spans="1:9" x14ac:dyDescent="0.35">
      <c r="A1100">
        <v>1099</v>
      </c>
      <c r="B1100" s="2">
        <v>44095</v>
      </c>
      <c r="C1100" t="s">
        <v>50</v>
      </c>
      <c r="D1100" t="s">
        <v>161</v>
      </c>
      <c r="E1100">
        <v>2</v>
      </c>
      <c r="F1100" t="str">
        <f>VLOOKUP($C1100,VLOOKUP_spp!$A$2:$D$103,4,1)</f>
        <v>Apis_mellifera</v>
      </c>
      <c r="G1100" t="str">
        <f>VLOOKUP($F1100,VLOOKUP_spp!$A$2:$E$102,5,1)</f>
        <v>Hymenoptera</v>
      </c>
      <c r="H1100" t="str">
        <f t="shared" si="17"/>
        <v>Sep</v>
      </c>
      <c r="I1100">
        <v>1</v>
      </c>
    </row>
    <row r="1101" spans="1:9" x14ac:dyDescent="0.35">
      <c r="A1101">
        <v>1100</v>
      </c>
      <c r="B1101" s="2">
        <v>44095</v>
      </c>
      <c r="C1101" t="s">
        <v>50</v>
      </c>
      <c r="D1101" t="s">
        <v>162</v>
      </c>
      <c r="E1101">
        <v>1</v>
      </c>
      <c r="F1101" t="str">
        <f>VLOOKUP($C1101,VLOOKUP_spp!$A$2:$D$103,4,1)</f>
        <v>Apis_mellifera</v>
      </c>
      <c r="G1101" t="str">
        <f>VLOOKUP($F1101,VLOOKUP_spp!$A$2:$E$102,5,1)</f>
        <v>Hymenoptera</v>
      </c>
      <c r="H1101" t="str">
        <f t="shared" si="17"/>
        <v>Sep</v>
      </c>
      <c r="I1101">
        <v>1</v>
      </c>
    </row>
    <row r="1102" spans="1:9" x14ac:dyDescent="0.35">
      <c r="A1102">
        <v>1101</v>
      </c>
      <c r="B1102" s="2">
        <v>44095</v>
      </c>
      <c r="C1102" t="s">
        <v>50</v>
      </c>
      <c r="D1102" t="s">
        <v>175</v>
      </c>
      <c r="E1102">
        <v>2</v>
      </c>
      <c r="F1102" t="str">
        <f>VLOOKUP($C1102,VLOOKUP_spp!$A$2:$D$103,4,1)</f>
        <v>Apis_mellifera</v>
      </c>
      <c r="G1102" t="str">
        <f>VLOOKUP($F1102,VLOOKUP_spp!$A$2:$E$102,5,1)</f>
        <v>Hymenoptera</v>
      </c>
      <c r="H1102" t="str">
        <f t="shared" si="17"/>
        <v>Sep</v>
      </c>
      <c r="I1102">
        <v>1</v>
      </c>
    </row>
    <row r="1103" spans="1:9" x14ac:dyDescent="0.35">
      <c r="A1103">
        <v>1102</v>
      </c>
      <c r="B1103" s="2">
        <v>44095</v>
      </c>
      <c r="C1103" t="s">
        <v>50</v>
      </c>
      <c r="D1103" t="s">
        <v>147</v>
      </c>
      <c r="E1103">
        <v>2</v>
      </c>
      <c r="F1103" t="str">
        <f>VLOOKUP($C1103,VLOOKUP_spp!$A$2:$D$103,4,1)</f>
        <v>Apis_mellifera</v>
      </c>
      <c r="G1103" t="str">
        <f>VLOOKUP($F1103,VLOOKUP_spp!$A$2:$E$102,5,1)</f>
        <v>Hymenoptera</v>
      </c>
      <c r="H1103" t="str">
        <f t="shared" si="17"/>
        <v>Sep</v>
      </c>
      <c r="I1103">
        <v>1</v>
      </c>
    </row>
    <row r="1104" spans="1:9" x14ac:dyDescent="0.35">
      <c r="A1104">
        <v>1103</v>
      </c>
      <c r="B1104" s="2">
        <v>44095</v>
      </c>
      <c r="C1104" t="s">
        <v>52</v>
      </c>
      <c r="D1104" t="s">
        <v>158</v>
      </c>
      <c r="E1104">
        <v>1</v>
      </c>
      <c r="F1104" t="str">
        <f>VLOOKUP($C1104,VLOOKUP_spp!$A$2:$D$103,4,1)</f>
        <v>Augochlorella</v>
      </c>
      <c r="G1104" t="str">
        <f>VLOOKUP($F1104,VLOOKUP_spp!$A$2:$E$102,5,1)</f>
        <v>Hymenoptera</v>
      </c>
      <c r="H1104" t="str">
        <f t="shared" si="17"/>
        <v>Sep</v>
      </c>
      <c r="I1104">
        <v>1</v>
      </c>
    </row>
    <row r="1105" spans="1:9" x14ac:dyDescent="0.35">
      <c r="A1105">
        <v>1104</v>
      </c>
      <c r="B1105" s="2">
        <v>44095</v>
      </c>
      <c r="C1105" t="s">
        <v>82</v>
      </c>
      <c r="D1105" t="s">
        <v>157</v>
      </c>
      <c r="E1105">
        <v>1</v>
      </c>
      <c r="F1105" t="str">
        <f>VLOOKUP($C1105,VLOOKUP_spp!$A$2:$D$103,4,1)</f>
        <v>Calliopsis</v>
      </c>
      <c r="G1105" t="str">
        <f>VLOOKUP($F1105,VLOOKUP_spp!$A$2:$E$102,5,1)</f>
        <v>Hymenoptera</v>
      </c>
      <c r="H1105" t="str">
        <f t="shared" si="17"/>
        <v>Sep</v>
      </c>
      <c r="I1105">
        <v>1</v>
      </c>
    </row>
    <row r="1106" spans="1:9" x14ac:dyDescent="0.35">
      <c r="A1106">
        <v>1105</v>
      </c>
      <c r="B1106" s="2">
        <v>44095</v>
      </c>
      <c r="C1106" t="s">
        <v>7</v>
      </c>
      <c r="D1106" t="s">
        <v>169</v>
      </c>
      <c r="E1106">
        <v>1</v>
      </c>
      <c r="F1106" t="str">
        <f>VLOOKUP($C1106,VLOOKUP_spp!$A$2:$D$103,4,1)</f>
        <v>Coleoptera</v>
      </c>
      <c r="G1106" t="str">
        <f>VLOOKUP($F1106,VLOOKUP_spp!$A$2:$E$102,5,1)</f>
        <v>Coleoptera</v>
      </c>
      <c r="H1106" t="str">
        <f t="shared" si="17"/>
        <v>Sep</v>
      </c>
      <c r="I1106">
        <v>1</v>
      </c>
    </row>
    <row r="1107" spans="1:9" x14ac:dyDescent="0.35">
      <c r="A1107">
        <v>1106</v>
      </c>
      <c r="B1107" s="2">
        <v>44095</v>
      </c>
      <c r="C1107" t="s">
        <v>7</v>
      </c>
      <c r="D1107" t="s">
        <v>173</v>
      </c>
      <c r="E1107">
        <v>1</v>
      </c>
      <c r="F1107" t="str">
        <f>VLOOKUP($C1107,VLOOKUP_spp!$A$2:$D$103,4,1)</f>
        <v>Coleoptera</v>
      </c>
      <c r="G1107" t="str">
        <f>VLOOKUP($F1107,VLOOKUP_spp!$A$2:$E$102,5,1)</f>
        <v>Coleoptera</v>
      </c>
      <c r="H1107" t="str">
        <f t="shared" si="17"/>
        <v>Sep</v>
      </c>
      <c r="I1107">
        <v>1</v>
      </c>
    </row>
    <row r="1108" spans="1:9" x14ac:dyDescent="0.35">
      <c r="A1108">
        <v>1107</v>
      </c>
      <c r="B1108" s="2">
        <v>44095</v>
      </c>
      <c r="C1108" t="s">
        <v>7</v>
      </c>
      <c r="D1108" t="s">
        <v>175</v>
      </c>
      <c r="E1108">
        <v>1</v>
      </c>
      <c r="F1108" t="str">
        <f>VLOOKUP($C1108,VLOOKUP_spp!$A$2:$D$103,4,1)</f>
        <v>Coleoptera</v>
      </c>
      <c r="G1108" t="str">
        <f>VLOOKUP($F1108,VLOOKUP_spp!$A$2:$E$102,5,1)</f>
        <v>Coleoptera</v>
      </c>
      <c r="H1108" t="str">
        <f t="shared" si="17"/>
        <v>Sep</v>
      </c>
      <c r="I1108">
        <v>1</v>
      </c>
    </row>
    <row r="1109" spans="1:9" x14ac:dyDescent="0.35">
      <c r="A1109">
        <v>1108</v>
      </c>
      <c r="B1109" s="2">
        <v>44095</v>
      </c>
      <c r="C1109" t="s">
        <v>6</v>
      </c>
      <c r="D1109" t="s">
        <v>171</v>
      </c>
      <c r="E1109">
        <v>2</v>
      </c>
      <c r="F1109" t="str">
        <f>VLOOKUP($C1109,VLOOKUP_spp!$A$2:$D$103,4,1)</f>
        <v>Diptera</v>
      </c>
      <c r="G1109" t="str">
        <f>VLOOKUP($F1109,VLOOKUP_spp!$A$2:$E$102,5,1)</f>
        <v>Diptera</v>
      </c>
      <c r="H1109" t="str">
        <f t="shared" si="17"/>
        <v>Sep</v>
      </c>
      <c r="I1109">
        <v>1</v>
      </c>
    </row>
    <row r="1110" spans="1:9" x14ac:dyDescent="0.35">
      <c r="A1110">
        <v>1109</v>
      </c>
      <c r="B1110" s="2">
        <v>44095</v>
      </c>
      <c r="C1110" t="s">
        <v>6</v>
      </c>
      <c r="D1110" t="s">
        <v>158</v>
      </c>
      <c r="E1110">
        <v>4</v>
      </c>
      <c r="F1110" t="str">
        <f>VLOOKUP($C1110,VLOOKUP_spp!$A$2:$D$103,4,1)</f>
        <v>Diptera</v>
      </c>
      <c r="G1110" t="str">
        <f>VLOOKUP($F1110,VLOOKUP_spp!$A$2:$E$102,5,1)</f>
        <v>Diptera</v>
      </c>
      <c r="H1110" t="str">
        <f t="shared" si="17"/>
        <v>Sep</v>
      </c>
      <c r="I1110">
        <v>1</v>
      </c>
    </row>
    <row r="1111" spans="1:9" x14ac:dyDescent="0.35">
      <c r="A1111">
        <v>1110</v>
      </c>
      <c r="B1111" s="2">
        <v>44095</v>
      </c>
      <c r="C1111" t="s">
        <v>6</v>
      </c>
      <c r="D1111" t="s">
        <v>173</v>
      </c>
      <c r="E1111">
        <v>1</v>
      </c>
      <c r="F1111" t="str">
        <f>VLOOKUP($C1111,VLOOKUP_spp!$A$2:$D$103,4,1)</f>
        <v>Diptera</v>
      </c>
      <c r="G1111" t="str">
        <f>VLOOKUP($F1111,VLOOKUP_spp!$A$2:$E$102,5,1)</f>
        <v>Diptera</v>
      </c>
      <c r="H1111" t="str">
        <f t="shared" si="17"/>
        <v>Sep</v>
      </c>
      <c r="I1111">
        <v>1</v>
      </c>
    </row>
    <row r="1112" spans="1:9" x14ac:dyDescent="0.35">
      <c r="A1112">
        <v>1111</v>
      </c>
      <c r="B1112" s="2">
        <v>44095</v>
      </c>
      <c r="C1112" t="s">
        <v>6</v>
      </c>
      <c r="D1112" t="s">
        <v>175</v>
      </c>
      <c r="E1112">
        <v>1</v>
      </c>
      <c r="F1112" t="str">
        <f>VLOOKUP($C1112,VLOOKUP_spp!$A$2:$D$103,4,1)</f>
        <v>Diptera</v>
      </c>
      <c r="G1112" t="str">
        <f>VLOOKUP($F1112,VLOOKUP_spp!$A$2:$E$102,5,1)</f>
        <v>Diptera</v>
      </c>
      <c r="H1112" t="str">
        <f t="shared" si="17"/>
        <v>Sep</v>
      </c>
      <c r="I1112">
        <v>1</v>
      </c>
    </row>
    <row r="1113" spans="1:9" x14ac:dyDescent="0.35">
      <c r="A1113">
        <v>1112</v>
      </c>
      <c r="B1113" s="2">
        <v>44095</v>
      </c>
      <c r="C1113" t="s">
        <v>6</v>
      </c>
      <c r="D1113" t="s">
        <v>176</v>
      </c>
      <c r="E1113">
        <v>1</v>
      </c>
      <c r="F1113" t="str">
        <f>VLOOKUP($C1113,VLOOKUP_spp!$A$2:$D$103,4,1)</f>
        <v>Diptera</v>
      </c>
      <c r="G1113" t="str">
        <f>VLOOKUP($F1113,VLOOKUP_spp!$A$2:$E$102,5,1)</f>
        <v>Diptera</v>
      </c>
      <c r="H1113" t="str">
        <f t="shared" si="17"/>
        <v>Sep</v>
      </c>
      <c r="I1113">
        <v>1</v>
      </c>
    </row>
    <row r="1114" spans="1:9" x14ac:dyDescent="0.35">
      <c r="A1114">
        <v>1113</v>
      </c>
      <c r="B1114" s="2">
        <v>44095</v>
      </c>
      <c r="C1114" t="s">
        <v>96</v>
      </c>
      <c r="D1114" t="s">
        <v>176</v>
      </c>
      <c r="E1114">
        <v>1</v>
      </c>
      <c r="F1114" t="str">
        <f>VLOOKUP($C1114,VLOOKUP_spp!$A$2:$D$103,4,1)</f>
        <v>Habropoda</v>
      </c>
      <c r="G1114" t="str">
        <f>VLOOKUP($F1114,VLOOKUP_spp!$A$2:$E$102,5,1)</f>
        <v>Hymenoptera</v>
      </c>
      <c r="H1114" t="str">
        <f t="shared" si="17"/>
        <v>Sep</v>
      </c>
      <c r="I1114">
        <v>1</v>
      </c>
    </row>
    <row r="1115" spans="1:9" x14ac:dyDescent="0.35">
      <c r="A1115">
        <v>1114</v>
      </c>
      <c r="B1115" s="2">
        <v>44095</v>
      </c>
      <c r="C1115" t="s">
        <v>98</v>
      </c>
      <c r="D1115" t="s">
        <v>157</v>
      </c>
      <c r="E1115">
        <v>1</v>
      </c>
      <c r="F1115" t="str">
        <f>VLOOKUP($C1115,VLOOKUP_spp!$A$2:$D$103,4,1)</f>
        <v>Halictus_ligatus</v>
      </c>
      <c r="G1115" t="str">
        <f>VLOOKUP($F1115,VLOOKUP_spp!$A$2:$E$102,5,1)</f>
        <v>Hymenoptera</v>
      </c>
      <c r="H1115" t="str">
        <f t="shared" si="17"/>
        <v>Sep</v>
      </c>
      <c r="I1115">
        <v>1</v>
      </c>
    </row>
    <row r="1116" spans="1:9" x14ac:dyDescent="0.35">
      <c r="A1116">
        <v>1115</v>
      </c>
      <c r="B1116" s="2">
        <v>44095</v>
      </c>
      <c r="C1116" t="s">
        <v>101</v>
      </c>
      <c r="D1116" t="s">
        <v>158</v>
      </c>
      <c r="E1116">
        <v>1</v>
      </c>
      <c r="F1116" t="str">
        <f>VLOOKUP($C1116,VLOOKUP_spp!$A$2:$D$103,4,1)</f>
        <v>Halictus_tripartitus</v>
      </c>
      <c r="G1116" t="str">
        <f>VLOOKUP($F1116,VLOOKUP_spp!$A$2:$E$102,5,1)</f>
        <v>Hymenoptera</v>
      </c>
      <c r="H1116" t="str">
        <f t="shared" si="17"/>
        <v>Sep</v>
      </c>
      <c r="I1116">
        <v>1</v>
      </c>
    </row>
    <row r="1117" spans="1:9" x14ac:dyDescent="0.35">
      <c r="A1117">
        <v>1116</v>
      </c>
      <c r="B1117" s="2">
        <v>44095</v>
      </c>
      <c r="C1117" t="s">
        <v>102</v>
      </c>
      <c r="D1117" t="s">
        <v>158</v>
      </c>
      <c r="E1117">
        <v>1</v>
      </c>
      <c r="F1117" t="str">
        <f>VLOOKUP($C1117,VLOOKUP_spp!$A$2:$D$103,4,1)</f>
        <v>Heriades</v>
      </c>
      <c r="G1117" t="str">
        <f>VLOOKUP($F1117,VLOOKUP_spp!$A$2:$E$102,5,1)</f>
        <v>Hymenoptera</v>
      </c>
      <c r="H1117" t="str">
        <f t="shared" si="17"/>
        <v>Sep</v>
      </c>
      <c r="I1117">
        <v>1</v>
      </c>
    </row>
    <row r="1118" spans="1:9" x14ac:dyDescent="0.35">
      <c r="A1118">
        <v>1117</v>
      </c>
      <c r="B1118" s="2">
        <v>44095</v>
      </c>
      <c r="C1118" t="s">
        <v>8</v>
      </c>
      <c r="D1118" t="s">
        <v>157</v>
      </c>
      <c r="E1118">
        <v>3</v>
      </c>
      <c r="F1118" t="str">
        <f>VLOOKUP($C1118,VLOOKUP_spp!$A$2:$D$103,4,1)</f>
        <v>Lepidoptera</v>
      </c>
      <c r="G1118" t="str">
        <f>VLOOKUP($F1118,VLOOKUP_spp!$A$2:$E$102,5,1)</f>
        <v>Lepidoptera</v>
      </c>
      <c r="H1118" t="str">
        <f t="shared" si="17"/>
        <v>Sep</v>
      </c>
      <c r="I1118">
        <v>1</v>
      </c>
    </row>
    <row r="1119" spans="1:9" x14ac:dyDescent="0.35">
      <c r="A1119">
        <v>1118</v>
      </c>
      <c r="B1119" s="2">
        <v>44095</v>
      </c>
      <c r="C1119" t="s">
        <v>8</v>
      </c>
      <c r="D1119" t="s">
        <v>173</v>
      </c>
      <c r="E1119">
        <v>1</v>
      </c>
      <c r="F1119" t="str">
        <f>VLOOKUP($C1119,VLOOKUP_spp!$A$2:$D$103,4,1)</f>
        <v>Lepidoptera</v>
      </c>
      <c r="G1119" t="str">
        <f>VLOOKUP($F1119,VLOOKUP_spp!$A$2:$E$102,5,1)</f>
        <v>Lepidoptera</v>
      </c>
      <c r="H1119" t="str">
        <f t="shared" si="17"/>
        <v>Sep</v>
      </c>
      <c r="I1119">
        <v>1</v>
      </c>
    </row>
    <row r="1120" spans="1:9" x14ac:dyDescent="0.35">
      <c r="A1120">
        <v>1119</v>
      </c>
      <c r="B1120" s="2">
        <v>44095</v>
      </c>
      <c r="C1120" t="s">
        <v>111</v>
      </c>
      <c r="D1120" t="s">
        <v>157</v>
      </c>
      <c r="E1120">
        <v>1</v>
      </c>
      <c r="F1120">
        <f>VLOOKUP($C1120,VLOOKUP_spp!$A$2:$D$103,4,1)</f>
        <v>0</v>
      </c>
      <c r="G1120" t="e">
        <f>VLOOKUP($F1120,VLOOKUP_spp!$A$2:$E$102,5,1)</f>
        <v>#N/A</v>
      </c>
      <c r="H1120" t="str">
        <f t="shared" si="17"/>
        <v>Sep</v>
      </c>
      <c r="I1120">
        <v>1</v>
      </c>
    </row>
    <row r="1121" spans="1:9" x14ac:dyDescent="0.35">
      <c r="A1121">
        <v>1120</v>
      </c>
      <c r="B1121" s="2">
        <v>44095</v>
      </c>
      <c r="C1121" t="s">
        <v>126</v>
      </c>
      <c r="D1121" t="s">
        <v>171</v>
      </c>
      <c r="E1121">
        <v>1</v>
      </c>
      <c r="F1121" t="str">
        <f>VLOOKUP($C1121,VLOOKUP_spp!$A$2:$D$103,4,1)</f>
        <v>Syrphidae</v>
      </c>
      <c r="G1121" t="str">
        <f>VLOOKUP($F1121,VLOOKUP_spp!$A$2:$E$102,5,1)</f>
        <v>Diptera</v>
      </c>
      <c r="H1121" t="str">
        <f t="shared" si="17"/>
        <v>Sep</v>
      </c>
      <c r="I1121">
        <v>1</v>
      </c>
    </row>
    <row r="1122" spans="1:9" x14ac:dyDescent="0.35">
      <c r="A1122">
        <v>1121</v>
      </c>
      <c r="B1122" s="2">
        <v>44095</v>
      </c>
      <c r="C1122" t="s">
        <v>126</v>
      </c>
      <c r="D1122" t="s">
        <v>169</v>
      </c>
      <c r="E1122">
        <v>1</v>
      </c>
      <c r="F1122" t="str">
        <f>VLOOKUP($C1122,VLOOKUP_spp!$A$2:$D$103,4,1)</f>
        <v>Syrphidae</v>
      </c>
      <c r="G1122" t="str">
        <f>VLOOKUP($F1122,VLOOKUP_spp!$A$2:$E$102,5,1)</f>
        <v>Diptera</v>
      </c>
      <c r="H1122" t="str">
        <f t="shared" si="17"/>
        <v>Sep</v>
      </c>
      <c r="I1122">
        <v>1</v>
      </c>
    </row>
    <row r="1123" spans="1:9" x14ac:dyDescent="0.35">
      <c r="A1123">
        <v>1122</v>
      </c>
      <c r="B1123" s="2">
        <v>44095</v>
      </c>
      <c r="C1123" t="s">
        <v>126</v>
      </c>
      <c r="D1123" t="s">
        <v>158</v>
      </c>
      <c r="E1123">
        <v>2</v>
      </c>
      <c r="F1123" t="str">
        <f>VLOOKUP($C1123,VLOOKUP_spp!$A$2:$D$103,4,1)</f>
        <v>Syrphidae</v>
      </c>
      <c r="G1123" t="str">
        <f>VLOOKUP($F1123,VLOOKUP_spp!$A$2:$E$102,5,1)</f>
        <v>Diptera</v>
      </c>
      <c r="H1123" t="str">
        <f t="shared" si="17"/>
        <v>Sep</v>
      </c>
      <c r="I1123">
        <v>1</v>
      </c>
    </row>
    <row r="1124" spans="1:9" x14ac:dyDescent="0.35">
      <c r="A1124">
        <v>1123</v>
      </c>
      <c r="B1124" s="2">
        <v>44095</v>
      </c>
      <c r="C1124" t="s">
        <v>126</v>
      </c>
      <c r="D1124" t="s">
        <v>173</v>
      </c>
      <c r="E1124">
        <v>2</v>
      </c>
      <c r="F1124" t="str">
        <f>VLOOKUP($C1124,VLOOKUP_spp!$A$2:$D$103,4,1)</f>
        <v>Syrphidae</v>
      </c>
      <c r="G1124" t="str">
        <f>VLOOKUP($F1124,VLOOKUP_spp!$A$2:$E$102,5,1)</f>
        <v>Diptera</v>
      </c>
      <c r="H1124" t="str">
        <f t="shared" si="17"/>
        <v>Sep</v>
      </c>
      <c r="I1124">
        <v>1</v>
      </c>
    </row>
    <row r="1125" spans="1:9" x14ac:dyDescent="0.35">
      <c r="A1125">
        <v>1124</v>
      </c>
      <c r="B1125" s="2">
        <v>44095</v>
      </c>
      <c r="C1125" t="s">
        <v>126</v>
      </c>
      <c r="D1125" t="s">
        <v>150</v>
      </c>
      <c r="E1125">
        <v>1</v>
      </c>
      <c r="F1125" t="str">
        <f>VLOOKUP($C1125,VLOOKUP_spp!$A$2:$D$103,4,1)</f>
        <v>Syrphidae</v>
      </c>
      <c r="G1125" t="str">
        <f>VLOOKUP($F1125,VLOOKUP_spp!$A$2:$E$102,5,1)</f>
        <v>Diptera</v>
      </c>
      <c r="H1125" t="str">
        <f t="shared" si="17"/>
        <v>Sep</v>
      </c>
      <c r="I1125">
        <v>1</v>
      </c>
    </row>
    <row r="1126" spans="1:9" x14ac:dyDescent="0.35">
      <c r="A1126">
        <v>1125</v>
      </c>
      <c r="B1126" s="2">
        <v>44095</v>
      </c>
      <c r="C1126" t="s">
        <v>126</v>
      </c>
      <c r="D1126" t="s">
        <v>175</v>
      </c>
      <c r="E1126">
        <v>1</v>
      </c>
      <c r="F1126" t="str">
        <f>VLOOKUP($C1126,VLOOKUP_spp!$A$2:$D$103,4,1)</f>
        <v>Syrphidae</v>
      </c>
      <c r="G1126" t="str">
        <f>VLOOKUP($F1126,VLOOKUP_spp!$A$2:$E$102,5,1)</f>
        <v>Diptera</v>
      </c>
      <c r="H1126" t="str">
        <f t="shared" si="17"/>
        <v>Sep</v>
      </c>
      <c r="I1126">
        <v>1</v>
      </c>
    </row>
    <row r="1127" spans="1:9" x14ac:dyDescent="0.35">
      <c r="A1127">
        <v>1126</v>
      </c>
      <c r="B1127" s="2">
        <v>44095</v>
      </c>
      <c r="C1127" t="s">
        <v>126</v>
      </c>
      <c r="D1127" t="s">
        <v>176</v>
      </c>
      <c r="E1127">
        <v>1</v>
      </c>
      <c r="F1127" t="str">
        <f>VLOOKUP($C1127,VLOOKUP_spp!$A$2:$D$103,4,1)</f>
        <v>Syrphidae</v>
      </c>
      <c r="G1127" t="str">
        <f>VLOOKUP($F1127,VLOOKUP_spp!$A$2:$E$102,5,1)</f>
        <v>Diptera</v>
      </c>
      <c r="H1127" t="str">
        <f t="shared" si="17"/>
        <v>Sep</v>
      </c>
      <c r="I1127">
        <v>1</v>
      </c>
    </row>
    <row r="1128" spans="1:9" x14ac:dyDescent="0.35">
      <c r="A1128">
        <v>1127</v>
      </c>
      <c r="B1128" s="2">
        <v>44095</v>
      </c>
      <c r="C1128" t="s">
        <v>128</v>
      </c>
      <c r="D1128" t="s">
        <v>157</v>
      </c>
      <c r="E1128">
        <v>2</v>
      </c>
      <c r="F1128" t="str">
        <f>VLOOKUP($C1128,VLOOKUP_spp!$A$2:$D$103,4,1)</f>
        <v>Wasp</v>
      </c>
      <c r="G1128" t="str">
        <f>VLOOKUP($F1128,VLOOKUP_spp!$A$2:$E$102,5,1)</f>
        <v>Hymenoptera</v>
      </c>
      <c r="H1128" t="str">
        <f t="shared" si="17"/>
        <v>Sep</v>
      </c>
      <c r="I1128">
        <v>1</v>
      </c>
    </row>
    <row r="1129" spans="1:9" x14ac:dyDescent="0.35">
      <c r="A1129">
        <v>1128</v>
      </c>
      <c r="B1129" s="2">
        <v>44095</v>
      </c>
      <c r="C1129" t="s">
        <v>128</v>
      </c>
      <c r="D1129" t="s">
        <v>166</v>
      </c>
      <c r="E1129">
        <v>1</v>
      </c>
      <c r="F1129" t="str">
        <f>VLOOKUP($C1129,VLOOKUP_spp!$A$2:$D$103,4,1)</f>
        <v>Wasp</v>
      </c>
      <c r="G1129" t="str">
        <f>VLOOKUP($F1129,VLOOKUP_spp!$A$2:$E$102,5,1)</f>
        <v>Hymenoptera</v>
      </c>
      <c r="H1129" t="str">
        <f t="shared" si="17"/>
        <v>Sep</v>
      </c>
      <c r="I1129">
        <v>1</v>
      </c>
    </row>
    <row r="1130" spans="1:9" x14ac:dyDescent="0.35">
      <c r="A1130">
        <v>1129</v>
      </c>
      <c r="B1130" s="2">
        <v>44095</v>
      </c>
      <c r="C1130" t="s">
        <v>128</v>
      </c>
      <c r="D1130" t="s">
        <v>173</v>
      </c>
      <c r="E1130">
        <v>7</v>
      </c>
      <c r="F1130" t="str">
        <f>VLOOKUP($C1130,VLOOKUP_spp!$A$2:$D$103,4,1)</f>
        <v>Wasp</v>
      </c>
      <c r="G1130" t="str">
        <f>VLOOKUP($F1130,VLOOKUP_spp!$A$2:$E$102,5,1)</f>
        <v>Hymenoptera</v>
      </c>
      <c r="H1130" t="str">
        <f t="shared" si="17"/>
        <v>Sep</v>
      </c>
      <c r="I1130">
        <v>1</v>
      </c>
    </row>
    <row r="1131" spans="1:9" x14ac:dyDescent="0.35">
      <c r="A1131">
        <v>1130</v>
      </c>
      <c r="B1131" s="2">
        <v>44095</v>
      </c>
      <c r="C1131" t="s">
        <v>128</v>
      </c>
      <c r="D1131" t="s">
        <v>150</v>
      </c>
      <c r="E1131">
        <v>1</v>
      </c>
      <c r="F1131" t="str">
        <f>VLOOKUP($C1131,VLOOKUP_spp!$A$2:$D$103,4,1)</f>
        <v>Wasp</v>
      </c>
      <c r="G1131" t="str">
        <f>VLOOKUP($F1131,VLOOKUP_spp!$A$2:$E$102,5,1)</f>
        <v>Hymenoptera</v>
      </c>
      <c r="H1131" t="str">
        <f t="shared" si="17"/>
        <v>Sep</v>
      </c>
      <c r="I1131">
        <v>1</v>
      </c>
    </row>
    <row r="1132" spans="1:9" x14ac:dyDescent="0.35">
      <c r="A1132">
        <v>1131</v>
      </c>
      <c r="B1132" s="2">
        <v>44095</v>
      </c>
      <c r="C1132" t="s">
        <v>128</v>
      </c>
      <c r="D1132" t="s">
        <v>175</v>
      </c>
      <c r="E1132">
        <v>2</v>
      </c>
      <c r="F1132" t="str">
        <f>VLOOKUP($C1132,VLOOKUP_spp!$A$2:$D$103,4,1)</f>
        <v>Wasp</v>
      </c>
      <c r="G1132" t="str">
        <f>VLOOKUP($F1132,VLOOKUP_spp!$A$2:$E$102,5,1)</f>
        <v>Hymenoptera</v>
      </c>
      <c r="H1132" t="str">
        <f t="shared" si="17"/>
        <v>Sep</v>
      </c>
      <c r="I1132">
        <v>1</v>
      </c>
    </row>
    <row r="1133" spans="1:9" x14ac:dyDescent="0.35">
      <c r="A1133">
        <v>1132</v>
      </c>
      <c r="B1133" s="2">
        <v>44095</v>
      </c>
      <c r="C1133" t="s">
        <v>128</v>
      </c>
      <c r="D1133" t="s">
        <v>147</v>
      </c>
      <c r="E1133">
        <v>3</v>
      </c>
      <c r="F1133" t="str">
        <f>VLOOKUP($C1133,VLOOKUP_spp!$A$2:$D$103,4,1)</f>
        <v>Wasp</v>
      </c>
      <c r="G1133" t="str">
        <f>VLOOKUP($F1133,VLOOKUP_spp!$A$2:$E$102,5,1)</f>
        <v>Hymenoptera</v>
      </c>
      <c r="H1133" t="str">
        <f t="shared" si="17"/>
        <v>Sep</v>
      </c>
      <c r="I1133">
        <v>1</v>
      </c>
    </row>
    <row r="1134" spans="1:9" x14ac:dyDescent="0.35">
      <c r="A1134">
        <v>1133</v>
      </c>
      <c r="B1134" s="2">
        <v>44095</v>
      </c>
      <c r="C1134" t="s">
        <v>136</v>
      </c>
      <c r="D1134" t="s">
        <v>157</v>
      </c>
      <c r="E1134">
        <v>1</v>
      </c>
      <c r="F1134" t="str">
        <f>VLOOKUP($C1134,VLOOKUP_spp!$A$2:$D$103,4,1)</f>
        <v>Xylocopa</v>
      </c>
      <c r="G1134" t="str">
        <f>VLOOKUP($F1134,VLOOKUP_spp!$A$2:$E$102,5,1)</f>
        <v>Hymenoptera</v>
      </c>
      <c r="H1134" t="str">
        <f t="shared" si="17"/>
        <v>Sep</v>
      </c>
      <c r="I1134">
        <v>1</v>
      </c>
    </row>
    <row r="1135" spans="1:9" x14ac:dyDescent="0.35">
      <c r="A1135">
        <v>1134</v>
      </c>
      <c r="B1135" s="2">
        <v>44097</v>
      </c>
      <c r="C1135" t="s">
        <v>50</v>
      </c>
      <c r="D1135" t="s">
        <v>171</v>
      </c>
      <c r="E1135">
        <v>1</v>
      </c>
      <c r="F1135" t="str">
        <f>VLOOKUP($C1135,VLOOKUP_spp!$A$2:$D$103,4,1)</f>
        <v>Apis_mellifera</v>
      </c>
      <c r="G1135" t="str">
        <f>VLOOKUP($F1135,VLOOKUP_spp!$A$2:$E$102,5,1)</f>
        <v>Hymenoptera</v>
      </c>
      <c r="H1135" t="str">
        <f t="shared" si="17"/>
        <v>Sep</v>
      </c>
      <c r="I1135">
        <v>1</v>
      </c>
    </row>
    <row r="1136" spans="1:9" x14ac:dyDescent="0.35">
      <c r="A1136">
        <v>1135</v>
      </c>
      <c r="B1136" s="2">
        <v>44097</v>
      </c>
      <c r="C1136" t="s">
        <v>50</v>
      </c>
      <c r="D1136" t="s">
        <v>169</v>
      </c>
      <c r="E1136">
        <v>6</v>
      </c>
      <c r="F1136" t="str">
        <f>VLOOKUP($C1136,VLOOKUP_spp!$A$2:$D$103,4,1)</f>
        <v>Apis_mellifera</v>
      </c>
      <c r="G1136" t="str">
        <f>VLOOKUP($F1136,VLOOKUP_spp!$A$2:$E$102,5,1)</f>
        <v>Hymenoptera</v>
      </c>
      <c r="H1136" t="str">
        <f t="shared" si="17"/>
        <v>Sep</v>
      </c>
      <c r="I1136">
        <v>1</v>
      </c>
    </row>
    <row r="1137" spans="1:9" x14ac:dyDescent="0.35">
      <c r="A1137">
        <v>1136</v>
      </c>
      <c r="B1137" s="2">
        <v>44097</v>
      </c>
      <c r="C1137" t="s">
        <v>50</v>
      </c>
      <c r="D1137" t="s">
        <v>157</v>
      </c>
      <c r="E1137">
        <v>2</v>
      </c>
      <c r="F1137" t="str">
        <f>VLOOKUP($C1137,VLOOKUP_spp!$A$2:$D$103,4,1)</f>
        <v>Apis_mellifera</v>
      </c>
      <c r="G1137" t="str">
        <f>VLOOKUP($F1137,VLOOKUP_spp!$A$2:$E$102,5,1)</f>
        <v>Hymenoptera</v>
      </c>
      <c r="H1137" t="str">
        <f t="shared" si="17"/>
        <v>Sep</v>
      </c>
      <c r="I1137">
        <v>1</v>
      </c>
    </row>
    <row r="1138" spans="1:9" x14ac:dyDescent="0.35">
      <c r="A1138">
        <v>1137</v>
      </c>
      <c r="B1138" s="2">
        <v>44097</v>
      </c>
      <c r="C1138" t="s">
        <v>50</v>
      </c>
      <c r="D1138" t="s">
        <v>153</v>
      </c>
      <c r="E1138">
        <v>2</v>
      </c>
      <c r="F1138" t="str">
        <f>VLOOKUP($C1138,VLOOKUP_spp!$A$2:$D$103,4,1)</f>
        <v>Apis_mellifera</v>
      </c>
      <c r="G1138" t="str">
        <f>VLOOKUP($F1138,VLOOKUP_spp!$A$2:$E$102,5,1)</f>
        <v>Hymenoptera</v>
      </c>
      <c r="H1138" t="str">
        <f t="shared" si="17"/>
        <v>Sep</v>
      </c>
      <c r="I1138">
        <v>1</v>
      </c>
    </row>
    <row r="1139" spans="1:9" x14ac:dyDescent="0.35">
      <c r="A1139">
        <v>1138</v>
      </c>
      <c r="B1139" s="2">
        <v>44097</v>
      </c>
      <c r="C1139" t="s">
        <v>50</v>
      </c>
      <c r="D1139" t="s">
        <v>158</v>
      </c>
      <c r="E1139">
        <v>7</v>
      </c>
      <c r="F1139" t="str">
        <f>VLOOKUP($C1139,VLOOKUP_spp!$A$2:$D$103,4,1)</f>
        <v>Apis_mellifera</v>
      </c>
      <c r="G1139" t="str">
        <f>VLOOKUP($F1139,VLOOKUP_spp!$A$2:$E$102,5,1)</f>
        <v>Hymenoptera</v>
      </c>
      <c r="H1139" t="str">
        <f t="shared" si="17"/>
        <v>Sep</v>
      </c>
      <c r="I1139">
        <v>1</v>
      </c>
    </row>
    <row r="1140" spans="1:9" x14ac:dyDescent="0.35">
      <c r="A1140">
        <v>1139</v>
      </c>
      <c r="B1140" s="2">
        <v>44097</v>
      </c>
      <c r="C1140" t="s">
        <v>50</v>
      </c>
      <c r="D1140" t="s">
        <v>166</v>
      </c>
      <c r="E1140">
        <v>1</v>
      </c>
      <c r="F1140" t="str">
        <f>VLOOKUP($C1140,VLOOKUP_spp!$A$2:$D$103,4,1)</f>
        <v>Apis_mellifera</v>
      </c>
      <c r="G1140" t="str">
        <f>VLOOKUP($F1140,VLOOKUP_spp!$A$2:$E$102,5,1)</f>
        <v>Hymenoptera</v>
      </c>
      <c r="H1140" t="str">
        <f t="shared" si="17"/>
        <v>Sep</v>
      </c>
      <c r="I1140">
        <v>1</v>
      </c>
    </row>
    <row r="1141" spans="1:9" x14ac:dyDescent="0.35">
      <c r="A1141">
        <v>1140</v>
      </c>
      <c r="B1141" s="2">
        <v>44097</v>
      </c>
      <c r="C1141" t="s">
        <v>50</v>
      </c>
      <c r="D1141" t="s">
        <v>173</v>
      </c>
      <c r="E1141">
        <v>4</v>
      </c>
      <c r="F1141" t="str">
        <f>VLOOKUP($C1141,VLOOKUP_spp!$A$2:$D$103,4,1)</f>
        <v>Apis_mellifera</v>
      </c>
      <c r="G1141" t="str">
        <f>VLOOKUP($F1141,VLOOKUP_spp!$A$2:$E$102,5,1)</f>
        <v>Hymenoptera</v>
      </c>
      <c r="H1141" t="str">
        <f t="shared" si="17"/>
        <v>Sep</v>
      </c>
      <c r="I1141">
        <v>1</v>
      </c>
    </row>
    <row r="1142" spans="1:9" x14ac:dyDescent="0.35">
      <c r="A1142">
        <v>1141</v>
      </c>
      <c r="B1142" s="2">
        <v>44097</v>
      </c>
      <c r="C1142" t="s">
        <v>50</v>
      </c>
      <c r="D1142" t="s">
        <v>172</v>
      </c>
      <c r="E1142">
        <v>3</v>
      </c>
      <c r="F1142" t="str">
        <f>VLOOKUP($C1142,VLOOKUP_spp!$A$2:$D$103,4,1)</f>
        <v>Apis_mellifera</v>
      </c>
      <c r="G1142" t="str">
        <f>VLOOKUP($F1142,VLOOKUP_spp!$A$2:$E$102,5,1)</f>
        <v>Hymenoptera</v>
      </c>
      <c r="H1142" t="str">
        <f t="shared" si="17"/>
        <v>Sep</v>
      </c>
      <c r="I1142">
        <v>1</v>
      </c>
    </row>
    <row r="1143" spans="1:9" x14ac:dyDescent="0.35">
      <c r="A1143">
        <v>1142</v>
      </c>
      <c r="B1143" s="2">
        <v>44097</v>
      </c>
      <c r="C1143" t="s">
        <v>50</v>
      </c>
      <c r="D1143" t="s">
        <v>162</v>
      </c>
      <c r="E1143">
        <v>2</v>
      </c>
      <c r="F1143" t="str">
        <f>VLOOKUP($C1143,VLOOKUP_spp!$A$2:$D$103,4,1)</f>
        <v>Apis_mellifera</v>
      </c>
      <c r="G1143" t="str">
        <f>VLOOKUP($F1143,VLOOKUP_spp!$A$2:$E$102,5,1)</f>
        <v>Hymenoptera</v>
      </c>
      <c r="H1143" t="str">
        <f t="shared" si="17"/>
        <v>Sep</v>
      </c>
      <c r="I1143">
        <v>1</v>
      </c>
    </row>
    <row r="1144" spans="1:9" x14ac:dyDescent="0.35">
      <c r="A1144">
        <v>1143</v>
      </c>
      <c r="B1144" s="2">
        <v>44097</v>
      </c>
      <c r="C1144" t="s">
        <v>50</v>
      </c>
      <c r="D1144" t="s">
        <v>175</v>
      </c>
      <c r="E1144">
        <v>3</v>
      </c>
      <c r="F1144" t="str">
        <f>VLOOKUP($C1144,VLOOKUP_spp!$A$2:$D$103,4,1)</f>
        <v>Apis_mellifera</v>
      </c>
      <c r="G1144" t="str">
        <f>VLOOKUP($F1144,VLOOKUP_spp!$A$2:$E$102,5,1)</f>
        <v>Hymenoptera</v>
      </c>
      <c r="H1144" t="str">
        <f t="shared" si="17"/>
        <v>Sep</v>
      </c>
      <c r="I1144">
        <v>1</v>
      </c>
    </row>
    <row r="1145" spans="1:9" x14ac:dyDescent="0.35">
      <c r="A1145">
        <v>1144</v>
      </c>
      <c r="B1145" s="2">
        <v>44097</v>
      </c>
      <c r="C1145" t="s">
        <v>50</v>
      </c>
      <c r="D1145" t="s">
        <v>147</v>
      </c>
      <c r="E1145">
        <v>6</v>
      </c>
      <c r="F1145" t="str">
        <f>VLOOKUP($C1145,VLOOKUP_spp!$A$2:$D$103,4,1)</f>
        <v>Apis_mellifera</v>
      </c>
      <c r="G1145" t="str">
        <f>VLOOKUP($F1145,VLOOKUP_spp!$A$2:$E$102,5,1)</f>
        <v>Hymenoptera</v>
      </c>
      <c r="H1145" t="str">
        <f t="shared" si="17"/>
        <v>Sep</v>
      </c>
      <c r="I1145">
        <v>1</v>
      </c>
    </row>
    <row r="1146" spans="1:9" x14ac:dyDescent="0.35">
      <c r="A1146">
        <v>1145</v>
      </c>
      <c r="B1146" s="2">
        <v>44097</v>
      </c>
      <c r="C1146" t="s">
        <v>51</v>
      </c>
      <c r="D1146" t="s">
        <v>158</v>
      </c>
      <c r="E1146">
        <v>2</v>
      </c>
      <c r="F1146" t="str">
        <f>VLOOKUP($C1146,VLOOKUP_spp!$A$2:$D$103,4,1)</f>
        <v>Augochlora</v>
      </c>
      <c r="G1146" t="str">
        <f>VLOOKUP($F1146,VLOOKUP_spp!$A$2:$E$102,5,1)</f>
        <v>Hymenoptera</v>
      </c>
      <c r="H1146" t="str">
        <f t="shared" si="17"/>
        <v>Sep</v>
      </c>
      <c r="I1146">
        <v>1</v>
      </c>
    </row>
    <row r="1147" spans="1:9" x14ac:dyDescent="0.35">
      <c r="A1147">
        <v>1146</v>
      </c>
      <c r="B1147" s="2">
        <v>44097</v>
      </c>
      <c r="C1147" t="s">
        <v>52</v>
      </c>
      <c r="D1147" t="s">
        <v>158</v>
      </c>
      <c r="E1147">
        <v>2</v>
      </c>
      <c r="F1147" t="str">
        <f>VLOOKUP($C1147,VLOOKUP_spp!$A$2:$D$103,4,1)</f>
        <v>Augochlorella</v>
      </c>
      <c r="G1147" t="str">
        <f>VLOOKUP($F1147,VLOOKUP_spp!$A$2:$E$102,5,1)</f>
        <v>Hymenoptera</v>
      </c>
      <c r="H1147" t="str">
        <f t="shared" si="17"/>
        <v>Sep</v>
      </c>
      <c r="I1147">
        <v>1</v>
      </c>
    </row>
    <row r="1148" spans="1:9" x14ac:dyDescent="0.35">
      <c r="A1148">
        <v>1147</v>
      </c>
      <c r="B1148" s="2">
        <v>44097</v>
      </c>
      <c r="C1148" t="s">
        <v>85</v>
      </c>
      <c r="D1148" t="s">
        <v>162</v>
      </c>
      <c r="E1148">
        <v>1</v>
      </c>
      <c r="F1148" t="str">
        <f>VLOOKUP($C1148,VLOOKUP_spp!$A$2:$D$103,4,1)</f>
        <v>Ceratina</v>
      </c>
      <c r="G1148" t="str">
        <f>VLOOKUP($F1148,VLOOKUP_spp!$A$2:$E$102,5,1)</f>
        <v>Hymenoptera</v>
      </c>
      <c r="H1148" t="str">
        <f t="shared" si="17"/>
        <v>Sep</v>
      </c>
      <c r="I1148">
        <v>1</v>
      </c>
    </row>
    <row r="1149" spans="1:9" x14ac:dyDescent="0.35">
      <c r="A1149">
        <v>1148</v>
      </c>
      <c r="B1149" s="2">
        <v>44097</v>
      </c>
      <c r="C1149" t="s">
        <v>7</v>
      </c>
      <c r="D1149" t="s">
        <v>169</v>
      </c>
      <c r="E1149">
        <v>2</v>
      </c>
      <c r="F1149" t="str">
        <f>VLOOKUP($C1149,VLOOKUP_spp!$A$2:$D$103,4,1)</f>
        <v>Coleoptera</v>
      </c>
      <c r="G1149" t="str">
        <f>VLOOKUP($F1149,VLOOKUP_spp!$A$2:$E$102,5,1)</f>
        <v>Coleoptera</v>
      </c>
      <c r="H1149" t="str">
        <f t="shared" si="17"/>
        <v>Sep</v>
      </c>
      <c r="I1149">
        <v>1</v>
      </c>
    </row>
    <row r="1150" spans="1:9" x14ac:dyDescent="0.35">
      <c r="A1150">
        <v>1149</v>
      </c>
      <c r="B1150" s="2">
        <v>44097</v>
      </c>
      <c r="C1150" t="s">
        <v>7</v>
      </c>
      <c r="D1150" t="s">
        <v>166</v>
      </c>
      <c r="E1150">
        <v>1</v>
      </c>
      <c r="F1150" t="str">
        <f>VLOOKUP($C1150,VLOOKUP_spp!$A$2:$D$103,4,1)</f>
        <v>Coleoptera</v>
      </c>
      <c r="G1150" t="str">
        <f>VLOOKUP($F1150,VLOOKUP_spp!$A$2:$E$102,5,1)</f>
        <v>Coleoptera</v>
      </c>
      <c r="H1150" t="str">
        <f t="shared" si="17"/>
        <v>Sep</v>
      </c>
      <c r="I1150">
        <v>1</v>
      </c>
    </row>
    <row r="1151" spans="1:9" x14ac:dyDescent="0.35">
      <c r="A1151">
        <v>1150</v>
      </c>
      <c r="B1151" s="2">
        <v>44097</v>
      </c>
      <c r="C1151" t="s">
        <v>7</v>
      </c>
      <c r="D1151" t="s">
        <v>147</v>
      </c>
      <c r="E1151">
        <v>1</v>
      </c>
      <c r="F1151" t="str">
        <f>VLOOKUP($C1151,VLOOKUP_spp!$A$2:$D$103,4,1)</f>
        <v>Coleoptera</v>
      </c>
      <c r="G1151" t="str">
        <f>VLOOKUP($F1151,VLOOKUP_spp!$A$2:$E$102,5,1)</f>
        <v>Coleoptera</v>
      </c>
      <c r="H1151" t="str">
        <f t="shared" si="17"/>
        <v>Sep</v>
      </c>
      <c r="I1151">
        <v>1</v>
      </c>
    </row>
    <row r="1152" spans="1:9" x14ac:dyDescent="0.35">
      <c r="A1152">
        <v>1151</v>
      </c>
      <c r="B1152" s="2">
        <v>44097</v>
      </c>
      <c r="C1152" t="s">
        <v>6</v>
      </c>
      <c r="D1152" t="s">
        <v>171</v>
      </c>
      <c r="E1152">
        <v>1</v>
      </c>
      <c r="F1152" t="str">
        <f>VLOOKUP($C1152,VLOOKUP_spp!$A$2:$D$103,4,1)</f>
        <v>Diptera</v>
      </c>
      <c r="G1152" t="str">
        <f>VLOOKUP($F1152,VLOOKUP_spp!$A$2:$E$102,5,1)</f>
        <v>Diptera</v>
      </c>
      <c r="H1152" t="str">
        <f t="shared" si="17"/>
        <v>Sep</v>
      </c>
      <c r="I1152">
        <v>1</v>
      </c>
    </row>
    <row r="1153" spans="1:9" x14ac:dyDescent="0.35">
      <c r="A1153">
        <v>1152</v>
      </c>
      <c r="B1153" s="2">
        <v>44097</v>
      </c>
      <c r="C1153" t="s">
        <v>6</v>
      </c>
      <c r="D1153" t="s">
        <v>169</v>
      </c>
      <c r="E1153">
        <v>3</v>
      </c>
      <c r="F1153" t="str">
        <f>VLOOKUP($C1153,VLOOKUP_spp!$A$2:$D$103,4,1)</f>
        <v>Diptera</v>
      </c>
      <c r="G1153" t="str">
        <f>VLOOKUP($F1153,VLOOKUP_spp!$A$2:$E$102,5,1)</f>
        <v>Diptera</v>
      </c>
      <c r="H1153" t="str">
        <f t="shared" si="17"/>
        <v>Sep</v>
      </c>
      <c r="I1153">
        <v>1</v>
      </c>
    </row>
    <row r="1154" spans="1:9" x14ac:dyDescent="0.35">
      <c r="A1154">
        <v>1153</v>
      </c>
      <c r="B1154" s="2">
        <v>44097</v>
      </c>
      <c r="C1154" t="s">
        <v>6</v>
      </c>
      <c r="D1154" t="s">
        <v>165</v>
      </c>
      <c r="E1154">
        <v>1</v>
      </c>
      <c r="F1154" t="str">
        <f>VLOOKUP($C1154,VLOOKUP_spp!$A$2:$D$103,4,1)</f>
        <v>Diptera</v>
      </c>
      <c r="G1154" t="str">
        <f>VLOOKUP($F1154,VLOOKUP_spp!$A$2:$E$102,5,1)</f>
        <v>Diptera</v>
      </c>
      <c r="H1154" t="str">
        <f t="shared" si="17"/>
        <v>Sep</v>
      </c>
      <c r="I1154">
        <v>1</v>
      </c>
    </row>
    <row r="1155" spans="1:9" x14ac:dyDescent="0.35">
      <c r="A1155">
        <v>1154</v>
      </c>
      <c r="B1155" s="2">
        <v>44097</v>
      </c>
      <c r="C1155" t="s">
        <v>6</v>
      </c>
      <c r="D1155" t="s">
        <v>158</v>
      </c>
      <c r="E1155">
        <v>1</v>
      </c>
      <c r="F1155" t="str">
        <f>VLOOKUP($C1155,VLOOKUP_spp!$A$2:$D$103,4,1)</f>
        <v>Diptera</v>
      </c>
      <c r="G1155" t="str">
        <f>VLOOKUP($F1155,VLOOKUP_spp!$A$2:$E$102,5,1)</f>
        <v>Diptera</v>
      </c>
      <c r="H1155" t="str">
        <f t="shared" ref="H1155:H1218" si="18">TEXT(B1155, "mmm")</f>
        <v>Sep</v>
      </c>
      <c r="I1155">
        <v>1</v>
      </c>
    </row>
    <row r="1156" spans="1:9" x14ac:dyDescent="0.35">
      <c r="A1156">
        <v>1155</v>
      </c>
      <c r="B1156" s="2">
        <v>44097</v>
      </c>
      <c r="C1156" t="s">
        <v>6</v>
      </c>
      <c r="D1156" t="s">
        <v>173</v>
      </c>
      <c r="E1156">
        <v>4</v>
      </c>
      <c r="F1156" t="str">
        <f>VLOOKUP($C1156,VLOOKUP_spp!$A$2:$D$103,4,1)</f>
        <v>Diptera</v>
      </c>
      <c r="G1156" t="str">
        <f>VLOOKUP($F1156,VLOOKUP_spp!$A$2:$E$102,5,1)</f>
        <v>Diptera</v>
      </c>
      <c r="H1156" t="str">
        <f t="shared" si="18"/>
        <v>Sep</v>
      </c>
      <c r="I1156">
        <v>1</v>
      </c>
    </row>
    <row r="1157" spans="1:9" x14ac:dyDescent="0.35">
      <c r="A1157">
        <v>1156</v>
      </c>
      <c r="B1157" s="2">
        <v>44097</v>
      </c>
      <c r="C1157" t="s">
        <v>6</v>
      </c>
      <c r="D1157" t="s">
        <v>162</v>
      </c>
      <c r="E1157">
        <v>2</v>
      </c>
      <c r="F1157" t="str">
        <f>VLOOKUP($C1157,VLOOKUP_spp!$A$2:$D$103,4,1)</f>
        <v>Diptera</v>
      </c>
      <c r="G1157" t="str">
        <f>VLOOKUP($F1157,VLOOKUP_spp!$A$2:$E$102,5,1)</f>
        <v>Diptera</v>
      </c>
      <c r="H1157" t="str">
        <f t="shared" si="18"/>
        <v>Sep</v>
      </c>
      <c r="I1157">
        <v>1</v>
      </c>
    </row>
    <row r="1158" spans="1:9" x14ac:dyDescent="0.35">
      <c r="A1158">
        <v>1157</v>
      </c>
      <c r="B1158" s="2">
        <v>44097</v>
      </c>
      <c r="C1158" t="s">
        <v>99</v>
      </c>
      <c r="D1158" t="s">
        <v>158</v>
      </c>
      <c r="E1158">
        <v>1</v>
      </c>
      <c r="F1158" t="str">
        <f>VLOOKUP($C1158,VLOOKUP_spp!$A$2:$D$103,4,1)</f>
        <v>Halictus_rubicundus</v>
      </c>
      <c r="G1158" t="str">
        <f>VLOOKUP($F1158,VLOOKUP_spp!$A$2:$E$102,5,1)</f>
        <v>Hymenoptera</v>
      </c>
      <c r="H1158" t="str">
        <f t="shared" si="18"/>
        <v>Sep</v>
      </c>
      <c r="I1158">
        <v>1</v>
      </c>
    </row>
    <row r="1159" spans="1:9" x14ac:dyDescent="0.35">
      <c r="A1159">
        <v>1158</v>
      </c>
      <c r="B1159" s="2">
        <v>44097</v>
      </c>
      <c r="C1159" t="s">
        <v>101</v>
      </c>
      <c r="D1159" t="s">
        <v>158</v>
      </c>
      <c r="E1159">
        <v>1</v>
      </c>
      <c r="F1159" t="str">
        <f>VLOOKUP($C1159,VLOOKUP_spp!$A$2:$D$103,4,1)</f>
        <v>Halictus_tripartitus</v>
      </c>
      <c r="G1159" t="str">
        <f>VLOOKUP($F1159,VLOOKUP_spp!$A$2:$E$102,5,1)</f>
        <v>Hymenoptera</v>
      </c>
      <c r="H1159" t="str">
        <f t="shared" si="18"/>
        <v>Sep</v>
      </c>
      <c r="I1159">
        <v>1</v>
      </c>
    </row>
    <row r="1160" spans="1:9" x14ac:dyDescent="0.35">
      <c r="A1160">
        <v>1159</v>
      </c>
      <c r="B1160" s="2">
        <v>44097</v>
      </c>
      <c r="C1160" t="s">
        <v>106</v>
      </c>
      <c r="D1160" t="s">
        <v>158</v>
      </c>
      <c r="E1160">
        <v>2</v>
      </c>
      <c r="F1160" t="str">
        <f>VLOOKUP($C1160,VLOOKUP_spp!$A$2:$D$103,4,1)</f>
        <v>Lasioglossum</v>
      </c>
      <c r="G1160" t="str">
        <f>VLOOKUP($F1160,VLOOKUP_spp!$A$2:$E$102,5,1)</f>
        <v>Hymenoptera</v>
      </c>
      <c r="H1160" t="str">
        <f t="shared" si="18"/>
        <v>Sep</v>
      </c>
      <c r="I1160">
        <v>1</v>
      </c>
    </row>
    <row r="1161" spans="1:9" x14ac:dyDescent="0.35">
      <c r="A1161">
        <v>1160</v>
      </c>
      <c r="B1161" s="2">
        <v>44097</v>
      </c>
      <c r="C1161" t="s">
        <v>106</v>
      </c>
      <c r="D1161" t="s">
        <v>172</v>
      </c>
      <c r="E1161">
        <v>1</v>
      </c>
      <c r="F1161" t="str">
        <f>VLOOKUP($C1161,VLOOKUP_spp!$A$2:$D$103,4,1)</f>
        <v>Lasioglossum</v>
      </c>
      <c r="G1161" t="str">
        <f>VLOOKUP($F1161,VLOOKUP_spp!$A$2:$E$102,5,1)</f>
        <v>Hymenoptera</v>
      </c>
      <c r="H1161" t="str">
        <f t="shared" si="18"/>
        <v>Sep</v>
      </c>
      <c r="I1161">
        <v>1</v>
      </c>
    </row>
    <row r="1162" spans="1:9" x14ac:dyDescent="0.35">
      <c r="A1162">
        <v>1161</v>
      </c>
      <c r="B1162" s="2">
        <v>44097</v>
      </c>
      <c r="C1162" t="s">
        <v>126</v>
      </c>
      <c r="D1162" t="s">
        <v>169</v>
      </c>
      <c r="E1162">
        <v>3</v>
      </c>
      <c r="F1162" t="str">
        <f>VLOOKUP($C1162,VLOOKUP_spp!$A$2:$D$103,4,1)</f>
        <v>Syrphidae</v>
      </c>
      <c r="G1162" t="str">
        <f>VLOOKUP($F1162,VLOOKUP_spp!$A$2:$E$102,5,1)</f>
        <v>Diptera</v>
      </c>
      <c r="H1162" t="str">
        <f t="shared" si="18"/>
        <v>Sep</v>
      </c>
      <c r="I1162">
        <v>1</v>
      </c>
    </row>
    <row r="1163" spans="1:9" x14ac:dyDescent="0.35">
      <c r="A1163">
        <v>1162</v>
      </c>
      <c r="B1163" s="2">
        <v>44097</v>
      </c>
      <c r="C1163" t="s">
        <v>126</v>
      </c>
      <c r="D1163" t="s">
        <v>158</v>
      </c>
      <c r="E1163">
        <v>1</v>
      </c>
      <c r="F1163" t="str">
        <f>VLOOKUP($C1163,VLOOKUP_spp!$A$2:$D$103,4,1)</f>
        <v>Syrphidae</v>
      </c>
      <c r="G1163" t="str">
        <f>VLOOKUP($F1163,VLOOKUP_spp!$A$2:$E$102,5,1)</f>
        <v>Diptera</v>
      </c>
      <c r="H1163" t="str">
        <f t="shared" si="18"/>
        <v>Sep</v>
      </c>
      <c r="I1163">
        <v>1</v>
      </c>
    </row>
    <row r="1164" spans="1:9" x14ac:dyDescent="0.35">
      <c r="A1164">
        <v>1163</v>
      </c>
      <c r="B1164" s="2">
        <v>44097</v>
      </c>
      <c r="C1164" t="s">
        <v>128</v>
      </c>
      <c r="D1164" t="s">
        <v>169</v>
      </c>
      <c r="E1164">
        <v>2</v>
      </c>
      <c r="F1164" t="str">
        <f>VLOOKUP($C1164,VLOOKUP_spp!$A$2:$D$103,4,1)</f>
        <v>Wasp</v>
      </c>
      <c r="G1164" t="str">
        <f>VLOOKUP($F1164,VLOOKUP_spp!$A$2:$E$102,5,1)</f>
        <v>Hymenoptera</v>
      </c>
      <c r="H1164" t="str">
        <f t="shared" si="18"/>
        <v>Sep</v>
      </c>
      <c r="I1164">
        <v>1</v>
      </c>
    </row>
    <row r="1165" spans="1:9" x14ac:dyDescent="0.35">
      <c r="A1165">
        <v>1164</v>
      </c>
      <c r="B1165" s="2">
        <v>44097</v>
      </c>
      <c r="C1165" t="s">
        <v>128</v>
      </c>
      <c r="D1165" t="s">
        <v>165</v>
      </c>
      <c r="E1165">
        <v>2</v>
      </c>
      <c r="F1165" t="str">
        <f>VLOOKUP($C1165,VLOOKUP_spp!$A$2:$D$103,4,1)</f>
        <v>Wasp</v>
      </c>
      <c r="G1165" t="str">
        <f>VLOOKUP($F1165,VLOOKUP_spp!$A$2:$E$102,5,1)</f>
        <v>Hymenoptera</v>
      </c>
      <c r="H1165" t="str">
        <f t="shared" si="18"/>
        <v>Sep</v>
      </c>
      <c r="I1165">
        <v>1</v>
      </c>
    </row>
    <row r="1166" spans="1:9" x14ac:dyDescent="0.35">
      <c r="A1166">
        <v>1165</v>
      </c>
      <c r="B1166" s="2">
        <v>44097</v>
      </c>
      <c r="C1166" t="s">
        <v>128</v>
      </c>
      <c r="D1166" t="s">
        <v>158</v>
      </c>
      <c r="E1166">
        <v>3</v>
      </c>
      <c r="F1166" t="str">
        <f>VLOOKUP($C1166,VLOOKUP_spp!$A$2:$D$103,4,1)</f>
        <v>Wasp</v>
      </c>
      <c r="G1166" t="str">
        <f>VLOOKUP($F1166,VLOOKUP_spp!$A$2:$E$102,5,1)</f>
        <v>Hymenoptera</v>
      </c>
      <c r="H1166" t="str">
        <f t="shared" si="18"/>
        <v>Sep</v>
      </c>
      <c r="I1166">
        <v>1</v>
      </c>
    </row>
    <row r="1167" spans="1:9" x14ac:dyDescent="0.35">
      <c r="A1167">
        <v>1166</v>
      </c>
      <c r="B1167" s="2">
        <v>44097</v>
      </c>
      <c r="C1167" t="s">
        <v>128</v>
      </c>
      <c r="D1167" t="s">
        <v>173</v>
      </c>
      <c r="E1167">
        <v>2</v>
      </c>
      <c r="F1167" t="str">
        <f>VLOOKUP($C1167,VLOOKUP_spp!$A$2:$D$103,4,1)</f>
        <v>Wasp</v>
      </c>
      <c r="G1167" t="str">
        <f>VLOOKUP($F1167,VLOOKUP_spp!$A$2:$E$102,5,1)</f>
        <v>Hymenoptera</v>
      </c>
      <c r="H1167" t="str">
        <f t="shared" si="18"/>
        <v>Sep</v>
      </c>
      <c r="I1167">
        <v>1</v>
      </c>
    </row>
    <row r="1168" spans="1:9" x14ac:dyDescent="0.35">
      <c r="A1168">
        <v>1167</v>
      </c>
      <c r="B1168" s="2">
        <v>44099</v>
      </c>
      <c r="C1168" t="s">
        <v>50</v>
      </c>
      <c r="D1168" t="s">
        <v>171</v>
      </c>
      <c r="E1168">
        <v>1</v>
      </c>
      <c r="F1168" t="str">
        <f>VLOOKUP($C1168,VLOOKUP_spp!$A$2:$D$103,4,1)</f>
        <v>Apis_mellifera</v>
      </c>
      <c r="G1168" t="str">
        <f>VLOOKUP($F1168,VLOOKUP_spp!$A$2:$E$102,5,1)</f>
        <v>Hymenoptera</v>
      </c>
      <c r="H1168" t="str">
        <f t="shared" si="18"/>
        <v>Sep</v>
      </c>
      <c r="I1168">
        <v>1</v>
      </c>
    </row>
    <row r="1169" spans="1:9" x14ac:dyDescent="0.35">
      <c r="A1169">
        <v>1168</v>
      </c>
      <c r="B1169" s="2">
        <v>44099</v>
      </c>
      <c r="C1169" t="s">
        <v>50</v>
      </c>
      <c r="D1169" t="s">
        <v>169</v>
      </c>
      <c r="E1169">
        <v>3</v>
      </c>
      <c r="F1169" t="str">
        <f>VLOOKUP($C1169,VLOOKUP_spp!$A$2:$D$103,4,1)</f>
        <v>Apis_mellifera</v>
      </c>
      <c r="G1169" t="str">
        <f>VLOOKUP($F1169,VLOOKUP_spp!$A$2:$E$102,5,1)</f>
        <v>Hymenoptera</v>
      </c>
      <c r="H1169" t="str">
        <f t="shared" si="18"/>
        <v>Sep</v>
      </c>
      <c r="I1169">
        <v>1</v>
      </c>
    </row>
    <row r="1170" spans="1:9" x14ac:dyDescent="0.35">
      <c r="A1170">
        <v>1169</v>
      </c>
      <c r="B1170" s="2">
        <v>44099</v>
      </c>
      <c r="C1170" t="s">
        <v>50</v>
      </c>
      <c r="D1170" t="s">
        <v>157</v>
      </c>
      <c r="E1170">
        <v>3</v>
      </c>
      <c r="F1170" t="str">
        <f>VLOOKUP($C1170,VLOOKUP_spp!$A$2:$D$103,4,1)</f>
        <v>Apis_mellifera</v>
      </c>
      <c r="G1170" t="str">
        <f>VLOOKUP($F1170,VLOOKUP_spp!$A$2:$E$102,5,1)</f>
        <v>Hymenoptera</v>
      </c>
      <c r="H1170" t="str">
        <f t="shared" si="18"/>
        <v>Sep</v>
      </c>
      <c r="I1170">
        <v>1</v>
      </c>
    </row>
    <row r="1171" spans="1:9" x14ac:dyDescent="0.35">
      <c r="A1171">
        <v>1170</v>
      </c>
      <c r="B1171" s="2">
        <v>44099</v>
      </c>
      <c r="C1171" t="s">
        <v>50</v>
      </c>
      <c r="D1171" t="s">
        <v>158</v>
      </c>
      <c r="E1171">
        <v>2</v>
      </c>
      <c r="F1171" t="str">
        <f>VLOOKUP($C1171,VLOOKUP_spp!$A$2:$D$103,4,1)</f>
        <v>Apis_mellifera</v>
      </c>
      <c r="G1171" t="str">
        <f>VLOOKUP($F1171,VLOOKUP_spp!$A$2:$E$102,5,1)</f>
        <v>Hymenoptera</v>
      </c>
      <c r="H1171" t="str">
        <f t="shared" si="18"/>
        <v>Sep</v>
      </c>
      <c r="I1171">
        <v>1</v>
      </c>
    </row>
    <row r="1172" spans="1:9" x14ac:dyDescent="0.35">
      <c r="A1172">
        <v>1171</v>
      </c>
      <c r="B1172" s="2">
        <v>44099</v>
      </c>
      <c r="C1172" t="s">
        <v>50</v>
      </c>
      <c r="D1172" t="s">
        <v>173</v>
      </c>
      <c r="E1172">
        <v>5</v>
      </c>
      <c r="F1172" t="str">
        <f>VLOOKUP($C1172,VLOOKUP_spp!$A$2:$D$103,4,1)</f>
        <v>Apis_mellifera</v>
      </c>
      <c r="G1172" t="str">
        <f>VLOOKUP($F1172,VLOOKUP_spp!$A$2:$E$102,5,1)</f>
        <v>Hymenoptera</v>
      </c>
      <c r="H1172" t="str">
        <f t="shared" si="18"/>
        <v>Sep</v>
      </c>
      <c r="I1172">
        <v>1</v>
      </c>
    </row>
    <row r="1173" spans="1:9" x14ac:dyDescent="0.35">
      <c r="A1173">
        <v>1172</v>
      </c>
      <c r="B1173" s="2">
        <v>44099</v>
      </c>
      <c r="C1173" t="s">
        <v>50</v>
      </c>
      <c r="D1173" t="s">
        <v>172</v>
      </c>
      <c r="E1173">
        <v>4</v>
      </c>
      <c r="F1173" t="str">
        <f>VLOOKUP($C1173,VLOOKUP_spp!$A$2:$D$103,4,1)</f>
        <v>Apis_mellifera</v>
      </c>
      <c r="G1173" t="str">
        <f>VLOOKUP($F1173,VLOOKUP_spp!$A$2:$E$102,5,1)</f>
        <v>Hymenoptera</v>
      </c>
      <c r="H1173" t="str">
        <f t="shared" si="18"/>
        <v>Sep</v>
      </c>
      <c r="I1173">
        <v>1</v>
      </c>
    </row>
    <row r="1174" spans="1:9" x14ac:dyDescent="0.35">
      <c r="A1174">
        <v>1173</v>
      </c>
      <c r="B1174" s="2">
        <v>44099</v>
      </c>
      <c r="C1174" t="s">
        <v>50</v>
      </c>
      <c r="D1174" t="s">
        <v>161</v>
      </c>
      <c r="E1174">
        <v>1</v>
      </c>
      <c r="F1174" t="str">
        <f>VLOOKUP($C1174,VLOOKUP_spp!$A$2:$D$103,4,1)</f>
        <v>Apis_mellifera</v>
      </c>
      <c r="G1174" t="str">
        <f>VLOOKUP($F1174,VLOOKUP_spp!$A$2:$E$102,5,1)</f>
        <v>Hymenoptera</v>
      </c>
      <c r="H1174" t="str">
        <f t="shared" si="18"/>
        <v>Sep</v>
      </c>
      <c r="I1174">
        <v>1</v>
      </c>
    </row>
    <row r="1175" spans="1:9" x14ac:dyDescent="0.35">
      <c r="A1175">
        <v>1174</v>
      </c>
      <c r="B1175" s="2">
        <v>44099</v>
      </c>
      <c r="C1175" t="s">
        <v>50</v>
      </c>
      <c r="D1175" t="s">
        <v>162</v>
      </c>
      <c r="E1175">
        <v>1</v>
      </c>
      <c r="F1175" t="str">
        <f>VLOOKUP($C1175,VLOOKUP_spp!$A$2:$D$103,4,1)</f>
        <v>Apis_mellifera</v>
      </c>
      <c r="G1175" t="str">
        <f>VLOOKUP($F1175,VLOOKUP_spp!$A$2:$E$102,5,1)</f>
        <v>Hymenoptera</v>
      </c>
      <c r="H1175" t="str">
        <f t="shared" si="18"/>
        <v>Sep</v>
      </c>
      <c r="I1175">
        <v>1</v>
      </c>
    </row>
    <row r="1176" spans="1:9" x14ac:dyDescent="0.35">
      <c r="A1176">
        <v>1175</v>
      </c>
      <c r="B1176" s="2">
        <v>44099</v>
      </c>
      <c r="C1176" t="s">
        <v>50</v>
      </c>
      <c r="D1176" t="s">
        <v>147</v>
      </c>
      <c r="E1176">
        <v>1</v>
      </c>
      <c r="F1176" t="str">
        <f>VLOOKUP($C1176,VLOOKUP_spp!$A$2:$D$103,4,1)</f>
        <v>Apis_mellifera</v>
      </c>
      <c r="G1176" t="str">
        <f>VLOOKUP($F1176,VLOOKUP_spp!$A$2:$E$102,5,1)</f>
        <v>Hymenoptera</v>
      </c>
      <c r="H1176" t="str">
        <f t="shared" si="18"/>
        <v>Sep</v>
      </c>
      <c r="I1176">
        <v>1</v>
      </c>
    </row>
    <row r="1177" spans="1:9" x14ac:dyDescent="0.35">
      <c r="A1177">
        <v>1176</v>
      </c>
      <c r="B1177" s="2">
        <v>44099</v>
      </c>
      <c r="C1177" t="s">
        <v>51</v>
      </c>
      <c r="D1177" t="s">
        <v>158</v>
      </c>
      <c r="E1177">
        <v>1</v>
      </c>
      <c r="F1177" t="str">
        <f>VLOOKUP($C1177,VLOOKUP_spp!$A$2:$D$103,4,1)</f>
        <v>Augochlora</v>
      </c>
      <c r="G1177" t="str">
        <f>VLOOKUP($F1177,VLOOKUP_spp!$A$2:$E$102,5,1)</f>
        <v>Hymenoptera</v>
      </c>
      <c r="H1177" t="str">
        <f t="shared" si="18"/>
        <v>Sep</v>
      </c>
      <c r="I1177">
        <v>1</v>
      </c>
    </row>
    <row r="1178" spans="1:9" x14ac:dyDescent="0.35">
      <c r="A1178">
        <v>1177</v>
      </c>
      <c r="B1178" s="2">
        <v>44099</v>
      </c>
      <c r="C1178" t="s">
        <v>51</v>
      </c>
      <c r="D1178" t="s">
        <v>173</v>
      </c>
      <c r="E1178">
        <v>1</v>
      </c>
      <c r="F1178" t="str">
        <f>VLOOKUP($C1178,VLOOKUP_spp!$A$2:$D$103,4,1)</f>
        <v>Augochlora</v>
      </c>
      <c r="G1178" t="str">
        <f>VLOOKUP($F1178,VLOOKUP_spp!$A$2:$E$102,5,1)</f>
        <v>Hymenoptera</v>
      </c>
      <c r="H1178" t="str">
        <f t="shared" si="18"/>
        <v>Sep</v>
      </c>
      <c r="I1178">
        <v>1</v>
      </c>
    </row>
    <row r="1179" spans="1:9" x14ac:dyDescent="0.35">
      <c r="A1179">
        <v>1178</v>
      </c>
      <c r="B1179" s="2">
        <v>44099</v>
      </c>
      <c r="C1179" t="s">
        <v>52</v>
      </c>
      <c r="D1179" t="s">
        <v>158</v>
      </c>
      <c r="E1179">
        <v>2</v>
      </c>
      <c r="F1179" t="str">
        <f>VLOOKUP($C1179,VLOOKUP_spp!$A$2:$D$103,4,1)</f>
        <v>Augochlorella</v>
      </c>
      <c r="G1179" t="str">
        <f>VLOOKUP($F1179,VLOOKUP_spp!$A$2:$E$102,5,1)</f>
        <v>Hymenoptera</v>
      </c>
      <c r="H1179" t="str">
        <f t="shared" si="18"/>
        <v>Sep</v>
      </c>
      <c r="I1179">
        <v>1</v>
      </c>
    </row>
    <row r="1180" spans="1:9" x14ac:dyDescent="0.35">
      <c r="A1180">
        <v>1179</v>
      </c>
      <c r="B1180" s="2">
        <v>44099</v>
      </c>
      <c r="C1180" t="s">
        <v>53</v>
      </c>
      <c r="D1180" t="s">
        <v>158</v>
      </c>
      <c r="E1180">
        <v>1</v>
      </c>
      <c r="F1180" t="str">
        <f>VLOOKUP($C1180,VLOOKUP_spp!$A$2:$D$103,4,1)</f>
        <v>Augochloropsis</v>
      </c>
      <c r="G1180" t="str">
        <f>VLOOKUP($F1180,VLOOKUP_spp!$A$2:$E$102,5,1)</f>
        <v>Hymenoptera</v>
      </c>
      <c r="H1180" t="str">
        <f t="shared" si="18"/>
        <v>Sep</v>
      </c>
      <c r="I1180">
        <v>1</v>
      </c>
    </row>
    <row r="1181" spans="1:9" x14ac:dyDescent="0.35">
      <c r="A1181">
        <v>1180</v>
      </c>
      <c r="B1181" s="2">
        <v>44099</v>
      </c>
      <c r="C1181" t="s">
        <v>7</v>
      </c>
      <c r="D1181" t="s">
        <v>169</v>
      </c>
      <c r="E1181">
        <v>1</v>
      </c>
      <c r="F1181" t="str">
        <f>VLOOKUP($C1181,VLOOKUP_spp!$A$2:$D$103,4,1)</f>
        <v>Coleoptera</v>
      </c>
      <c r="G1181" t="str">
        <f>VLOOKUP($F1181,VLOOKUP_spp!$A$2:$E$102,5,1)</f>
        <v>Coleoptera</v>
      </c>
      <c r="H1181" t="str">
        <f t="shared" si="18"/>
        <v>Sep</v>
      </c>
      <c r="I1181">
        <v>1</v>
      </c>
    </row>
    <row r="1182" spans="1:9" x14ac:dyDescent="0.35">
      <c r="A1182">
        <v>1181</v>
      </c>
      <c r="B1182" s="2">
        <v>44099</v>
      </c>
      <c r="C1182" t="s">
        <v>6</v>
      </c>
      <c r="D1182" t="s">
        <v>169</v>
      </c>
      <c r="E1182">
        <v>3</v>
      </c>
      <c r="F1182" t="str">
        <f>VLOOKUP($C1182,VLOOKUP_spp!$A$2:$D$103,4,1)</f>
        <v>Diptera</v>
      </c>
      <c r="G1182" t="str">
        <f>VLOOKUP($F1182,VLOOKUP_spp!$A$2:$E$102,5,1)</f>
        <v>Diptera</v>
      </c>
      <c r="H1182" t="str">
        <f t="shared" si="18"/>
        <v>Sep</v>
      </c>
      <c r="I1182">
        <v>1</v>
      </c>
    </row>
    <row r="1183" spans="1:9" x14ac:dyDescent="0.35">
      <c r="A1183">
        <v>1182</v>
      </c>
      <c r="B1183" s="2">
        <v>44099</v>
      </c>
      <c r="C1183" t="s">
        <v>6</v>
      </c>
      <c r="D1183" t="s">
        <v>172</v>
      </c>
      <c r="E1183">
        <v>5</v>
      </c>
      <c r="F1183" t="str">
        <f>VLOOKUP($C1183,VLOOKUP_spp!$A$2:$D$103,4,1)</f>
        <v>Diptera</v>
      </c>
      <c r="G1183" t="str">
        <f>VLOOKUP($F1183,VLOOKUP_spp!$A$2:$E$102,5,1)</f>
        <v>Diptera</v>
      </c>
      <c r="H1183" t="str">
        <f t="shared" si="18"/>
        <v>Sep</v>
      </c>
      <c r="I1183">
        <v>1</v>
      </c>
    </row>
    <row r="1184" spans="1:9" x14ac:dyDescent="0.35">
      <c r="A1184">
        <v>1183</v>
      </c>
      <c r="B1184" s="2">
        <v>44099</v>
      </c>
      <c r="C1184" t="s">
        <v>6</v>
      </c>
      <c r="D1184" t="s">
        <v>162</v>
      </c>
      <c r="E1184">
        <v>1</v>
      </c>
      <c r="F1184" t="str">
        <f>VLOOKUP($C1184,VLOOKUP_spp!$A$2:$D$103,4,1)</f>
        <v>Diptera</v>
      </c>
      <c r="G1184" t="str">
        <f>VLOOKUP($F1184,VLOOKUP_spp!$A$2:$E$102,5,1)</f>
        <v>Diptera</v>
      </c>
      <c r="H1184" t="str">
        <f t="shared" si="18"/>
        <v>Sep</v>
      </c>
      <c r="I1184">
        <v>1</v>
      </c>
    </row>
    <row r="1185" spans="1:9" x14ac:dyDescent="0.35">
      <c r="A1185">
        <v>1184</v>
      </c>
      <c r="B1185" s="2">
        <v>44099</v>
      </c>
      <c r="C1185" t="s">
        <v>97</v>
      </c>
      <c r="D1185" t="s">
        <v>173</v>
      </c>
      <c r="E1185">
        <v>1</v>
      </c>
      <c r="F1185" t="str">
        <f>VLOOKUP($C1185,VLOOKUP_spp!$A$2:$D$103,4,1)</f>
        <v>Halictus</v>
      </c>
      <c r="G1185" t="str">
        <f>VLOOKUP($F1185,VLOOKUP_spp!$A$2:$E$102,5,1)</f>
        <v>Hymenoptera</v>
      </c>
      <c r="H1185" t="str">
        <f t="shared" si="18"/>
        <v>Sep</v>
      </c>
      <c r="I1185">
        <v>1</v>
      </c>
    </row>
    <row r="1186" spans="1:9" x14ac:dyDescent="0.35">
      <c r="A1186">
        <v>1185</v>
      </c>
      <c r="B1186" s="2">
        <v>44099</v>
      </c>
      <c r="C1186" t="s">
        <v>106</v>
      </c>
      <c r="D1186" t="s">
        <v>173</v>
      </c>
      <c r="E1186">
        <v>1</v>
      </c>
      <c r="F1186" t="str">
        <f>VLOOKUP($C1186,VLOOKUP_spp!$A$2:$D$103,4,1)</f>
        <v>Lasioglossum</v>
      </c>
      <c r="G1186" t="str">
        <f>VLOOKUP($F1186,VLOOKUP_spp!$A$2:$E$102,5,1)</f>
        <v>Hymenoptera</v>
      </c>
      <c r="H1186" t="str">
        <f t="shared" si="18"/>
        <v>Sep</v>
      </c>
      <c r="I1186">
        <v>1</v>
      </c>
    </row>
    <row r="1187" spans="1:9" x14ac:dyDescent="0.35">
      <c r="A1187">
        <v>1186</v>
      </c>
      <c r="B1187" s="2">
        <v>44099</v>
      </c>
      <c r="C1187" t="s">
        <v>8</v>
      </c>
      <c r="D1187" t="s">
        <v>173</v>
      </c>
      <c r="E1187">
        <v>2</v>
      </c>
      <c r="F1187" t="str">
        <f>VLOOKUP($C1187,VLOOKUP_spp!$A$2:$D$103,4,1)</f>
        <v>Lepidoptera</v>
      </c>
      <c r="G1187" t="str">
        <f>VLOOKUP($F1187,VLOOKUP_spp!$A$2:$E$102,5,1)</f>
        <v>Lepidoptera</v>
      </c>
      <c r="H1187" t="str">
        <f t="shared" si="18"/>
        <v>Sep</v>
      </c>
      <c r="I1187">
        <v>1</v>
      </c>
    </row>
    <row r="1188" spans="1:9" x14ac:dyDescent="0.35">
      <c r="A1188">
        <v>1187</v>
      </c>
      <c r="B1188" s="2">
        <v>44099</v>
      </c>
      <c r="C1188" t="s">
        <v>111</v>
      </c>
      <c r="D1188" t="s">
        <v>157</v>
      </c>
      <c r="E1188">
        <v>1</v>
      </c>
      <c r="F1188">
        <f>VLOOKUP($C1188,VLOOKUP_spp!$A$2:$D$103,4,1)</f>
        <v>0</v>
      </c>
      <c r="G1188" t="e">
        <f>VLOOKUP($F1188,VLOOKUP_spp!$A$2:$E$102,5,1)</f>
        <v>#N/A</v>
      </c>
      <c r="H1188" t="str">
        <f t="shared" si="18"/>
        <v>Sep</v>
      </c>
      <c r="I1188">
        <v>1</v>
      </c>
    </row>
    <row r="1189" spans="1:9" x14ac:dyDescent="0.35">
      <c r="A1189">
        <v>1188</v>
      </c>
      <c r="B1189" s="2">
        <v>44099</v>
      </c>
      <c r="C1189" t="s">
        <v>126</v>
      </c>
      <c r="D1189" t="s">
        <v>169</v>
      </c>
      <c r="E1189">
        <v>2</v>
      </c>
      <c r="F1189" t="str">
        <f>VLOOKUP($C1189,VLOOKUP_spp!$A$2:$D$103,4,1)</f>
        <v>Syrphidae</v>
      </c>
      <c r="G1189" t="str">
        <f>VLOOKUP($F1189,VLOOKUP_spp!$A$2:$E$102,5,1)</f>
        <v>Diptera</v>
      </c>
      <c r="H1189" t="str">
        <f t="shared" si="18"/>
        <v>Sep</v>
      </c>
      <c r="I1189">
        <v>1</v>
      </c>
    </row>
    <row r="1190" spans="1:9" x14ac:dyDescent="0.35">
      <c r="A1190">
        <v>1189</v>
      </c>
      <c r="B1190" s="2">
        <v>44099</v>
      </c>
      <c r="C1190" t="s">
        <v>126</v>
      </c>
      <c r="D1190" t="s">
        <v>157</v>
      </c>
      <c r="E1190">
        <v>1</v>
      </c>
      <c r="F1190" t="str">
        <f>VLOOKUP($C1190,VLOOKUP_spp!$A$2:$D$103,4,1)</f>
        <v>Syrphidae</v>
      </c>
      <c r="G1190" t="str">
        <f>VLOOKUP($F1190,VLOOKUP_spp!$A$2:$E$102,5,1)</f>
        <v>Diptera</v>
      </c>
      <c r="H1190" t="str">
        <f t="shared" si="18"/>
        <v>Sep</v>
      </c>
      <c r="I1190">
        <v>1</v>
      </c>
    </row>
    <row r="1191" spans="1:9" x14ac:dyDescent="0.35">
      <c r="A1191">
        <v>1190</v>
      </c>
      <c r="B1191" s="2">
        <v>44099</v>
      </c>
      <c r="C1191" t="s">
        <v>126</v>
      </c>
      <c r="D1191" t="s">
        <v>160</v>
      </c>
      <c r="E1191">
        <v>1</v>
      </c>
      <c r="F1191" t="str">
        <f>VLOOKUP($C1191,VLOOKUP_spp!$A$2:$D$103,4,1)</f>
        <v>Syrphidae</v>
      </c>
      <c r="G1191" t="str">
        <f>VLOOKUP($F1191,VLOOKUP_spp!$A$2:$E$102,5,1)</f>
        <v>Diptera</v>
      </c>
      <c r="H1191" t="str">
        <f t="shared" si="18"/>
        <v>Sep</v>
      </c>
      <c r="I1191">
        <v>1</v>
      </c>
    </row>
    <row r="1192" spans="1:9" x14ac:dyDescent="0.35">
      <c r="A1192">
        <v>1191</v>
      </c>
      <c r="B1192" s="2">
        <v>44099</v>
      </c>
      <c r="C1192" t="s">
        <v>128</v>
      </c>
      <c r="D1192" t="s">
        <v>169</v>
      </c>
      <c r="E1192">
        <v>2</v>
      </c>
      <c r="F1192" t="str">
        <f>VLOOKUP($C1192,VLOOKUP_spp!$A$2:$D$103,4,1)</f>
        <v>Wasp</v>
      </c>
      <c r="G1192" t="str">
        <f>VLOOKUP($F1192,VLOOKUP_spp!$A$2:$E$102,5,1)</f>
        <v>Hymenoptera</v>
      </c>
      <c r="H1192" t="str">
        <f t="shared" si="18"/>
        <v>Sep</v>
      </c>
      <c r="I1192">
        <v>1</v>
      </c>
    </row>
    <row r="1193" spans="1:9" x14ac:dyDescent="0.35">
      <c r="A1193">
        <v>1192</v>
      </c>
      <c r="B1193" s="2">
        <v>44099</v>
      </c>
      <c r="C1193" t="s">
        <v>128</v>
      </c>
      <c r="D1193" t="s">
        <v>158</v>
      </c>
      <c r="E1193">
        <v>2</v>
      </c>
      <c r="F1193" t="str">
        <f>VLOOKUP($C1193,VLOOKUP_spp!$A$2:$D$103,4,1)</f>
        <v>Wasp</v>
      </c>
      <c r="G1193" t="str">
        <f>VLOOKUP($F1193,VLOOKUP_spp!$A$2:$E$102,5,1)</f>
        <v>Hymenoptera</v>
      </c>
      <c r="H1193" t="str">
        <f t="shared" si="18"/>
        <v>Sep</v>
      </c>
      <c r="I1193">
        <v>1</v>
      </c>
    </row>
    <row r="1194" spans="1:9" x14ac:dyDescent="0.35">
      <c r="A1194">
        <v>1193</v>
      </c>
      <c r="B1194" s="2">
        <v>44099</v>
      </c>
      <c r="C1194" t="s">
        <v>128</v>
      </c>
      <c r="D1194" t="s">
        <v>173</v>
      </c>
      <c r="E1194">
        <v>3</v>
      </c>
      <c r="F1194" t="str">
        <f>VLOOKUP($C1194,VLOOKUP_spp!$A$2:$D$103,4,1)</f>
        <v>Wasp</v>
      </c>
      <c r="G1194" t="str">
        <f>VLOOKUP($F1194,VLOOKUP_spp!$A$2:$E$102,5,1)</f>
        <v>Hymenoptera</v>
      </c>
      <c r="H1194" t="str">
        <f t="shared" si="18"/>
        <v>Sep</v>
      </c>
      <c r="I1194">
        <v>1</v>
      </c>
    </row>
    <row r="1195" spans="1:9" x14ac:dyDescent="0.35">
      <c r="A1195">
        <v>1194</v>
      </c>
      <c r="B1195" s="2">
        <v>44102</v>
      </c>
      <c r="C1195" t="s">
        <v>30</v>
      </c>
      <c r="D1195" t="s">
        <v>172</v>
      </c>
      <c r="E1195">
        <v>1</v>
      </c>
      <c r="F1195" t="str">
        <f>VLOOKUP($C1195,VLOOKUP_spp!$A$2:$D$103,4,1)</f>
        <v>Andrena</v>
      </c>
      <c r="G1195" t="str">
        <f>VLOOKUP($F1195,VLOOKUP_spp!$A$2:$E$102,5,1)</f>
        <v>Hymenoptera</v>
      </c>
      <c r="H1195" t="str">
        <f t="shared" si="18"/>
        <v>Sep</v>
      </c>
      <c r="I1195">
        <v>1</v>
      </c>
    </row>
    <row r="1196" spans="1:9" x14ac:dyDescent="0.35">
      <c r="A1196">
        <v>1195</v>
      </c>
      <c r="B1196" s="2">
        <v>44102</v>
      </c>
      <c r="C1196" t="s">
        <v>50</v>
      </c>
      <c r="D1196" t="s">
        <v>166</v>
      </c>
      <c r="E1196">
        <v>1</v>
      </c>
      <c r="F1196" t="str">
        <f>VLOOKUP($C1196,VLOOKUP_spp!$A$2:$D$103,4,1)</f>
        <v>Apis_mellifera</v>
      </c>
      <c r="G1196" t="str">
        <f>VLOOKUP($F1196,VLOOKUP_spp!$A$2:$E$102,5,1)</f>
        <v>Hymenoptera</v>
      </c>
      <c r="H1196" t="str">
        <f t="shared" si="18"/>
        <v>Sep</v>
      </c>
      <c r="I1196">
        <v>1</v>
      </c>
    </row>
    <row r="1197" spans="1:9" x14ac:dyDescent="0.35">
      <c r="A1197">
        <v>1196</v>
      </c>
      <c r="B1197" s="2">
        <v>44102</v>
      </c>
      <c r="C1197" t="s">
        <v>50</v>
      </c>
      <c r="D1197" t="s">
        <v>173</v>
      </c>
      <c r="E1197">
        <v>1</v>
      </c>
      <c r="F1197" t="str">
        <f>VLOOKUP($C1197,VLOOKUP_spp!$A$2:$D$103,4,1)</f>
        <v>Apis_mellifera</v>
      </c>
      <c r="G1197" t="str">
        <f>VLOOKUP($F1197,VLOOKUP_spp!$A$2:$E$102,5,1)</f>
        <v>Hymenoptera</v>
      </c>
      <c r="H1197" t="str">
        <f t="shared" si="18"/>
        <v>Sep</v>
      </c>
      <c r="I1197">
        <v>1</v>
      </c>
    </row>
    <row r="1198" spans="1:9" x14ac:dyDescent="0.35">
      <c r="A1198">
        <v>1197</v>
      </c>
      <c r="B1198" s="2">
        <v>44102</v>
      </c>
      <c r="C1198" t="s">
        <v>67</v>
      </c>
      <c r="D1198" t="s">
        <v>157</v>
      </c>
      <c r="E1198">
        <v>2</v>
      </c>
      <c r="F1198" t="str">
        <f>VLOOKUP($C1198,VLOOKUP_spp!$A$2:$D$103,4,1)</f>
        <v>Bombus_impatiens</v>
      </c>
      <c r="G1198" t="str">
        <f>VLOOKUP($F1198,VLOOKUP_spp!$A$2:$E$102,5,1)</f>
        <v>Hymenoptera</v>
      </c>
      <c r="H1198" t="str">
        <f t="shared" si="18"/>
        <v>Sep</v>
      </c>
      <c r="I1198">
        <v>1</v>
      </c>
    </row>
    <row r="1199" spans="1:9" x14ac:dyDescent="0.35">
      <c r="A1199">
        <v>1198</v>
      </c>
      <c r="B1199" s="2">
        <v>44102</v>
      </c>
      <c r="C1199" t="s">
        <v>6</v>
      </c>
      <c r="D1199" t="s">
        <v>157</v>
      </c>
      <c r="E1199">
        <v>1</v>
      </c>
      <c r="F1199" t="str">
        <f>VLOOKUP($C1199,VLOOKUP_spp!$A$2:$D$103,4,1)</f>
        <v>Diptera</v>
      </c>
      <c r="G1199" t="str">
        <f>VLOOKUP($F1199,VLOOKUP_spp!$A$2:$E$102,5,1)</f>
        <v>Diptera</v>
      </c>
      <c r="H1199" t="str">
        <f t="shared" si="18"/>
        <v>Sep</v>
      </c>
      <c r="I1199">
        <v>1</v>
      </c>
    </row>
    <row r="1200" spans="1:9" x14ac:dyDescent="0.35">
      <c r="A1200">
        <v>1199</v>
      </c>
      <c r="B1200" s="2">
        <v>44102</v>
      </c>
      <c r="C1200" t="s">
        <v>6</v>
      </c>
      <c r="D1200" t="s">
        <v>158</v>
      </c>
      <c r="E1200">
        <v>1</v>
      </c>
      <c r="F1200" t="str">
        <f>VLOOKUP($C1200,VLOOKUP_spp!$A$2:$D$103,4,1)</f>
        <v>Diptera</v>
      </c>
      <c r="G1200" t="str">
        <f>VLOOKUP($F1200,VLOOKUP_spp!$A$2:$E$102,5,1)</f>
        <v>Diptera</v>
      </c>
      <c r="H1200" t="str">
        <f t="shared" si="18"/>
        <v>Sep</v>
      </c>
      <c r="I1200">
        <v>1</v>
      </c>
    </row>
    <row r="1201" spans="1:9" x14ac:dyDescent="0.35">
      <c r="A1201">
        <v>1200</v>
      </c>
      <c r="B1201" s="2">
        <v>44102</v>
      </c>
      <c r="C1201" t="s">
        <v>6</v>
      </c>
      <c r="D1201" t="s">
        <v>172</v>
      </c>
      <c r="E1201">
        <v>1</v>
      </c>
      <c r="F1201" t="str">
        <f>VLOOKUP($C1201,VLOOKUP_spp!$A$2:$D$103,4,1)</f>
        <v>Diptera</v>
      </c>
      <c r="G1201" t="str">
        <f>VLOOKUP($F1201,VLOOKUP_spp!$A$2:$E$102,5,1)</f>
        <v>Diptera</v>
      </c>
      <c r="H1201" t="str">
        <f t="shared" si="18"/>
        <v>Sep</v>
      </c>
      <c r="I1201">
        <v>1</v>
      </c>
    </row>
    <row r="1202" spans="1:9" x14ac:dyDescent="0.35">
      <c r="A1202">
        <v>1201</v>
      </c>
      <c r="B1202" s="2">
        <v>44102</v>
      </c>
      <c r="C1202" t="s">
        <v>6</v>
      </c>
      <c r="D1202" t="s">
        <v>147</v>
      </c>
      <c r="E1202">
        <v>6</v>
      </c>
      <c r="F1202" t="str">
        <f>VLOOKUP($C1202,VLOOKUP_spp!$A$2:$D$103,4,1)</f>
        <v>Diptera</v>
      </c>
      <c r="G1202" t="str">
        <f>VLOOKUP($F1202,VLOOKUP_spp!$A$2:$E$102,5,1)</f>
        <v>Diptera</v>
      </c>
      <c r="H1202" t="str">
        <f t="shared" si="18"/>
        <v>Sep</v>
      </c>
      <c r="I1202">
        <v>1</v>
      </c>
    </row>
    <row r="1203" spans="1:9" x14ac:dyDescent="0.35">
      <c r="A1203">
        <v>1202</v>
      </c>
      <c r="B1203" s="2">
        <v>44102</v>
      </c>
      <c r="C1203" t="s">
        <v>126</v>
      </c>
      <c r="D1203" t="s">
        <v>158</v>
      </c>
      <c r="E1203">
        <v>1</v>
      </c>
      <c r="F1203" t="str">
        <f>VLOOKUP($C1203,VLOOKUP_spp!$A$2:$D$103,4,1)</f>
        <v>Syrphidae</v>
      </c>
      <c r="G1203" t="str">
        <f>VLOOKUP($F1203,VLOOKUP_spp!$A$2:$E$102,5,1)</f>
        <v>Diptera</v>
      </c>
      <c r="H1203" t="str">
        <f t="shared" si="18"/>
        <v>Sep</v>
      </c>
      <c r="I1203">
        <v>1</v>
      </c>
    </row>
    <row r="1204" spans="1:9" x14ac:dyDescent="0.35">
      <c r="A1204">
        <v>1203</v>
      </c>
      <c r="B1204" s="2">
        <v>44102</v>
      </c>
      <c r="C1204" t="s">
        <v>126</v>
      </c>
      <c r="D1204" t="s">
        <v>173</v>
      </c>
      <c r="E1204">
        <v>2</v>
      </c>
      <c r="F1204" t="str">
        <f>VLOOKUP($C1204,VLOOKUP_spp!$A$2:$D$103,4,1)</f>
        <v>Syrphidae</v>
      </c>
      <c r="G1204" t="str">
        <f>VLOOKUP($F1204,VLOOKUP_spp!$A$2:$E$102,5,1)</f>
        <v>Diptera</v>
      </c>
      <c r="H1204" t="str">
        <f t="shared" si="18"/>
        <v>Sep</v>
      </c>
      <c r="I1204">
        <v>1</v>
      </c>
    </row>
    <row r="1205" spans="1:9" x14ac:dyDescent="0.35">
      <c r="A1205">
        <v>1204</v>
      </c>
      <c r="B1205" s="2">
        <v>44102</v>
      </c>
      <c r="C1205" t="s">
        <v>126</v>
      </c>
      <c r="D1205" t="s">
        <v>172</v>
      </c>
      <c r="E1205">
        <v>1</v>
      </c>
      <c r="F1205" t="str">
        <f>VLOOKUP($C1205,VLOOKUP_spp!$A$2:$D$103,4,1)</f>
        <v>Syrphidae</v>
      </c>
      <c r="G1205" t="str">
        <f>VLOOKUP($F1205,VLOOKUP_spp!$A$2:$E$102,5,1)</f>
        <v>Diptera</v>
      </c>
      <c r="H1205" t="str">
        <f t="shared" si="18"/>
        <v>Sep</v>
      </c>
      <c r="I1205">
        <v>1</v>
      </c>
    </row>
    <row r="1206" spans="1:9" x14ac:dyDescent="0.35">
      <c r="A1206">
        <v>1205</v>
      </c>
      <c r="B1206" s="2">
        <v>44102</v>
      </c>
      <c r="C1206" t="s">
        <v>128</v>
      </c>
      <c r="D1206" t="s">
        <v>172</v>
      </c>
      <c r="E1206">
        <v>2</v>
      </c>
      <c r="F1206" t="str">
        <f>VLOOKUP($C1206,VLOOKUP_spp!$A$2:$D$103,4,1)</f>
        <v>Wasp</v>
      </c>
      <c r="G1206" t="str">
        <f>VLOOKUP($F1206,VLOOKUP_spp!$A$2:$E$102,5,1)</f>
        <v>Hymenoptera</v>
      </c>
      <c r="H1206" t="str">
        <f t="shared" si="18"/>
        <v>Sep</v>
      </c>
      <c r="I1206">
        <v>1</v>
      </c>
    </row>
    <row r="1207" spans="1:9" x14ac:dyDescent="0.35">
      <c r="A1207">
        <v>1206</v>
      </c>
      <c r="B1207" s="2">
        <v>44104</v>
      </c>
      <c r="C1207" t="s">
        <v>50</v>
      </c>
      <c r="D1207" t="s">
        <v>169</v>
      </c>
      <c r="E1207">
        <v>2</v>
      </c>
      <c r="F1207" t="str">
        <f>VLOOKUP($C1207,VLOOKUP_spp!$A$2:$D$103,4,1)</f>
        <v>Apis_mellifera</v>
      </c>
      <c r="G1207" t="str">
        <f>VLOOKUP($F1207,VLOOKUP_spp!$A$2:$E$102,5,1)</f>
        <v>Hymenoptera</v>
      </c>
      <c r="H1207" t="str">
        <f t="shared" si="18"/>
        <v>Sep</v>
      </c>
      <c r="I1207">
        <v>1</v>
      </c>
    </row>
    <row r="1208" spans="1:9" x14ac:dyDescent="0.35">
      <c r="A1208">
        <v>1207</v>
      </c>
      <c r="B1208" s="2">
        <v>44104</v>
      </c>
      <c r="C1208" t="s">
        <v>50</v>
      </c>
      <c r="D1208" t="s">
        <v>166</v>
      </c>
      <c r="E1208">
        <v>2</v>
      </c>
      <c r="F1208" t="str">
        <f>VLOOKUP($C1208,VLOOKUP_spp!$A$2:$D$103,4,1)</f>
        <v>Apis_mellifera</v>
      </c>
      <c r="G1208" t="str">
        <f>VLOOKUP($F1208,VLOOKUP_spp!$A$2:$E$102,5,1)</f>
        <v>Hymenoptera</v>
      </c>
      <c r="H1208" t="str">
        <f t="shared" si="18"/>
        <v>Sep</v>
      </c>
      <c r="I1208">
        <v>1</v>
      </c>
    </row>
    <row r="1209" spans="1:9" x14ac:dyDescent="0.35">
      <c r="A1209">
        <v>1208</v>
      </c>
      <c r="B1209" s="2">
        <v>44104</v>
      </c>
      <c r="C1209" t="s">
        <v>67</v>
      </c>
      <c r="D1209" t="s">
        <v>169</v>
      </c>
      <c r="E1209">
        <v>3</v>
      </c>
      <c r="F1209" t="str">
        <f>VLOOKUP($C1209,VLOOKUP_spp!$A$2:$D$103,4,1)</f>
        <v>Bombus_impatiens</v>
      </c>
      <c r="G1209" t="str">
        <f>VLOOKUP($F1209,VLOOKUP_spp!$A$2:$E$102,5,1)</f>
        <v>Hymenoptera</v>
      </c>
      <c r="H1209" t="str">
        <f t="shared" si="18"/>
        <v>Sep</v>
      </c>
      <c r="I1209">
        <v>1</v>
      </c>
    </row>
    <row r="1210" spans="1:9" x14ac:dyDescent="0.35">
      <c r="A1210">
        <v>1209</v>
      </c>
      <c r="B1210" s="2">
        <v>44104</v>
      </c>
      <c r="C1210" t="s">
        <v>67</v>
      </c>
      <c r="D1210" t="s">
        <v>157</v>
      </c>
      <c r="E1210">
        <v>2</v>
      </c>
      <c r="F1210" t="str">
        <f>VLOOKUP($C1210,VLOOKUP_spp!$A$2:$D$103,4,1)</f>
        <v>Bombus_impatiens</v>
      </c>
      <c r="G1210" t="str">
        <f>VLOOKUP($F1210,VLOOKUP_spp!$A$2:$E$102,5,1)</f>
        <v>Hymenoptera</v>
      </c>
      <c r="H1210" t="str">
        <f t="shared" si="18"/>
        <v>Sep</v>
      </c>
      <c r="I1210">
        <v>1</v>
      </c>
    </row>
    <row r="1211" spans="1:9" x14ac:dyDescent="0.35">
      <c r="A1211">
        <v>1210</v>
      </c>
      <c r="B1211" s="2">
        <v>44104</v>
      </c>
      <c r="C1211" t="s">
        <v>67</v>
      </c>
      <c r="D1211" t="s">
        <v>158</v>
      </c>
      <c r="E1211">
        <v>2</v>
      </c>
      <c r="F1211" t="str">
        <f>VLOOKUP($C1211,VLOOKUP_spp!$A$2:$D$103,4,1)</f>
        <v>Bombus_impatiens</v>
      </c>
      <c r="G1211" t="str">
        <f>VLOOKUP($F1211,VLOOKUP_spp!$A$2:$E$102,5,1)</f>
        <v>Hymenoptera</v>
      </c>
      <c r="H1211" t="str">
        <f t="shared" si="18"/>
        <v>Sep</v>
      </c>
      <c r="I1211">
        <v>1</v>
      </c>
    </row>
    <row r="1212" spans="1:9" x14ac:dyDescent="0.35">
      <c r="A1212">
        <v>1211</v>
      </c>
      <c r="B1212" s="2">
        <v>44104</v>
      </c>
      <c r="C1212" t="s">
        <v>90</v>
      </c>
      <c r="D1212" t="s">
        <v>167</v>
      </c>
      <c r="E1212">
        <v>1</v>
      </c>
      <c r="F1212">
        <f>VLOOKUP($C1212,VLOOKUP_spp!$A$2:$D$103,4,1)</f>
        <v>0</v>
      </c>
      <c r="G1212" t="e">
        <f>VLOOKUP($F1212,VLOOKUP_spp!$A$2:$E$102,5,1)</f>
        <v>#N/A</v>
      </c>
      <c r="H1212" t="str">
        <f t="shared" si="18"/>
        <v>Sep</v>
      </c>
      <c r="I1212">
        <v>1</v>
      </c>
    </row>
    <row r="1213" spans="1:9" x14ac:dyDescent="0.35">
      <c r="A1213">
        <v>1212</v>
      </c>
      <c r="B1213" s="2">
        <v>44104</v>
      </c>
      <c r="C1213" t="s">
        <v>6</v>
      </c>
      <c r="D1213" t="s">
        <v>169</v>
      </c>
      <c r="E1213">
        <v>8</v>
      </c>
      <c r="F1213" t="str">
        <f>VLOOKUP($C1213,VLOOKUP_spp!$A$2:$D$103,4,1)</f>
        <v>Diptera</v>
      </c>
      <c r="G1213" t="str">
        <f>VLOOKUP($F1213,VLOOKUP_spp!$A$2:$E$102,5,1)</f>
        <v>Diptera</v>
      </c>
      <c r="H1213" t="str">
        <f t="shared" si="18"/>
        <v>Sep</v>
      </c>
      <c r="I1213">
        <v>1</v>
      </c>
    </row>
    <row r="1214" spans="1:9" x14ac:dyDescent="0.35">
      <c r="A1214">
        <v>1213</v>
      </c>
      <c r="B1214" s="2">
        <v>44104</v>
      </c>
      <c r="C1214" t="s">
        <v>6</v>
      </c>
      <c r="D1214" t="s">
        <v>166</v>
      </c>
      <c r="E1214">
        <v>1</v>
      </c>
      <c r="F1214" t="str">
        <f>VLOOKUP($C1214,VLOOKUP_spp!$A$2:$D$103,4,1)</f>
        <v>Diptera</v>
      </c>
      <c r="G1214" t="str">
        <f>VLOOKUP($F1214,VLOOKUP_spp!$A$2:$E$102,5,1)</f>
        <v>Diptera</v>
      </c>
      <c r="H1214" t="str">
        <f t="shared" si="18"/>
        <v>Sep</v>
      </c>
      <c r="I1214">
        <v>1</v>
      </c>
    </row>
    <row r="1215" spans="1:9" x14ac:dyDescent="0.35">
      <c r="A1215">
        <v>1214</v>
      </c>
      <c r="B1215" s="2">
        <v>44104</v>
      </c>
      <c r="C1215" t="s">
        <v>6</v>
      </c>
      <c r="D1215" t="s">
        <v>172</v>
      </c>
      <c r="E1215">
        <v>2</v>
      </c>
      <c r="F1215" t="str">
        <f>VLOOKUP($C1215,VLOOKUP_spp!$A$2:$D$103,4,1)</f>
        <v>Diptera</v>
      </c>
      <c r="G1215" t="str">
        <f>VLOOKUP($F1215,VLOOKUP_spp!$A$2:$E$102,5,1)</f>
        <v>Diptera</v>
      </c>
      <c r="H1215" t="str">
        <f t="shared" si="18"/>
        <v>Sep</v>
      </c>
      <c r="I1215">
        <v>1</v>
      </c>
    </row>
    <row r="1216" spans="1:9" x14ac:dyDescent="0.35">
      <c r="A1216">
        <v>1215</v>
      </c>
      <c r="B1216" s="2">
        <v>44104</v>
      </c>
      <c r="C1216" t="s">
        <v>6</v>
      </c>
      <c r="D1216" t="s">
        <v>167</v>
      </c>
      <c r="E1216">
        <v>2</v>
      </c>
      <c r="F1216" t="str">
        <f>VLOOKUP($C1216,VLOOKUP_spp!$A$2:$D$103,4,1)</f>
        <v>Diptera</v>
      </c>
      <c r="G1216" t="str">
        <f>VLOOKUP($F1216,VLOOKUP_spp!$A$2:$E$102,5,1)</f>
        <v>Diptera</v>
      </c>
      <c r="H1216" t="str">
        <f t="shared" si="18"/>
        <v>Sep</v>
      </c>
      <c r="I1216">
        <v>1</v>
      </c>
    </row>
    <row r="1217" spans="1:9" x14ac:dyDescent="0.35">
      <c r="A1217">
        <v>1216</v>
      </c>
      <c r="B1217" s="2">
        <v>44104</v>
      </c>
      <c r="C1217" t="s">
        <v>6</v>
      </c>
      <c r="D1217" t="s">
        <v>147</v>
      </c>
      <c r="E1217">
        <v>6</v>
      </c>
      <c r="F1217" t="str">
        <f>VLOOKUP($C1217,VLOOKUP_spp!$A$2:$D$103,4,1)</f>
        <v>Diptera</v>
      </c>
      <c r="G1217" t="str">
        <f>VLOOKUP($F1217,VLOOKUP_spp!$A$2:$E$102,5,1)</f>
        <v>Diptera</v>
      </c>
      <c r="H1217" t="str">
        <f t="shared" si="18"/>
        <v>Sep</v>
      </c>
      <c r="I1217">
        <v>1</v>
      </c>
    </row>
    <row r="1218" spans="1:9" x14ac:dyDescent="0.35">
      <c r="A1218">
        <v>1217</v>
      </c>
      <c r="B1218" s="2">
        <v>44104</v>
      </c>
      <c r="C1218" t="s">
        <v>126</v>
      </c>
      <c r="D1218" t="s">
        <v>167</v>
      </c>
      <c r="E1218">
        <v>1</v>
      </c>
      <c r="F1218" t="str">
        <f>VLOOKUP($C1218,VLOOKUP_spp!$A$2:$D$103,4,1)</f>
        <v>Syrphidae</v>
      </c>
      <c r="G1218" t="str">
        <f>VLOOKUP($F1218,VLOOKUP_spp!$A$2:$E$102,5,1)</f>
        <v>Diptera</v>
      </c>
      <c r="H1218" t="str">
        <f t="shared" si="18"/>
        <v>Sep</v>
      </c>
      <c r="I1218">
        <v>1</v>
      </c>
    </row>
    <row r="1219" spans="1:9" x14ac:dyDescent="0.35">
      <c r="A1219">
        <v>1218</v>
      </c>
      <c r="B1219" s="2">
        <v>44111</v>
      </c>
      <c r="C1219" t="s">
        <v>50</v>
      </c>
      <c r="D1219" t="s">
        <v>169</v>
      </c>
      <c r="E1219">
        <v>1</v>
      </c>
      <c r="F1219" t="str">
        <f>VLOOKUP($C1219,VLOOKUP_spp!$A$2:$D$103,4,1)</f>
        <v>Apis_mellifera</v>
      </c>
      <c r="G1219" t="str">
        <f>VLOOKUP($F1219,VLOOKUP_spp!$A$2:$E$102,5,1)</f>
        <v>Hymenoptera</v>
      </c>
      <c r="H1219" t="str">
        <f t="shared" ref="H1219:H1282" si="19">TEXT(B1219, "mmm")</f>
        <v>Oct</v>
      </c>
      <c r="I1219">
        <v>1</v>
      </c>
    </row>
    <row r="1220" spans="1:9" x14ac:dyDescent="0.35">
      <c r="A1220">
        <v>1219</v>
      </c>
      <c r="B1220" s="2">
        <v>44111</v>
      </c>
      <c r="C1220" t="s">
        <v>7</v>
      </c>
      <c r="D1220" t="s">
        <v>169</v>
      </c>
      <c r="E1220">
        <v>2</v>
      </c>
      <c r="F1220" t="str">
        <f>VLOOKUP($C1220,VLOOKUP_spp!$A$2:$D$103,4,1)</f>
        <v>Coleoptera</v>
      </c>
      <c r="G1220" t="str">
        <f>VLOOKUP($F1220,VLOOKUP_spp!$A$2:$E$102,5,1)</f>
        <v>Coleoptera</v>
      </c>
      <c r="H1220" t="str">
        <f t="shared" si="19"/>
        <v>Oct</v>
      </c>
      <c r="I1220">
        <v>1</v>
      </c>
    </row>
    <row r="1221" spans="1:9" x14ac:dyDescent="0.35">
      <c r="A1221">
        <v>1220</v>
      </c>
      <c r="B1221" s="2">
        <v>44111</v>
      </c>
      <c r="C1221" t="s">
        <v>6</v>
      </c>
      <c r="D1221" t="s">
        <v>169</v>
      </c>
      <c r="E1221">
        <v>1</v>
      </c>
      <c r="F1221" t="str">
        <f>VLOOKUP($C1221,VLOOKUP_spp!$A$2:$D$103,4,1)</f>
        <v>Diptera</v>
      </c>
      <c r="G1221" t="str">
        <f>VLOOKUP($F1221,VLOOKUP_spp!$A$2:$E$102,5,1)</f>
        <v>Diptera</v>
      </c>
      <c r="H1221" t="str">
        <f t="shared" si="19"/>
        <v>Oct</v>
      </c>
      <c r="I1221">
        <v>1</v>
      </c>
    </row>
    <row r="1222" spans="1:9" x14ac:dyDescent="0.35">
      <c r="A1222">
        <v>1221</v>
      </c>
      <c r="B1222" s="2">
        <v>44111</v>
      </c>
      <c r="C1222" t="s">
        <v>6</v>
      </c>
      <c r="D1222" t="s">
        <v>158</v>
      </c>
      <c r="E1222">
        <v>1</v>
      </c>
      <c r="F1222" t="str">
        <f>VLOOKUP($C1222,VLOOKUP_spp!$A$2:$D$103,4,1)</f>
        <v>Diptera</v>
      </c>
      <c r="G1222" t="str">
        <f>VLOOKUP($F1222,VLOOKUP_spp!$A$2:$E$102,5,1)</f>
        <v>Diptera</v>
      </c>
      <c r="H1222" t="str">
        <f t="shared" si="19"/>
        <v>Oct</v>
      </c>
      <c r="I1222">
        <v>1</v>
      </c>
    </row>
    <row r="1223" spans="1:9" x14ac:dyDescent="0.35">
      <c r="A1223">
        <v>1222</v>
      </c>
      <c r="B1223" s="2">
        <v>44111</v>
      </c>
      <c r="C1223" t="s">
        <v>126</v>
      </c>
      <c r="D1223" t="s">
        <v>169</v>
      </c>
      <c r="E1223">
        <v>1</v>
      </c>
      <c r="F1223" t="str">
        <f>VLOOKUP($C1223,VLOOKUP_spp!$A$2:$D$103,4,1)</f>
        <v>Syrphidae</v>
      </c>
      <c r="G1223" t="str">
        <f>VLOOKUP($F1223,VLOOKUP_spp!$A$2:$E$102,5,1)</f>
        <v>Diptera</v>
      </c>
      <c r="H1223" t="str">
        <f t="shared" si="19"/>
        <v>Oct</v>
      </c>
      <c r="I1223">
        <v>1</v>
      </c>
    </row>
    <row r="1224" spans="1:9" x14ac:dyDescent="0.35">
      <c r="A1224">
        <v>1223</v>
      </c>
      <c r="B1224" s="2">
        <v>44111</v>
      </c>
      <c r="C1224" t="s">
        <v>128</v>
      </c>
      <c r="D1224" t="s">
        <v>169</v>
      </c>
      <c r="E1224">
        <v>3</v>
      </c>
      <c r="F1224" t="str">
        <f>VLOOKUP($C1224,VLOOKUP_spp!$A$2:$D$103,4,1)</f>
        <v>Wasp</v>
      </c>
      <c r="G1224" t="str">
        <f>VLOOKUP($F1224,VLOOKUP_spp!$A$2:$E$102,5,1)</f>
        <v>Hymenoptera</v>
      </c>
      <c r="H1224" t="str">
        <f t="shared" si="19"/>
        <v>Oct</v>
      </c>
      <c r="I1224">
        <v>1</v>
      </c>
    </row>
    <row r="1225" spans="1:9" x14ac:dyDescent="0.35">
      <c r="A1225">
        <v>1224</v>
      </c>
      <c r="B1225" s="2">
        <v>44111</v>
      </c>
      <c r="C1225" t="s">
        <v>128</v>
      </c>
      <c r="D1225" t="s">
        <v>173</v>
      </c>
      <c r="E1225">
        <v>2</v>
      </c>
      <c r="F1225" t="str">
        <f>VLOOKUP($C1225,VLOOKUP_spp!$A$2:$D$103,4,1)</f>
        <v>Wasp</v>
      </c>
      <c r="G1225" t="str">
        <f>VLOOKUP($F1225,VLOOKUP_spp!$A$2:$E$102,5,1)</f>
        <v>Hymenoptera</v>
      </c>
      <c r="H1225" t="str">
        <f t="shared" si="19"/>
        <v>Oct</v>
      </c>
      <c r="I1225">
        <v>1</v>
      </c>
    </row>
    <row r="1226" spans="1:9" x14ac:dyDescent="0.35">
      <c r="A1226">
        <v>1225</v>
      </c>
      <c r="B1226" s="2">
        <v>44113</v>
      </c>
      <c r="C1226" t="s">
        <v>50</v>
      </c>
      <c r="D1226" t="s">
        <v>169</v>
      </c>
      <c r="E1226">
        <v>1</v>
      </c>
      <c r="F1226" t="str">
        <f>VLOOKUP($C1226,VLOOKUP_spp!$A$2:$D$103,4,1)</f>
        <v>Apis_mellifera</v>
      </c>
      <c r="G1226" t="str">
        <f>VLOOKUP($F1226,VLOOKUP_spp!$A$2:$E$102,5,1)</f>
        <v>Hymenoptera</v>
      </c>
      <c r="H1226" t="str">
        <f t="shared" si="19"/>
        <v>Oct</v>
      </c>
      <c r="I1226">
        <v>1</v>
      </c>
    </row>
    <row r="1227" spans="1:9" x14ac:dyDescent="0.35">
      <c r="A1227">
        <v>1226</v>
      </c>
      <c r="B1227" s="2">
        <v>44113</v>
      </c>
      <c r="C1227" t="s">
        <v>50</v>
      </c>
      <c r="D1227" t="s">
        <v>172</v>
      </c>
      <c r="E1227">
        <v>1</v>
      </c>
      <c r="F1227" t="str">
        <f>VLOOKUP($C1227,VLOOKUP_spp!$A$2:$D$103,4,1)</f>
        <v>Apis_mellifera</v>
      </c>
      <c r="G1227" t="str">
        <f>VLOOKUP($F1227,VLOOKUP_spp!$A$2:$E$102,5,1)</f>
        <v>Hymenoptera</v>
      </c>
      <c r="H1227" t="str">
        <f t="shared" si="19"/>
        <v>Oct</v>
      </c>
      <c r="I1227">
        <v>1</v>
      </c>
    </row>
    <row r="1228" spans="1:9" x14ac:dyDescent="0.35">
      <c r="A1228">
        <v>1227</v>
      </c>
      <c r="B1228" s="2">
        <v>44113</v>
      </c>
      <c r="C1228" t="s">
        <v>52</v>
      </c>
      <c r="D1228" t="s">
        <v>158</v>
      </c>
      <c r="E1228">
        <v>2</v>
      </c>
      <c r="F1228" t="str">
        <f>VLOOKUP($C1228,VLOOKUP_spp!$A$2:$D$103,4,1)</f>
        <v>Augochlorella</v>
      </c>
      <c r="G1228" t="str">
        <f>VLOOKUP($F1228,VLOOKUP_spp!$A$2:$E$102,5,1)</f>
        <v>Hymenoptera</v>
      </c>
      <c r="H1228" t="str">
        <f t="shared" si="19"/>
        <v>Oct</v>
      </c>
      <c r="I1228">
        <v>1</v>
      </c>
    </row>
    <row r="1229" spans="1:9" x14ac:dyDescent="0.35">
      <c r="A1229">
        <v>1228</v>
      </c>
      <c r="B1229" s="2">
        <v>44113</v>
      </c>
      <c r="C1229" t="s">
        <v>7</v>
      </c>
      <c r="D1229" t="s">
        <v>158</v>
      </c>
      <c r="E1229">
        <v>2</v>
      </c>
      <c r="F1229" t="str">
        <f>VLOOKUP($C1229,VLOOKUP_spp!$A$2:$D$103,4,1)</f>
        <v>Coleoptera</v>
      </c>
      <c r="G1229" t="str">
        <f>VLOOKUP($F1229,VLOOKUP_spp!$A$2:$E$102,5,1)</f>
        <v>Coleoptera</v>
      </c>
      <c r="H1229" t="str">
        <f t="shared" si="19"/>
        <v>Oct</v>
      </c>
      <c r="I1229">
        <v>1</v>
      </c>
    </row>
    <row r="1230" spans="1:9" x14ac:dyDescent="0.35">
      <c r="A1230">
        <v>1229</v>
      </c>
      <c r="B1230" s="2">
        <v>44113</v>
      </c>
      <c r="C1230" t="s">
        <v>6</v>
      </c>
      <c r="D1230" t="s">
        <v>169</v>
      </c>
      <c r="E1230">
        <v>1</v>
      </c>
      <c r="F1230" t="str">
        <f>VLOOKUP($C1230,VLOOKUP_spp!$A$2:$D$103,4,1)</f>
        <v>Diptera</v>
      </c>
      <c r="G1230" t="str">
        <f>VLOOKUP($F1230,VLOOKUP_spp!$A$2:$E$102,5,1)</f>
        <v>Diptera</v>
      </c>
      <c r="H1230" t="str">
        <f t="shared" si="19"/>
        <v>Oct</v>
      </c>
      <c r="I1230">
        <v>1</v>
      </c>
    </row>
    <row r="1231" spans="1:9" x14ac:dyDescent="0.35">
      <c r="A1231">
        <v>1230</v>
      </c>
      <c r="B1231" s="2">
        <v>44113</v>
      </c>
      <c r="C1231" t="s">
        <v>6</v>
      </c>
      <c r="D1231" t="s">
        <v>158</v>
      </c>
      <c r="E1231">
        <v>1</v>
      </c>
      <c r="F1231" t="str">
        <f>VLOOKUP($C1231,VLOOKUP_spp!$A$2:$D$103,4,1)</f>
        <v>Diptera</v>
      </c>
      <c r="G1231" t="str">
        <f>VLOOKUP($F1231,VLOOKUP_spp!$A$2:$E$102,5,1)</f>
        <v>Diptera</v>
      </c>
      <c r="H1231" t="str">
        <f t="shared" si="19"/>
        <v>Oct</v>
      </c>
      <c r="I1231">
        <v>1</v>
      </c>
    </row>
    <row r="1232" spans="1:9" x14ac:dyDescent="0.35">
      <c r="A1232">
        <v>1231</v>
      </c>
      <c r="B1232" s="2">
        <v>44113</v>
      </c>
      <c r="C1232" t="s">
        <v>94</v>
      </c>
      <c r="D1232" t="s">
        <v>169</v>
      </c>
      <c r="E1232">
        <v>1</v>
      </c>
      <c r="F1232">
        <f>VLOOKUP($C1232,VLOOKUP_spp!$A$2:$D$103,4,1)</f>
        <v>0</v>
      </c>
      <c r="G1232" t="e">
        <f>VLOOKUP($F1232,VLOOKUP_spp!$A$2:$E$102,5,1)</f>
        <v>#N/A</v>
      </c>
      <c r="H1232" t="str">
        <f t="shared" si="19"/>
        <v>Oct</v>
      </c>
      <c r="I1232">
        <v>1</v>
      </c>
    </row>
    <row r="1233" spans="1:9" x14ac:dyDescent="0.35">
      <c r="A1233">
        <v>1232</v>
      </c>
      <c r="B1233" s="2">
        <v>44113</v>
      </c>
      <c r="C1233" t="s">
        <v>101</v>
      </c>
      <c r="D1233" t="s">
        <v>173</v>
      </c>
      <c r="E1233">
        <v>1</v>
      </c>
      <c r="F1233" t="str">
        <f>VLOOKUP($C1233,VLOOKUP_spp!$A$2:$D$103,4,1)</f>
        <v>Halictus_tripartitus</v>
      </c>
      <c r="G1233" t="str">
        <f>VLOOKUP($F1233,VLOOKUP_spp!$A$2:$E$102,5,1)</f>
        <v>Hymenoptera</v>
      </c>
      <c r="H1233" t="str">
        <f t="shared" si="19"/>
        <v>Oct</v>
      </c>
      <c r="I1233">
        <v>1</v>
      </c>
    </row>
    <row r="1234" spans="1:9" x14ac:dyDescent="0.35">
      <c r="A1234">
        <v>1233</v>
      </c>
      <c r="B1234" s="2">
        <v>44113</v>
      </c>
      <c r="C1234" t="s">
        <v>106</v>
      </c>
      <c r="D1234" t="s">
        <v>173</v>
      </c>
      <c r="E1234">
        <v>2</v>
      </c>
      <c r="F1234" t="str">
        <f>VLOOKUP($C1234,VLOOKUP_spp!$A$2:$D$103,4,1)</f>
        <v>Lasioglossum</v>
      </c>
      <c r="G1234" t="str">
        <f>VLOOKUP($F1234,VLOOKUP_spp!$A$2:$E$102,5,1)</f>
        <v>Hymenoptera</v>
      </c>
      <c r="H1234" t="str">
        <f t="shared" si="19"/>
        <v>Oct</v>
      </c>
      <c r="I1234">
        <v>1</v>
      </c>
    </row>
    <row r="1235" spans="1:9" x14ac:dyDescent="0.35">
      <c r="A1235">
        <v>1234</v>
      </c>
      <c r="B1235" s="2">
        <v>44113</v>
      </c>
      <c r="C1235" t="s">
        <v>128</v>
      </c>
      <c r="D1235" t="s">
        <v>169</v>
      </c>
      <c r="E1235">
        <v>3</v>
      </c>
      <c r="F1235" t="str">
        <f>VLOOKUP($C1235,VLOOKUP_spp!$A$2:$D$103,4,1)</f>
        <v>Wasp</v>
      </c>
      <c r="G1235" t="str">
        <f>VLOOKUP($F1235,VLOOKUP_spp!$A$2:$E$102,5,1)</f>
        <v>Hymenoptera</v>
      </c>
      <c r="H1235" t="str">
        <f t="shared" si="19"/>
        <v>Oct</v>
      </c>
      <c r="I1235">
        <v>1</v>
      </c>
    </row>
    <row r="1236" spans="1:9" x14ac:dyDescent="0.35">
      <c r="A1236">
        <v>1235</v>
      </c>
      <c r="B1236" s="2">
        <v>44113</v>
      </c>
      <c r="C1236" t="s">
        <v>128</v>
      </c>
      <c r="D1236" t="s">
        <v>173</v>
      </c>
      <c r="E1236">
        <v>1</v>
      </c>
      <c r="F1236" t="str">
        <f>VLOOKUP($C1236,VLOOKUP_spp!$A$2:$D$103,4,1)</f>
        <v>Wasp</v>
      </c>
      <c r="G1236" t="str">
        <f>VLOOKUP($F1236,VLOOKUP_spp!$A$2:$E$102,5,1)</f>
        <v>Hymenoptera</v>
      </c>
      <c r="H1236" t="str">
        <f t="shared" si="19"/>
        <v>Oct</v>
      </c>
      <c r="I1236">
        <v>1</v>
      </c>
    </row>
    <row r="1237" spans="1:9" x14ac:dyDescent="0.35">
      <c r="A1237">
        <v>1236</v>
      </c>
      <c r="B1237" s="2">
        <v>44113</v>
      </c>
      <c r="C1237" t="s">
        <v>128</v>
      </c>
      <c r="D1237" t="s">
        <v>172</v>
      </c>
      <c r="E1237">
        <v>1</v>
      </c>
      <c r="F1237" t="str">
        <f>VLOOKUP($C1237,VLOOKUP_spp!$A$2:$D$103,4,1)</f>
        <v>Wasp</v>
      </c>
      <c r="G1237" t="str">
        <f>VLOOKUP($F1237,VLOOKUP_spp!$A$2:$E$102,5,1)</f>
        <v>Hymenoptera</v>
      </c>
      <c r="H1237" t="str">
        <f t="shared" si="19"/>
        <v>Oct</v>
      </c>
      <c r="I1237">
        <v>1</v>
      </c>
    </row>
    <row r="1238" spans="1:9" x14ac:dyDescent="0.35">
      <c r="A1238">
        <v>1237</v>
      </c>
      <c r="B1238" s="2">
        <v>44118</v>
      </c>
      <c r="C1238" t="s">
        <v>50</v>
      </c>
      <c r="D1238" t="s">
        <v>169</v>
      </c>
      <c r="E1238">
        <v>5</v>
      </c>
      <c r="F1238" t="str">
        <f>VLOOKUP($C1238,VLOOKUP_spp!$A$2:$D$103,4,1)</f>
        <v>Apis_mellifera</v>
      </c>
      <c r="G1238" t="str">
        <f>VLOOKUP($F1238,VLOOKUP_spp!$A$2:$E$102,5,1)</f>
        <v>Hymenoptera</v>
      </c>
      <c r="H1238" t="str">
        <f t="shared" si="19"/>
        <v>Oct</v>
      </c>
      <c r="I1238">
        <v>1</v>
      </c>
    </row>
    <row r="1239" spans="1:9" x14ac:dyDescent="0.35">
      <c r="A1239">
        <v>1238</v>
      </c>
      <c r="B1239" s="2">
        <v>44118</v>
      </c>
      <c r="C1239" t="s">
        <v>50</v>
      </c>
      <c r="D1239" t="s">
        <v>158</v>
      </c>
      <c r="E1239">
        <v>1</v>
      </c>
      <c r="F1239" t="str">
        <f>VLOOKUP($C1239,VLOOKUP_spp!$A$2:$D$103,4,1)</f>
        <v>Apis_mellifera</v>
      </c>
      <c r="G1239" t="str">
        <f>VLOOKUP($F1239,VLOOKUP_spp!$A$2:$E$102,5,1)</f>
        <v>Hymenoptera</v>
      </c>
      <c r="H1239" t="str">
        <f t="shared" si="19"/>
        <v>Oct</v>
      </c>
      <c r="I1239">
        <v>1</v>
      </c>
    </row>
    <row r="1240" spans="1:9" x14ac:dyDescent="0.35">
      <c r="A1240">
        <v>1239</v>
      </c>
      <c r="B1240" s="2">
        <v>44118</v>
      </c>
      <c r="C1240" t="s">
        <v>50</v>
      </c>
      <c r="D1240" t="s">
        <v>173</v>
      </c>
      <c r="E1240">
        <v>3</v>
      </c>
      <c r="F1240" t="str">
        <f>VLOOKUP($C1240,VLOOKUP_spp!$A$2:$D$103,4,1)</f>
        <v>Apis_mellifera</v>
      </c>
      <c r="G1240" t="str">
        <f>VLOOKUP($F1240,VLOOKUP_spp!$A$2:$E$102,5,1)</f>
        <v>Hymenoptera</v>
      </c>
      <c r="H1240" t="str">
        <f t="shared" si="19"/>
        <v>Oct</v>
      </c>
      <c r="I1240">
        <v>1</v>
      </c>
    </row>
    <row r="1241" spans="1:9" x14ac:dyDescent="0.35">
      <c r="A1241">
        <v>1240</v>
      </c>
      <c r="B1241" s="2">
        <v>44118</v>
      </c>
      <c r="C1241" t="s">
        <v>51</v>
      </c>
      <c r="D1241" t="s">
        <v>158</v>
      </c>
      <c r="E1241">
        <v>3</v>
      </c>
      <c r="F1241" t="str">
        <f>VLOOKUP($C1241,VLOOKUP_spp!$A$2:$D$103,4,1)</f>
        <v>Augochlora</v>
      </c>
      <c r="G1241" t="str">
        <f>VLOOKUP($F1241,VLOOKUP_spp!$A$2:$E$102,5,1)</f>
        <v>Hymenoptera</v>
      </c>
      <c r="H1241" t="str">
        <f t="shared" si="19"/>
        <v>Oct</v>
      </c>
      <c r="I1241">
        <v>1</v>
      </c>
    </row>
    <row r="1242" spans="1:9" x14ac:dyDescent="0.35">
      <c r="A1242">
        <v>1241</v>
      </c>
      <c r="B1242" s="2">
        <v>44118</v>
      </c>
      <c r="C1242" t="s">
        <v>52</v>
      </c>
      <c r="D1242" t="s">
        <v>158</v>
      </c>
      <c r="E1242">
        <v>3</v>
      </c>
      <c r="F1242" t="str">
        <f>VLOOKUP($C1242,VLOOKUP_spp!$A$2:$D$103,4,1)</f>
        <v>Augochlorella</v>
      </c>
      <c r="G1242" t="str">
        <f>VLOOKUP($F1242,VLOOKUP_spp!$A$2:$E$102,5,1)</f>
        <v>Hymenoptera</v>
      </c>
      <c r="H1242" t="str">
        <f t="shared" si="19"/>
        <v>Oct</v>
      </c>
      <c r="I1242">
        <v>1</v>
      </c>
    </row>
    <row r="1243" spans="1:9" x14ac:dyDescent="0.35">
      <c r="A1243">
        <v>1242</v>
      </c>
      <c r="B1243" s="2">
        <v>44118</v>
      </c>
      <c r="C1243" t="s">
        <v>7</v>
      </c>
      <c r="D1243" t="s">
        <v>169</v>
      </c>
      <c r="E1243">
        <v>1</v>
      </c>
      <c r="F1243" t="str">
        <f>VLOOKUP($C1243,VLOOKUP_spp!$A$2:$D$103,4,1)</f>
        <v>Coleoptera</v>
      </c>
      <c r="G1243" t="str">
        <f>VLOOKUP($F1243,VLOOKUP_spp!$A$2:$E$102,5,1)</f>
        <v>Coleoptera</v>
      </c>
      <c r="H1243" t="str">
        <f t="shared" si="19"/>
        <v>Oct</v>
      </c>
      <c r="I1243">
        <v>1</v>
      </c>
    </row>
    <row r="1244" spans="1:9" x14ac:dyDescent="0.35">
      <c r="A1244">
        <v>1243</v>
      </c>
      <c r="B1244" s="2">
        <v>44118</v>
      </c>
      <c r="C1244" t="s">
        <v>7</v>
      </c>
      <c r="D1244" t="s">
        <v>158</v>
      </c>
      <c r="E1244">
        <v>7</v>
      </c>
      <c r="F1244" t="str">
        <f>VLOOKUP($C1244,VLOOKUP_spp!$A$2:$D$103,4,1)</f>
        <v>Coleoptera</v>
      </c>
      <c r="G1244" t="str">
        <f>VLOOKUP($F1244,VLOOKUP_spp!$A$2:$E$102,5,1)</f>
        <v>Coleoptera</v>
      </c>
      <c r="H1244" t="str">
        <f t="shared" si="19"/>
        <v>Oct</v>
      </c>
      <c r="I1244">
        <v>1</v>
      </c>
    </row>
    <row r="1245" spans="1:9" x14ac:dyDescent="0.35">
      <c r="A1245">
        <v>1244</v>
      </c>
      <c r="B1245" s="2">
        <v>44118</v>
      </c>
      <c r="C1245" t="s">
        <v>7</v>
      </c>
      <c r="D1245" t="s">
        <v>177</v>
      </c>
      <c r="E1245">
        <v>1</v>
      </c>
      <c r="F1245" t="str">
        <f>VLOOKUP($C1245,VLOOKUP_spp!$A$2:$D$103,4,1)</f>
        <v>Coleoptera</v>
      </c>
      <c r="G1245" t="str">
        <f>VLOOKUP($F1245,VLOOKUP_spp!$A$2:$E$102,5,1)</f>
        <v>Coleoptera</v>
      </c>
      <c r="H1245" t="str">
        <f t="shared" si="19"/>
        <v>Oct</v>
      </c>
      <c r="I1245">
        <v>1</v>
      </c>
    </row>
    <row r="1246" spans="1:9" x14ac:dyDescent="0.35">
      <c r="A1246">
        <v>1245</v>
      </c>
      <c r="B1246" s="2">
        <v>44118</v>
      </c>
      <c r="C1246" t="s">
        <v>7</v>
      </c>
      <c r="D1246" t="s">
        <v>147</v>
      </c>
      <c r="E1246">
        <v>1</v>
      </c>
      <c r="F1246" t="str">
        <f>VLOOKUP($C1246,VLOOKUP_spp!$A$2:$D$103,4,1)</f>
        <v>Coleoptera</v>
      </c>
      <c r="G1246" t="str">
        <f>VLOOKUP($F1246,VLOOKUP_spp!$A$2:$E$102,5,1)</f>
        <v>Coleoptera</v>
      </c>
      <c r="H1246" t="str">
        <f t="shared" si="19"/>
        <v>Oct</v>
      </c>
      <c r="I1246">
        <v>1</v>
      </c>
    </row>
    <row r="1247" spans="1:9" x14ac:dyDescent="0.35">
      <c r="A1247">
        <v>1246</v>
      </c>
      <c r="B1247" s="2">
        <v>44118</v>
      </c>
      <c r="C1247" t="s">
        <v>6</v>
      </c>
      <c r="D1247" t="s">
        <v>169</v>
      </c>
      <c r="E1247">
        <v>5</v>
      </c>
      <c r="F1247" t="str">
        <f>VLOOKUP($C1247,VLOOKUP_spp!$A$2:$D$103,4,1)</f>
        <v>Diptera</v>
      </c>
      <c r="G1247" t="str">
        <f>VLOOKUP($F1247,VLOOKUP_spp!$A$2:$E$102,5,1)</f>
        <v>Diptera</v>
      </c>
      <c r="H1247" t="str">
        <f t="shared" si="19"/>
        <v>Oct</v>
      </c>
      <c r="I1247">
        <v>1</v>
      </c>
    </row>
    <row r="1248" spans="1:9" x14ac:dyDescent="0.35">
      <c r="A1248">
        <v>1247</v>
      </c>
      <c r="B1248" s="2">
        <v>44118</v>
      </c>
      <c r="C1248" t="s">
        <v>6</v>
      </c>
      <c r="D1248" t="s">
        <v>158</v>
      </c>
      <c r="E1248">
        <v>2</v>
      </c>
      <c r="F1248" t="str">
        <f>VLOOKUP($C1248,VLOOKUP_spp!$A$2:$D$103,4,1)</f>
        <v>Diptera</v>
      </c>
      <c r="G1248" t="str">
        <f>VLOOKUP($F1248,VLOOKUP_spp!$A$2:$E$102,5,1)</f>
        <v>Diptera</v>
      </c>
      <c r="H1248" t="str">
        <f t="shared" si="19"/>
        <v>Oct</v>
      </c>
      <c r="I1248">
        <v>1</v>
      </c>
    </row>
    <row r="1249" spans="1:9" x14ac:dyDescent="0.35">
      <c r="A1249">
        <v>1248</v>
      </c>
      <c r="B1249" s="2">
        <v>44118</v>
      </c>
      <c r="C1249" t="s">
        <v>6</v>
      </c>
      <c r="D1249" t="s">
        <v>177</v>
      </c>
      <c r="E1249">
        <v>3</v>
      </c>
      <c r="F1249" t="str">
        <f>VLOOKUP($C1249,VLOOKUP_spp!$A$2:$D$103,4,1)</f>
        <v>Diptera</v>
      </c>
      <c r="G1249" t="str">
        <f>VLOOKUP($F1249,VLOOKUP_spp!$A$2:$E$102,5,1)</f>
        <v>Diptera</v>
      </c>
      <c r="H1249" t="str">
        <f t="shared" si="19"/>
        <v>Oct</v>
      </c>
      <c r="I1249">
        <v>1</v>
      </c>
    </row>
    <row r="1250" spans="1:9" x14ac:dyDescent="0.35">
      <c r="A1250">
        <v>1249</v>
      </c>
      <c r="B1250" s="2">
        <v>44118</v>
      </c>
      <c r="C1250" t="s">
        <v>101</v>
      </c>
      <c r="D1250" t="s">
        <v>169</v>
      </c>
      <c r="E1250">
        <v>1</v>
      </c>
      <c r="F1250" t="str">
        <f>VLOOKUP($C1250,VLOOKUP_spp!$A$2:$D$103,4,1)</f>
        <v>Halictus_tripartitus</v>
      </c>
      <c r="G1250" t="str">
        <f>VLOOKUP($F1250,VLOOKUP_spp!$A$2:$E$102,5,1)</f>
        <v>Hymenoptera</v>
      </c>
      <c r="H1250" t="str">
        <f t="shared" si="19"/>
        <v>Oct</v>
      </c>
      <c r="I1250">
        <v>1</v>
      </c>
    </row>
    <row r="1251" spans="1:9" x14ac:dyDescent="0.35">
      <c r="A1251">
        <v>1250</v>
      </c>
      <c r="B1251" s="2">
        <v>44118</v>
      </c>
      <c r="C1251" t="s">
        <v>8</v>
      </c>
      <c r="D1251" t="s">
        <v>158</v>
      </c>
      <c r="E1251">
        <v>1</v>
      </c>
      <c r="F1251" t="str">
        <f>VLOOKUP($C1251,VLOOKUP_spp!$A$2:$D$103,4,1)</f>
        <v>Lepidoptera</v>
      </c>
      <c r="G1251" t="str">
        <f>VLOOKUP($F1251,VLOOKUP_spp!$A$2:$E$102,5,1)</f>
        <v>Lepidoptera</v>
      </c>
      <c r="H1251" t="str">
        <f t="shared" si="19"/>
        <v>Oct</v>
      </c>
      <c r="I1251">
        <v>1</v>
      </c>
    </row>
    <row r="1252" spans="1:9" x14ac:dyDescent="0.35">
      <c r="A1252">
        <v>1251</v>
      </c>
      <c r="B1252" s="2">
        <v>44118</v>
      </c>
      <c r="C1252" t="s">
        <v>126</v>
      </c>
      <c r="D1252" t="s">
        <v>169</v>
      </c>
      <c r="E1252">
        <v>1</v>
      </c>
      <c r="F1252" t="str">
        <f>VLOOKUP($C1252,VLOOKUP_spp!$A$2:$D$103,4,1)</f>
        <v>Syrphidae</v>
      </c>
      <c r="G1252" t="str">
        <f>VLOOKUP($F1252,VLOOKUP_spp!$A$2:$E$102,5,1)</f>
        <v>Diptera</v>
      </c>
      <c r="H1252" t="str">
        <f t="shared" si="19"/>
        <v>Oct</v>
      </c>
      <c r="I1252">
        <v>1</v>
      </c>
    </row>
    <row r="1253" spans="1:9" x14ac:dyDescent="0.35">
      <c r="A1253">
        <v>1252</v>
      </c>
      <c r="B1253" s="2">
        <v>44118</v>
      </c>
      <c r="C1253" t="s">
        <v>126</v>
      </c>
      <c r="D1253" t="s">
        <v>158</v>
      </c>
      <c r="E1253">
        <v>1</v>
      </c>
      <c r="F1253" t="str">
        <f>VLOOKUP($C1253,VLOOKUP_spp!$A$2:$D$103,4,1)</f>
        <v>Syrphidae</v>
      </c>
      <c r="G1253" t="str">
        <f>VLOOKUP($F1253,VLOOKUP_spp!$A$2:$E$102,5,1)</f>
        <v>Diptera</v>
      </c>
      <c r="H1253" t="str">
        <f t="shared" si="19"/>
        <v>Oct</v>
      </c>
      <c r="I1253">
        <v>1</v>
      </c>
    </row>
    <row r="1254" spans="1:9" x14ac:dyDescent="0.35">
      <c r="A1254">
        <v>1253</v>
      </c>
      <c r="B1254" s="2">
        <v>44118</v>
      </c>
      <c r="C1254" t="s">
        <v>126</v>
      </c>
      <c r="D1254" t="s">
        <v>166</v>
      </c>
      <c r="E1254">
        <v>1</v>
      </c>
      <c r="F1254" t="str">
        <f>VLOOKUP($C1254,VLOOKUP_spp!$A$2:$D$103,4,1)</f>
        <v>Syrphidae</v>
      </c>
      <c r="G1254" t="str">
        <f>VLOOKUP($F1254,VLOOKUP_spp!$A$2:$E$102,5,1)</f>
        <v>Diptera</v>
      </c>
      <c r="H1254" t="str">
        <f t="shared" si="19"/>
        <v>Oct</v>
      </c>
      <c r="I1254">
        <v>1</v>
      </c>
    </row>
    <row r="1255" spans="1:9" x14ac:dyDescent="0.35">
      <c r="A1255">
        <v>1254</v>
      </c>
      <c r="B1255" s="2">
        <v>44118</v>
      </c>
      <c r="C1255" t="s">
        <v>126</v>
      </c>
      <c r="D1255" t="s">
        <v>177</v>
      </c>
      <c r="E1255">
        <v>1</v>
      </c>
      <c r="F1255" t="str">
        <f>VLOOKUP($C1255,VLOOKUP_spp!$A$2:$D$103,4,1)</f>
        <v>Syrphidae</v>
      </c>
      <c r="G1255" t="str">
        <f>VLOOKUP($F1255,VLOOKUP_spp!$A$2:$E$102,5,1)</f>
        <v>Diptera</v>
      </c>
      <c r="H1255" t="str">
        <f t="shared" si="19"/>
        <v>Oct</v>
      </c>
      <c r="I1255">
        <v>1</v>
      </c>
    </row>
    <row r="1256" spans="1:9" x14ac:dyDescent="0.35">
      <c r="A1256">
        <v>1255</v>
      </c>
      <c r="B1256" s="2">
        <v>44118</v>
      </c>
      <c r="C1256" t="s">
        <v>126</v>
      </c>
      <c r="D1256" t="s">
        <v>147</v>
      </c>
      <c r="E1256">
        <v>13</v>
      </c>
      <c r="F1256" t="str">
        <f>VLOOKUP($C1256,VLOOKUP_spp!$A$2:$D$103,4,1)</f>
        <v>Syrphidae</v>
      </c>
      <c r="G1256" t="str">
        <f>VLOOKUP($F1256,VLOOKUP_spp!$A$2:$E$102,5,1)</f>
        <v>Diptera</v>
      </c>
      <c r="H1256" t="str">
        <f t="shared" si="19"/>
        <v>Oct</v>
      </c>
      <c r="I1256">
        <v>1</v>
      </c>
    </row>
    <row r="1257" spans="1:9" x14ac:dyDescent="0.35">
      <c r="A1257">
        <v>1256</v>
      </c>
      <c r="B1257" s="2">
        <v>44118</v>
      </c>
      <c r="C1257" t="s">
        <v>134</v>
      </c>
      <c r="D1257" t="s">
        <v>158</v>
      </c>
      <c r="E1257">
        <v>1</v>
      </c>
      <c r="F1257" t="str">
        <f>VLOOKUP($C1257,VLOOKUP_spp!$A$2:$D$103,4,1)</f>
        <v>Xylocopa</v>
      </c>
      <c r="G1257" t="str">
        <f>VLOOKUP($F1257,VLOOKUP_spp!$A$2:$E$102,5,1)</f>
        <v>Hymenoptera</v>
      </c>
      <c r="H1257" t="str">
        <f t="shared" si="19"/>
        <v>Oct</v>
      </c>
      <c r="I1257">
        <v>1</v>
      </c>
    </row>
    <row r="1258" spans="1:9" x14ac:dyDescent="0.35">
      <c r="A1258">
        <v>1257</v>
      </c>
      <c r="B1258" s="2">
        <v>44120</v>
      </c>
      <c r="C1258" t="s">
        <v>50</v>
      </c>
      <c r="D1258" t="s">
        <v>169</v>
      </c>
      <c r="E1258">
        <v>3</v>
      </c>
      <c r="F1258" t="str">
        <f>VLOOKUP($C1258,VLOOKUP_spp!$A$2:$D$103,4,1)</f>
        <v>Apis_mellifera</v>
      </c>
      <c r="G1258" t="str">
        <f>VLOOKUP($F1258,VLOOKUP_spp!$A$2:$E$102,5,1)</f>
        <v>Hymenoptera</v>
      </c>
      <c r="H1258" t="str">
        <f t="shared" si="19"/>
        <v>Oct</v>
      </c>
      <c r="I1258">
        <v>1</v>
      </c>
    </row>
    <row r="1259" spans="1:9" x14ac:dyDescent="0.35">
      <c r="A1259">
        <v>1258</v>
      </c>
      <c r="B1259" s="2">
        <v>44125</v>
      </c>
      <c r="C1259" t="s">
        <v>50</v>
      </c>
      <c r="D1259" t="s">
        <v>166</v>
      </c>
      <c r="E1259">
        <v>3</v>
      </c>
      <c r="F1259" t="str">
        <f>VLOOKUP($C1259,VLOOKUP_spp!$A$2:$D$103,4,1)</f>
        <v>Apis_mellifera</v>
      </c>
      <c r="G1259" t="str">
        <f>VLOOKUP($F1259,VLOOKUP_spp!$A$2:$E$102,5,1)</f>
        <v>Hymenoptera</v>
      </c>
      <c r="H1259" t="str">
        <f t="shared" si="19"/>
        <v>Oct</v>
      </c>
      <c r="I1259">
        <v>1</v>
      </c>
    </row>
    <row r="1260" spans="1:9" x14ac:dyDescent="0.35">
      <c r="A1260">
        <v>1259</v>
      </c>
      <c r="B1260" s="2">
        <v>44125</v>
      </c>
      <c r="C1260" t="s">
        <v>50</v>
      </c>
      <c r="D1260" t="s">
        <v>172</v>
      </c>
      <c r="E1260">
        <v>2</v>
      </c>
      <c r="F1260" t="str">
        <f>VLOOKUP($C1260,VLOOKUP_spp!$A$2:$D$103,4,1)</f>
        <v>Apis_mellifera</v>
      </c>
      <c r="G1260" t="str">
        <f>VLOOKUP($F1260,VLOOKUP_spp!$A$2:$E$102,5,1)</f>
        <v>Hymenoptera</v>
      </c>
      <c r="H1260" t="str">
        <f t="shared" si="19"/>
        <v>Oct</v>
      </c>
      <c r="I1260">
        <v>1</v>
      </c>
    </row>
    <row r="1261" spans="1:9" x14ac:dyDescent="0.35">
      <c r="A1261">
        <v>1260</v>
      </c>
      <c r="B1261" s="2">
        <v>44386</v>
      </c>
      <c r="C1261" t="s">
        <v>54</v>
      </c>
      <c r="D1261" t="s">
        <v>146</v>
      </c>
      <c r="E1261">
        <v>3</v>
      </c>
      <c r="F1261" t="str">
        <f>VLOOKUP($C1261,VLOOKUP_spp!$A$2:$D$103,4,1)</f>
        <v>Bombus_affinis</v>
      </c>
      <c r="G1261" t="str">
        <f>VLOOKUP($F1261,VLOOKUP_spp!$A$2:$E$102,5,1)</f>
        <v>Hymenoptera</v>
      </c>
      <c r="H1261" t="str">
        <f t="shared" si="19"/>
        <v>Jul</v>
      </c>
      <c r="I1261">
        <v>1</v>
      </c>
    </row>
    <row r="1262" spans="1:9" x14ac:dyDescent="0.35">
      <c r="A1262">
        <v>1261</v>
      </c>
      <c r="B1262" s="2">
        <v>44386</v>
      </c>
      <c r="C1262" t="s">
        <v>67</v>
      </c>
      <c r="D1262" t="s">
        <v>149</v>
      </c>
      <c r="E1262">
        <v>1</v>
      </c>
      <c r="F1262" t="str">
        <f>VLOOKUP($C1262,VLOOKUP_spp!$A$2:$D$103,4,1)</f>
        <v>Bombus_impatiens</v>
      </c>
      <c r="G1262" t="str">
        <f>VLOOKUP($F1262,VLOOKUP_spp!$A$2:$E$102,5,1)</f>
        <v>Hymenoptera</v>
      </c>
      <c r="H1262" t="str">
        <f t="shared" si="19"/>
        <v>Jul</v>
      </c>
      <c r="I1262">
        <v>1</v>
      </c>
    </row>
    <row r="1263" spans="1:9" x14ac:dyDescent="0.35">
      <c r="A1263">
        <v>1262</v>
      </c>
      <c r="B1263" s="2">
        <v>44386</v>
      </c>
      <c r="C1263" t="s">
        <v>87</v>
      </c>
      <c r="D1263" t="s">
        <v>146</v>
      </c>
      <c r="E1263">
        <v>1</v>
      </c>
      <c r="F1263" t="str">
        <f>VLOOKUP($C1263,VLOOKUP_spp!$A$2:$D$103,4,1)</f>
        <v>Chelostoma</v>
      </c>
      <c r="G1263" t="str">
        <f>VLOOKUP($F1263,VLOOKUP_spp!$A$2:$E$102,5,1)</f>
        <v>Hymenoptera</v>
      </c>
      <c r="H1263" t="str">
        <f t="shared" si="19"/>
        <v>Jul</v>
      </c>
      <c r="I1263">
        <v>1</v>
      </c>
    </row>
    <row r="1264" spans="1:9" x14ac:dyDescent="0.35">
      <c r="A1264">
        <v>1263</v>
      </c>
      <c r="B1264" s="2">
        <v>44386</v>
      </c>
      <c r="C1264" t="s">
        <v>7</v>
      </c>
      <c r="D1264" t="s">
        <v>146</v>
      </c>
      <c r="E1264">
        <v>6</v>
      </c>
      <c r="F1264" t="str">
        <f>VLOOKUP($C1264,VLOOKUP_spp!$A$2:$D$103,4,1)</f>
        <v>Coleoptera</v>
      </c>
      <c r="G1264" t="str">
        <f>VLOOKUP($F1264,VLOOKUP_spp!$A$2:$E$102,5,1)</f>
        <v>Coleoptera</v>
      </c>
      <c r="H1264" t="str">
        <f t="shared" si="19"/>
        <v>Jul</v>
      </c>
      <c r="I1264">
        <v>1</v>
      </c>
    </row>
    <row r="1265" spans="1:9" x14ac:dyDescent="0.35">
      <c r="A1265">
        <v>1264</v>
      </c>
      <c r="B1265" s="2">
        <v>44386</v>
      </c>
      <c r="C1265" t="s">
        <v>7</v>
      </c>
      <c r="D1265" t="s">
        <v>147</v>
      </c>
      <c r="E1265">
        <v>2</v>
      </c>
      <c r="F1265" t="str">
        <f>VLOOKUP($C1265,VLOOKUP_spp!$A$2:$D$103,4,1)</f>
        <v>Coleoptera</v>
      </c>
      <c r="G1265" t="str">
        <f>VLOOKUP($F1265,VLOOKUP_spp!$A$2:$E$102,5,1)</f>
        <v>Coleoptera</v>
      </c>
      <c r="H1265" t="str">
        <f t="shared" si="19"/>
        <v>Jul</v>
      </c>
      <c r="I1265">
        <v>1</v>
      </c>
    </row>
    <row r="1266" spans="1:9" x14ac:dyDescent="0.35">
      <c r="A1266">
        <v>1265</v>
      </c>
      <c r="B1266" s="2">
        <v>44386</v>
      </c>
      <c r="C1266" t="s">
        <v>6</v>
      </c>
      <c r="D1266" t="s">
        <v>146</v>
      </c>
      <c r="E1266">
        <v>11</v>
      </c>
      <c r="F1266" t="str">
        <f>VLOOKUP($C1266,VLOOKUP_spp!$A$2:$D$103,4,1)</f>
        <v>Diptera</v>
      </c>
      <c r="G1266" t="str">
        <f>VLOOKUP($F1266,VLOOKUP_spp!$A$2:$E$102,5,1)</f>
        <v>Diptera</v>
      </c>
      <c r="H1266" t="str">
        <f t="shared" si="19"/>
        <v>Jul</v>
      </c>
      <c r="I1266">
        <v>1</v>
      </c>
    </row>
    <row r="1267" spans="1:9" x14ac:dyDescent="0.35">
      <c r="A1267">
        <v>1266</v>
      </c>
      <c r="B1267" s="2">
        <v>44386</v>
      </c>
      <c r="C1267" t="s">
        <v>6</v>
      </c>
      <c r="D1267" t="s">
        <v>149</v>
      </c>
      <c r="E1267">
        <v>2</v>
      </c>
      <c r="F1267" t="str">
        <f>VLOOKUP($C1267,VLOOKUP_spp!$A$2:$D$103,4,1)</f>
        <v>Diptera</v>
      </c>
      <c r="G1267" t="str">
        <f>VLOOKUP($F1267,VLOOKUP_spp!$A$2:$E$102,5,1)</f>
        <v>Diptera</v>
      </c>
      <c r="H1267" t="str">
        <f t="shared" si="19"/>
        <v>Jul</v>
      </c>
      <c r="I1267">
        <v>1</v>
      </c>
    </row>
    <row r="1268" spans="1:9" x14ac:dyDescent="0.35">
      <c r="A1268">
        <v>1267</v>
      </c>
      <c r="B1268" s="2">
        <v>44386</v>
      </c>
      <c r="C1268" t="s">
        <v>97</v>
      </c>
      <c r="D1268" t="s">
        <v>146</v>
      </c>
      <c r="E1268">
        <v>1</v>
      </c>
      <c r="F1268" t="str">
        <f>VLOOKUP($C1268,VLOOKUP_spp!$A$2:$D$103,4,1)</f>
        <v>Halictus</v>
      </c>
      <c r="G1268" t="str">
        <f>VLOOKUP($F1268,VLOOKUP_spp!$A$2:$E$102,5,1)</f>
        <v>Hymenoptera</v>
      </c>
      <c r="H1268" t="str">
        <f t="shared" si="19"/>
        <v>Jul</v>
      </c>
      <c r="I1268">
        <v>1</v>
      </c>
    </row>
    <row r="1269" spans="1:9" x14ac:dyDescent="0.35">
      <c r="A1269">
        <v>1268</v>
      </c>
      <c r="B1269" s="2">
        <v>44386</v>
      </c>
      <c r="C1269" t="s">
        <v>101</v>
      </c>
      <c r="D1269" t="s">
        <v>146</v>
      </c>
      <c r="E1269">
        <v>1</v>
      </c>
      <c r="F1269" t="str">
        <f>VLOOKUP($C1269,VLOOKUP_spp!$A$2:$D$103,4,1)</f>
        <v>Halictus_tripartitus</v>
      </c>
      <c r="G1269" t="str">
        <f>VLOOKUP($F1269,VLOOKUP_spp!$A$2:$E$102,5,1)</f>
        <v>Hymenoptera</v>
      </c>
      <c r="H1269" t="str">
        <f t="shared" si="19"/>
        <v>Jul</v>
      </c>
      <c r="I1269">
        <v>1</v>
      </c>
    </row>
    <row r="1270" spans="1:9" x14ac:dyDescent="0.35">
      <c r="A1270">
        <v>1269</v>
      </c>
      <c r="B1270" s="2">
        <v>44386</v>
      </c>
      <c r="C1270" t="s">
        <v>103</v>
      </c>
      <c r="D1270" t="s">
        <v>147</v>
      </c>
      <c r="E1270">
        <v>1</v>
      </c>
      <c r="F1270" t="str">
        <f>VLOOKUP($C1270,VLOOKUP_spp!$A$2:$D$103,4,1)</f>
        <v>Hylaeus</v>
      </c>
      <c r="G1270" t="str">
        <f>VLOOKUP($F1270,VLOOKUP_spp!$A$2:$E$102,5,1)</f>
        <v>Hymenoptera</v>
      </c>
      <c r="H1270" t="str">
        <f t="shared" si="19"/>
        <v>Jul</v>
      </c>
      <c r="I1270">
        <v>1</v>
      </c>
    </row>
    <row r="1271" spans="1:9" x14ac:dyDescent="0.35">
      <c r="A1271">
        <v>1270</v>
      </c>
      <c r="B1271" s="2">
        <v>44386</v>
      </c>
      <c r="C1271" t="s">
        <v>104</v>
      </c>
      <c r="D1271" t="s">
        <v>146</v>
      </c>
      <c r="E1271">
        <v>1</v>
      </c>
      <c r="F1271" t="str">
        <f>VLOOKUP($C1271,VLOOKUP_spp!$A$2:$D$103,4,1)</f>
        <v>Hylaeus_leptocephalus</v>
      </c>
      <c r="G1271" t="str">
        <f>VLOOKUP($F1271,VLOOKUP_spp!$A$2:$E$102,5,1)</f>
        <v>Hymenoptera</v>
      </c>
      <c r="H1271" t="str">
        <f t="shared" si="19"/>
        <v>Jul</v>
      </c>
      <c r="I1271">
        <v>1</v>
      </c>
    </row>
    <row r="1272" spans="1:9" x14ac:dyDescent="0.35">
      <c r="A1272">
        <v>1271</v>
      </c>
      <c r="B1272" s="2">
        <v>44386</v>
      </c>
      <c r="C1272" t="s">
        <v>105</v>
      </c>
      <c r="D1272" t="s">
        <v>146</v>
      </c>
      <c r="E1272">
        <v>1</v>
      </c>
      <c r="F1272" t="str">
        <f>VLOOKUP($C1272,VLOOKUP_spp!$A$2:$D$103,4,1)</f>
        <v>Hylaeus_modestus</v>
      </c>
      <c r="G1272" t="str">
        <f>VLOOKUP($F1272,VLOOKUP_spp!$A$2:$E$102,5,1)</f>
        <v>Hymenoptera</v>
      </c>
      <c r="H1272" t="str">
        <f t="shared" si="19"/>
        <v>Jul</v>
      </c>
      <c r="I1272">
        <v>1</v>
      </c>
    </row>
    <row r="1273" spans="1:9" x14ac:dyDescent="0.35">
      <c r="A1273">
        <v>1272</v>
      </c>
      <c r="B1273" s="2">
        <v>44386</v>
      </c>
      <c r="C1273" t="s">
        <v>106</v>
      </c>
      <c r="D1273" t="s">
        <v>146</v>
      </c>
      <c r="E1273">
        <v>5</v>
      </c>
      <c r="F1273" t="str">
        <f>VLOOKUP($C1273,VLOOKUP_spp!$A$2:$D$103,4,1)</f>
        <v>Lasioglossum</v>
      </c>
      <c r="G1273" t="str">
        <f>VLOOKUP($F1273,VLOOKUP_spp!$A$2:$E$102,5,1)</f>
        <v>Hymenoptera</v>
      </c>
      <c r="H1273" t="str">
        <f t="shared" si="19"/>
        <v>Jul</v>
      </c>
      <c r="I1273">
        <v>1</v>
      </c>
    </row>
    <row r="1274" spans="1:9" x14ac:dyDescent="0.35">
      <c r="A1274">
        <v>1273</v>
      </c>
      <c r="B1274" s="2">
        <v>44386</v>
      </c>
      <c r="C1274" t="s">
        <v>8</v>
      </c>
      <c r="D1274" t="s">
        <v>147</v>
      </c>
      <c r="E1274">
        <v>1</v>
      </c>
      <c r="F1274" t="str">
        <f>VLOOKUP($C1274,VLOOKUP_spp!$A$2:$D$103,4,1)</f>
        <v>Lepidoptera</v>
      </c>
      <c r="G1274" t="str">
        <f>VLOOKUP($F1274,VLOOKUP_spp!$A$2:$E$102,5,1)</f>
        <v>Lepidoptera</v>
      </c>
      <c r="H1274" t="str">
        <f t="shared" si="19"/>
        <v>Jul</v>
      </c>
      <c r="I1274">
        <v>1</v>
      </c>
    </row>
    <row r="1275" spans="1:9" x14ac:dyDescent="0.35">
      <c r="A1275">
        <v>1274</v>
      </c>
      <c r="B1275" s="2">
        <v>44386</v>
      </c>
      <c r="C1275" t="s">
        <v>111</v>
      </c>
      <c r="D1275" t="s">
        <v>146</v>
      </c>
      <c r="E1275">
        <v>1</v>
      </c>
      <c r="F1275">
        <f>VLOOKUP($C1275,VLOOKUP_spp!$A$2:$D$103,4,1)</f>
        <v>0</v>
      </c>
      <c r="G1275" t="e">
        <f>VLOOKUP($F1275,VLOOKUP_spp!$A$2:$E$102,5,1)</f>
        <v>#N/A</v>
      </c>
      <c r="H1275" t="str">
        <f t="shared" si="19"/>
        <v>Jul</v>
      </c>
      <c r="I1275">
        <v>1</v>
      </c>
    </row>
    <row r="1276" spans="1:9" x14ac:dyDescent="0.35">
      <c r="A1276">
        <v>1275</v>
      </c>
      <c r="B1276" s="2">
        <v>44386</v>
      </c>
      <c r="C1276" t="s">
        <v>111</v>
      </c>
      <c r="D1276" t="s">
        <v>147</v>
      </c>
      <c r="E1276">
        <v>1</v>
      </c>
      <c r="F1276">
        <f>VLOOKUP($C1276,VLOOKUP_spp!$A$2:$D$103,4,1)</f>
        <v>0</v>
      </c>
      <c r="G1276" t="e">
        <f>VLOOKUP($F1276,VLOOKUP_spp!$A$2:$E$102,5,1)</f>
        <v>#N/A</v>
      </c>
      <c r="H1276" t="str">
        <f t="shared" si="19"/>
        <v>Jul</v>
      </c>
      <c r="I1276">
        <v>1</v>
      </c>
    </row>
    <row r="1277" spans="1:9" x14ac:dyDescent="0.35">
      <c r="A1277">
        <v>1276</v>
      </c>
      <c r="B1277" s="2">
        <v>44386</v>
      </c>
      <c r="C1277" t="s">
        <v>126</v>
      </c>
      <c r="D1277" t="s">
        <v>146</v>
      </c>
      <c r="E1277">
        <v>1</v>
      </c>
      <c r="F1277" t="str">
        <f>VLOOKUP($C1277,VLOOKUP_spp!$A$2:$D$103,4,1)</f>
        <v>Syrphidae</v>
      </c>
      <c r="G1277" t="str">
        <f>VLOOKUP($F1277,VLOOKUP_spp!$A$2:$E$102,5,1)</f>
        <v>Diptera</v>
      </c>
      <c r="H1277" t="str">
        <f t="shared" si="19"/>
        <v>Jul</v>
      </c>
      <c r="I1277">
        <v>1</v>
      </c>
    </row>
    <row r="1278" spans="1:9" x14ac:dyDescent="0.35">
      <c r="A1278">
        <v>1277</v>
      </c>
      <c r="B1278" s="2">
        <v>44386</v>
      </c>
      <c r="C1278" t="s">
        <v>128</v>
      </c>
      <c r="D1278" t="s">
        <v>146</v>
      </c>
      <c r="E1278">
        <v>18</v>
      </c>
      <c r="F1278" t="str">
        <f>VLOOKUP($C1278,VLOOKUP_spp!$A$2:$D$103,4,1)</f>
        <v>Wasp</v>
      </c>
      <c r="G1278" t="str">
        <f>VLOOKUP($F1278,VLOOKUP_spp!$A$2:$E$102,5,1)</f>
        <v>Hymenoptera</v>
      </c>
      <c r="H1278" t="str">
        <f t="shared" si="19"/>
        <v>Jul</v>
      </c>
      <c r="I1278">
        <v>1</v>
      </c>
    </row>
    <row r="1279" spans="1:9" x14ac:dyDescent="0.35">
      <c r="A1279">
        <v>1278</v>
      </c>
      <c r="B1279" s="2">
        <v>44386</v>
      </c>
      <c r="C1279" t="s">
        <v>128</v>
      </c>
      <c r="D1279" t="s">
        <v>149</v>
      </c>
      <c r="E1279">
        <v>3</v>
      </c>
      <c r="F1279" t="str">
        <f>VLOOKUP($C1279,VLOOKUP_spp!$A$2:$D$103,4,1)</f>
        <v>Wasp</v>
      </c>
      <c r="G1279" t="str">
        <f>VLOOKUP($F1279,VLOOKUP_spp!$A$2:$E$102,5,1)</f>
        <v>Hymenoptera</v>
      </c>
      <c r="H1279" t="str">
        <f t="shared" si="19"/>
        <v>Jul</v>
      </c>
      <c r="I1279">
        <v>1</v>
      </c>
    </row>
    <row r="1280" spans="1:9" x14ac:dyDescent="0.35">
      <c r="A1280">
        <v>1279</v>
      </c>
      <c r="B1280" s="2">
        <v>44386</v>
      </c>
      <c r="C1280" t="s">
        <v>128</v>
      </c>
      <c r="D1280" t="s">
        <v>147</v>
      </c>
      <c r="E1280">
        <v>3</v>
      </c>
      <c r="F1280" t="str">
        <f>VLOOKUP($C1280,VLOOKUP_spp!$A$2:$D$103,4,1)</f>
        <v>Wasp</v>
      </c>
      <c r="G1280" t="str">
        <f>VLOOKUP($F1280,VLOOKUP_spp!$A$2:$E$102,5,1)</f>
        <v>Hymenoptera</v>
      </c>
      <c r="H1280" t="str">
        <f t="shared" si="19"/>
        <v>Jul</v>
      </c>
      <c r="I1280">
        <v>1</v>
      </c>
    </row>
    <row r="1281" spans="1:9" x14ac:dyDescent="0.35">
      <c r="A1281">
        <v>1280</v>
      </c>
      <c r="B1281" s="2">
        <v>44392</v>
      </c>
      <c r="C1281" t="s">
        <v>50</v>
      </c>
      <c r="D1281" t="s">
        <v>147</v>
      </c>
      <c r="E1281">
        <v>2</v>
      </c>
      <c r="F1281" t="str">
        <f>VLOOKUP($C1281,VLOOKUP_spp!$A$2:$D$103,4,1)</f>
        <v>Apis_mellifera</v>
      </c>
      <c r="G1281" t="str">
        <f>VLOOKUP($F1281,VLOOKUP_spp!$A$2:$E$102,5,1)</f>
        <v>Hymenoptera</v>
      </c>
      <c r="H1281" t="str">
        <f t="shared" si="19"/>
        <v>Jul</v>
      </c>
      <c r="I1281">
        <v>1</v>
      </c>
    </row>
    <row r="1282" spans="1:9" x14ac:dyDescent="0.35">
      <c r="A1282">
        <v>1281</v>
      </c>
      <c r="B1282" s="2">
        <v>44392</v>
      </c>
      <c r="C1282" t="s">
        <v>51</v>
      </c>
      <c r="D1282" t="s">
        <v>146</v>
      </c>
      <c r="E1282">
        <v>1</v>
      </c>
      <c r="F1282" t="str">
        <f>VLOOKUP($C1282,VLOOKUP_spp!$A$2:$D$103,4,1)</f>
        <v>Augochlora</v>
      </c>
      <c r="G1282" t="str">
        <f>VLOOKUP($F1282,VLOOKUP_spp!$A$2:$E$102,5,1)</f>
        <v>Hymenoptera</v>
      </c>
      <c r="H1282" t="str">
        <f t="shared" si="19"/>
        <v>Jul</v>
      </c>
      <c r="I1282">
        <v>1</v>
      </c>
    </row>
    <row r="1283" spans="1:9" x14ac:dyDescent="0.35">
      <c r="A1283">
        <v>1282</v>
      </c>
      <c r="B1283" s="2">
        <v>44392</v>
      </c>
      <c r="C1283" t="s">
        <v>54</v>
      </c>
      <c r="D1283" t="s">
        <v>150</v>
      </c>
      <c r="E1283">
        <v>5</v>
      </c>
      <c r="F1283" t="str">
        <f>VLOOKUP($C1283,VLOOKUP_spp!$A$2:$D$103,4,1)</f>
        <v>Bombus_affinis</v>
      </c>
      <c r="G1283" t="str">
        <f>VLOOKUP($F1283,VLOOKUP_spp!$A$2:$E$102,5,1)</f>
        <v>Hymenoptera</v>
      </c>
      <c r="H1283" t="str">
        <f t="shared" ref="H1283:H1346" si="20">TEXT(B1283, "mmm")</f>
        <v>Jul</v>
      </c>
      <c r="I1283">
        <v>1</v>
      </c>
    </row>
    <row r="1284" spans="1:9" x14ac:dyDescent="0.35">
      <c r="A1284">
        <v>1283</v>
      </c>
      <c r="B1284" s="2">
        <v>44392</v>
      </c>
      <c r="C1284" t="s">
        <v>66</v>
      </c>
      <c r="D1284" t="s">
        <v>150</v>
      </c>
      <c r="E1284">
        <v>1</v>
      </c>
      <c r="F1284" t="str">
        <f>VLOOKUP($C1284,VLOOKUP_spp!$A$2:$D$103,4,1)</f>
        <v>Bombus</v>
      </c>
      <c r="G1284" t="str">
        <f>VLOOKUP($F1284,VLOOKUP_spp!$A$2:$E$102,5,1)</f>
        <v>Hymenoptera</v>
      </c>
      <c r="H1284" t="str">
        <f t="shared" si="20"/>
        <v>Jul</v>
      </c>
      <c r="I1284">
        <v>1</v>
      </c>
    </row>
    <row r="1285" spans="1:9" x14ac:dyDescent="0.35">
      <c r="A1285">
        <v>1284</v>
      </c>
      <c r="B1285" s="2">
        <v>44392</v>
      </c>
      <c r="C1285" t="s">
        <v>75</v>
      </c>
      <c r="D1285" t="s">
        <v>150</v>
      </c>
      <c r="E1285">
        <v>1</v>
      </c>
      <c r="F1285" t="str">
        <f>VLOOKUP($C1285,VLOOKUP_spp!$A$2:$D$103,4,1)</f>
        <v>Bombus</v>
      </c>
      <c r="G1285" t="str">
        <f>VLOOKUP($F1285,VLOOKUP_spp!$A$2:$E$102,5,1)</f>
        <v>Hymenoptera</v>
      </c>
      <c r="H1285" t="str">
        <f t="shared" si="20"/>
        <v>Jul</v>
      </c>
      <c r="I1285">
        <v>1</v>
      </c>
    </row>
    <row r="1286" spans="1:9" x14ac:dyDescent="0.35">
      <c r="A1286">
        <v>1285</v>
      </c>
      <c r="B1286" s="2">
        <v>44392</v>
      </c>
      <c r="C1286" t="s">
        <v>85</v>
      </c>
      <c r="D1286" t="s">
        <v>146</v>
      </c>
      <c r="E1286">
        <v>2</v>
      </c>
      <c r="F1286" t="str">
        <f>VLOOKUP($C1286,VLOOKUP_spp!$A$2:$D$103,4,1)</f>
        <v>Ceratina</v>
      </c>
      <c r="G1286" t="str">
        <f>VLOOKUP($F1286,VLOOKUP_spp!$A$2:$E$102,5,1)</f>
        <v>Hymenoptera</v>
      </c>
      <c r="H1286" t="str">
        <f t="shared" si="20"/>
        <v>Jul</v>
      </c>
      <c r="I1286">
        <v>1</v>
      </c>
    </row>
    <row r="1287" spans="1:9" x14ac:dyDescent="0.35">
      <c r="A1287">
        <v>1286</v>
      </c>
      <c r="B1287" s="2">
        <v>44392</v>
      </c>
      <c r="C1287" t="s">
        <v>86</v>
      </c>
      <c r="D1287" t="s">
        <v>146</v>
      </c>
      <c r="E1287">
        <v>1</v>
      </c>
      <c r="F1287">
        <f>VLOOKUP($C1287,VLOOKUP_spp!$A$2:$D$103,4,1)</f>
        <v>0</v>
      </c>
      <c r="G1287" t="e">
        <f>VLOOKUP($F1287,VLOOKUP_spp!$A$2:$E$102,5,1)</f>
        <v>#N/A</v>
      </c>
      <c r="H1287" t="str">
        <f t="shared" si="20"/>
        <v>Jul</v>
      </c>
      <c r="I1287">
        <v>1</v>
      </c>
    </row>
    <row r="1288" spans="1:9" x14ac:dyDescent="0.35">
      <c r="A1288">
        <v>1287</v>
      </c>
      <c r="B1288" s="2">
        <v>44392</v>
      </c>
      <c r="C1288" t="s">
        <v>87</v>
      </c>
      <c r="D1288" t="s">
        <v>146</v>
      </c>
      <c r="E1288">
        <v>1</v>
      </c>
      <c r="F1288" t="str">
        <f>VLOOKUP($C1288,VLOOKUP_spp!$A$2:$D$103,4,1)</f>
        <v>Chelostoma</v>
      </c>
      <c r="G1288" t="str">
        <f>VLOOKUP($F1288,VLOOKUP_spp!$A$2:$E$102,5,1)</f>
        <v>Hymenoptera</v>
      </c>
      <c r="H1288" t="str">
        <f t="shared" si="20"/>
        <v>Jul</v>
      </c>
      <c r="I1288">
        <v>1</v>
      </c>
    </row>
    <row r="1289" spans="1:9" x14ac:dyDescent="0.35">
      <c r="A1289">
        <v>1288</v>
      </c>
      <c r="B1289" s="2">
        <v>44392</v>
      </c>
      <c r="C1289" t="s">
        <v>7</v>
      </c>
      <c r="D1289" t="s">
        <v>146</v>
      </c>
      <c r="E1289">
        <v>3</v>
      </c>
      <c r="F1289" t="str">
        <f>VLOOKUP($C1289,VLOOKUP_spp!$A$2:$D$103,4,1)</f>
        <v>Coleoptera</v>
      </c>
      <c r="G1289" t="str">
        <f>VLOOKUP($F1289,VLOOKUP_spp!$A$2:$E$102,5,1)</f>
        <v>Coleoptera</v>
      </c>
      <c r="H1289" t="str">
        <f t="shared" si="20"/>
        <v>Jul</v>
      </c>
      <c r="I1289">
        <v>1</v>
      </c>
    </row>
    <row r="1290" spans="1:9" x14ac:dyDescent="0.35">
      <c r="A1290">
        <v>1289</v>
      </c>
      <c r="B1290" s="2">
        <v>44392</v>
      </c>
      <c r="C1290" t="s">
        <v>7</v>
      </c>
      <c r="D1290" t="s">
        <v>147</v>
      </c>
      <c r="E1290">
        <v>6</v>
      </c>
      <c r="F1290" t="str">
        <f>VLOOKUP($C1290,VLOOKUP_spp!$A$2:$D$103,4,1)</f>
        <v>Coleoptera</v>
      </c>
      <c r="G1290" t="str">
        <f>VLOOKUP($F1290,VLOOKUP_spp!$A$2:$E$102,5,1)</f>
        <v>Coleoptera</v>
      </c>
      <c r="H1290" t="str">
        <f t="shared" si="20"/>
        <v>Jul</v>
      </c>
      <c r="I1290">
        <v>1</v>
      </c>
    </row>
    <row r="1291" spans="1:9" x14ac:dyDescent="0.35">
      <c r="A1291">
        <v>1290</v>
      </c>
      <c r="B1291" s="2">
        <v>44392</v>
      </c>
      <c r="C1291" t="s">
        <v>6</v>
      </c>
      <c r="D1291" t="s">
        <v>146</v>
      </c>
      <c r="E1291">
        <v>6</v>
      </c>
      <c r="F1291" t="str">
        <f>VLOOKUP($C1291,VLOOKUP_spp!$A$2:$D$103,4,1)</f>
        <v>Diptera</v>
      </c>
      <c r="G1291" t="str">
        <f>VLOOKUP($F1291,VLOOKUP_spp!$A$2:$E$102,5,1)</f>
        <v>Diptera</v>
      </c>
      <c r="H1291" t="str">
        <f t="shared" si="20"/>
        <v>Jul</v>
      </c>
      <c r="I1291">
        <v>1</v>
      </c>
    </row>
    <row r="1292" spans="1:9" x14ac:dyDescent="0.35">
      <c r="A1292">
        <v>1291</v>
      </c>
      <c r="B1292" s="2">
        <v>44392</v>
      </c>
      <c r="C1292" t="s">
        <v>6</v>
      </c>
      <c r="D1292" t="s">
        <v>149</v>
      </c>
      <c r="E1292">
        <v>2</v>
      </c>
      <c r="F1292" t="str">
        <f>VLOOKUP($C1292,VLOOKUP_spp!$A$2:$D$103,4,1)</f>
        <v>Diptera</v>
      </c>
      <c r="G1292" t="str">
        <f>VLOOKUP($F1292,VLOOKUP_spp!$A$2:$E$102,5,1)</f>
        <v>Diptera</v>
      </c>
      <c r="H1292" t="str">
        <f t="shared" si="20"/>
        <v>Jul</v>
      </c>
      <c r="I1292">
        <v>1</v>
      </c>
    </row>
    <row r="1293" spans="1:9" x14ac:dyDescent="0.35">
      <c r="A1293">
        <v>1292</v>
      </c>
      <c r="B1293" s="2">
        <v>44392</v>
      </c>
      <c r="C1293" t="s">
        <v>6</v>
      </c>
      <c r="D1293" t="s">
        <v>147</v>
      </c>
      <c r="E1293">
        <v>2</v>
      </c>
      <c r="F1293" t="str">
        <f>VLOOKUP($C1293,VLOOKUP_spp!$A$2:$D$103,4,1)</f>
        <v>Diptera</v>
      </c>
      <c r="G1293" t="str">
        <f>VLOOKUP($F1293,VLOOKUP_spp!$A$2:$E$102,5,1)</f>
        <v>Diptera</v>
      </c>
      <c r="H1293" t="str">
        <f t="shared" si="20"/>
        <v>Jul</v>
      </c>
      <c r="I1293">
        <v>1</v>
      </c>
    </row>
    <row r="1294" spans="1:9" x14ac:dyDescent="0.35">
      <c r="A1294">
        <v>1293</v>
      </c>
      <c r="B1294" s="2">
        <v>44392</v>
      </c>
      <c r="C1294" t="s">
        <v>101</v>
      </c>
      <c r="D1294" t="s">
        <v>146</v>
      </c>
      <c r="E1294">
        <v>3</v>
      </c>
      <c r="F1294" t="str">
        <f>VLOOKUP($C1294,VLOOKUP_spp!$A$2:$D$103,4,1)</f>
        <v>Halictus_tripartitus</v>
      </c>
      <c r="G1294" t="str">
        <f>VLOOKUP($F1294,VLOOKUP_spp!$A$2:$E$102,5,1)</f>
        <v>Hymenoptera</v>
      </c>
      <c r="H1294" t="str">
        <f t="shared" si="20"/>
        <v>Jul</v>
      </c>
      <c r="I1294">
        <v>1</v>
      </c>
    </row>
    <row r="1295" spans="1:9" x14ac:dyDescent="0.35">
      <c r="A1295">
        <v>1294</v>
      </c>
      <c r="B1295" s="2">
        <v>44392</v>
      </c>
      <c r="C1295" t="s">
        <v>103</v>
      </c>
      <c r="D1295" t="s">
        <v>146</v>
      </c>
      <c r="E1295">
        <v>2</v>
      </c>
      <c r="F1295" t="str">
        <f>VLOOKUP($C1295,VLOOKUP_spp!$A$2:$D$103,4,1)</f>
        <v>Hylaeus</v>
      </c>
      <c r="G1295" t="str">
        <f>VLOOKUP($F1295,VLOOKUP_spp!$A$2:$E$102,5,1)</f>
        <v>Hymenoptera</v>
      </c>
      <c r="H1295" t="str">
        <f t="shared" si="20"/>
        <v>Jul</v>
      </c>
      <c r="I1295">
        <v>1</v>
      </c>
    </row>
    <row r="1296" spans="1:9" x14ac:dyDescent="0.35">
      <c r="A1296">
        <v>1295</v>
      </c>
      <c r="B1296" s="2">
        <v>44392</v>
      </c>
      <c r="C1296" t="s">
        <v>105</v>
      </c>
      <c r="D1296" t="s">
        <v>146</v>
      </c>
      <c r="E1296">
        <v>1</v>
      </c>
      <c r="F1296" t="str">
        <f>VLOOKUP($C1296,VLOOKUP_spp!$A$2:$D$103,4,1)</f>
        <v>Hylaeus_modestus</v>
      </c>
      <c r="G1296" t="str">
        <f>VLOOKUP($F1296,VLOOKUP_spp!$A$2:$E$102,5,1)</f>
        <v>Hymenoptera</v>
      </c>
      <c r="H1296" t="str">
        <f t="shared" si="20"/>
        <v>Jul</v>
      </c>
      <c r="I1296">
        <v>1</v>
      </c>
    </row>
    <row r="1297" spans="1:9" x14ac:dyDescent="0.35">
      <c r="A1297">
        <v>1296</v>
      </c>
      <c r="B1297" s="2">
        <v>44392</v>
      </c>
      <c r="C1297" t="s">
        <v>106</v>
      </c>
      <c r="D1297" t="s">
        <v>146</v>
      </c>
      <c r="E1297">
        <v>2</v>
      </c>
      <c r="F1297" t="str">
        <f>VLOOKUP($C1297,VLOOKUP_spp!$A$2:$D$103,4,1)</f>
        <v>Lasioglossum</v>
      </c>
      <c r="G1297" t="str">
        <f>VLOOKUP($F1297,VLOOKUP_spp!$A$2:$E$102,5,1)</f>
        <v>Hymenoptera</v>
      </c>
      <c r="H1297" t="str">
        <f t="shared" si="20"/>
        <v>Jul</v>
      </c>
      <c r="I1297">
        <v>1</v>
      </c>
    </row>
    <row r="1298" spans="1:9" x14ac:dyDescent="0.35">
      <c r="A1298">
        <v>1297</v>
      </c>
      <c r="B1298" s="2">
        <v>44392</v>
      </c>
      <c r="C1298" t="s">
        <v>106</v>
      </c>
      <c r="D1298" t="s">
        <v>174</v>
      </c>
      <c r="E1298">
        <v>2</v>
      </c>
      <c r="F1298" t="str">
        <f>VLOOKUP($C1298,VLOOKUP_spp!$A$2:$D$103,4,1)</f>
        <v>Lasioglossum</v>
      </c>
      <c r="G1298" t="str">
        <f>VLOOKUP($F1298,VLOOKUP_spp!$A$2:$E$102,5,1)</f>
        <v>Hymenoptera</v>
      </c>
      <c r="H1298" t="str">
        <f t="shared" si="20"/>
        <v>Jul</v>
      </c>
      <c r="I1298">
        <v>1</v>
      </c>
    </row>
    <row r="1299" spans="1:9" x14ac:dyDescent="0.35">
      <c r="A1299">
        <v>1298</v>
      </c>
      <c r="B1299" s="2">
        <v>44392</v>
      </c>
      <c r="C1299" t="s">
        <v>110</v>
      </c>
      <c r="D1299" t="s">
        <v>146</v>
      </c>
      <c r="E1299">
        <v>1</v>
      </c>
      <c r="F1299" t="str">
        <f>VLOOKUP($C1299,VLOOKUP_spp!$A$2:$D$103,4,1)</f>
        <v>Megachile_sculpturalis</v>
      </c>
      <c r="G1299" t="str">
        <f>VLOOKUP($F1299,VLOOKUP_spp!$A$2:$E$102,5,1)</f>
        <v>Hymenoptera</v>
      </c>
      <c r="H1299" t="str">
        <f t="shared" si="20"/>
        <v>Jul</v>
      </c>
      <c r="I1299">
        <v>1</v>
      </c>
    </row>
    <row r="1300" spans="1:9" x14ac:dyDescent="0.35">
      <c r="A1300">
        <v>1299</v>
      </c>
      <c r="B1300" s="2">
        <v>44392</v>
      </c>
      <c r="C1300" t="s">
        <v>115</v>
      </c>
      <c r="D1300" t="s">
        <v>147</v>
      </c>
      <c r="E1300">
        <v>1</v>
      </c>
      <c r="F1300" t="str">
        <f>VLOOKUP($C1300,VLOOKUP_spp!$A$2:$D$103,4,1)</f>
        <v>Nomada</v>
      </c>
      <c r="G1300" t="str">
        <f>VLOOKUP($F1300,VLOOKUP_spp!$A$2:$E$102,5,1)</f>
        <v>Hymenoptera</v>
      </c>
      <c r="H1300" t="str">
        <f t="shared" si="20"/>
        <v>Jul</v>
      </c>
      <c r="I1300">
        <v>1</v>
      </c>
    </row>
    <row r="1301" spans="1:9" x14ac:dyDescent="0.35">
      <c r="A1301">
        <v>1300</v>
      </c>
      <c r="B1301" s="2">
        <v>44392</v>
      </c>
      <c r="C1301" t="s">
        <v>125</v>
      </c>
      <c r="D1301" t="s">
        <v>147</v>
      </c>
      <c r="E1301">
        <v>1</v>
      </c>
      <c r="F1301" t="str">
        <f>VLOOKUP($C1301,VLOOKUP_spp!$A$2:$D$103,4,1)</f>
        <v>Stelis</v>
      </c>
      <c r="G1301" t="str">
        <f>VLOOKUP($F1301,VLOOKUP_spp!$A$2:$E$102,5,1)</f>
        <v>Hymenoptera</v>
      </c>
      <c r="H1301" t="str">
        <f t="shared" si="20"/>
        <v>Jul</v>
      </c>
      <c r="I1301">
        <v>1</v>
      </c>
    </row>
    <row r="1302" spans="1:9" x14ac:dyDescent="0.35">
      <c r="A1302">
        <v>1301</v>
      </c>
      <c r="B1302" s="2">
        <v>44392</v>
      </c>
      <c r="C1302" t="s">
        <v>126</v>
      </c>
      <c r="D1302" t="s">
        <v>146</v>
      </c>
      <c r="E1302">
        <v>9</v>
      </c>
      <c r="F1302" t="str">
        <f>VLOOKUP($C1302,VLOOKUP_spp!$A$2:$D$103,4,1)</f>
        <v>Syrphidae</v>
      </c>
      <c r="G1302" t="str">
        <f>VLOOKUP($F1302,VLOOKUP_spp!$A$2:$E$102,5,1)</f>
        <v>Diptera</v>
      </c>
      <c r="H1302" t="str">
        <f t="shared" si="20"/>
        <v>Jul</v>
      </c>
      <c r="I1302">
        <v>1</v>
      </c>
    </row>
    <row r="1303" spans="1:9" x14ac:dyDescent="0.35">
      <c r="A1303">
        <v>1302</v>
      </c>
      <c r="B1303" s="2">
        <v>44392</v>
      </c>
      <c r="C1303" t="s">
        <v>126</v>
      </c>
      <c r="D1303" t="s">
        <v>147</v>
      </c>
      <c r="E1303">
        <v>4</v>
      </c>
      <c r="F1303" t="str">
        <f>VLOOKUP($C1303,VLOOKUP_spp!$A$2:$D$103,4,1)</f>
        <v>Syrphidae</v>
      </c>
      <c r="G1303" t="str">
        <f>VLOOKUP($F1303,VLOOKUP_spp!$A$2:$E$102,5,1)</f>
        <v>Diptera</v>
      </c>
      <c r="H1303" t="str">
        <f t="shared" si="20"/>
        <v>Jul</v>
      </c>
      <c r="I1303">
        <v>1</v>
      </c>
    </row>
    <row r="1304" spans="1:9" x14ac:dyDescent="0.35">
      <c r="A1304">
        <v>1303</v>
      </c>
      <c r="B1304" s="2">
        <v>44392</v>
      </c>
      <c r="C1304" t="s">
        <v>128</v>
      </c>
      <c r="D1304" t="s">
        <v>146</v>
      </c>
      <c r="E1304">
        <v>14</v>
      </c>
      <c r="F1304" t="str">
        <f>VLOOKUP($C1304,VLOOKUP_spp!$A$2:$D$103,4,1)</f>
        <v>Wasp</v>
      </c>
      <c r="G1304" t="str">
        <f>VLOOKUP($F1304,VLOOKUP_spp!$A$2:$E$102,5,1)</f>
        <v>Hymenoptera</v>
      </c>
      <c r="H1304" t="str">
        <f t="shared" si="20"/>
        <v>Jul</v>
      </c>
      <c r="I1304">
        <v>1</v>
      </c>
    </row>
    <row r="1305" spans="1:9" x14ac:dyDescent="0.35">
      <c r="A1305">
        <v>1304</v>
      </c>
      <c r="B1305" s="2">
        <v>44392</v>
      </c>
      <c r="C1305" t="s">
        <v>128</v>
      </c>
      <c r="D1305" t="s">
        <v>147</v>
      </c>
      <c r="E1305">
        <v>1</v>
      </c>
      <c r="F1305" t="str">
        <f>VLOOKUP($C1305,VLOOKUP_spp!$A$2:$D$103,4,1)</f>
        <v>Wasp</v>
      </c>
      <c r="G1305" t="str">
        <f>VLOOKUP($F1305,VLOOKUP_spp!$A$2:$E$102,5,1)</f>
        <v>Hymenoptera</v>
      </c>
      <c r="H1305" t="str">
        <f t="shared" si="20"/>
        <v>Jul</v>
      </c>
      <c r="I1305">
        <v>1</v>
      </c>
    </row>
    <row r="1306" spans="1:9" x14ac:dyDescent="0.35">
      <c r="A1306">
        <v>1305</v>
      </c>
      <c r="B1306" s="2">
        <v>44393</v>
      </c>
      <c r="C1306" t="s">
        <v>67</v>
      </c>
      <c r="D1306" t="s">
        <v>150</v>
      </c>
      <c r="E1306">
        <v>3</v>
      </c>
      <c r="F1306" t="str">
        <f>VLOOKUP($C1306,VLOOKUP_spp!$A$2:$D$103,4,1)</f>
        <v>Bombus_impatiens</v>
      </c>
      <c r="G1306" t="str">
        <f>VLOOKUP($F1306,VLOOKUP_spp!$A$2:$E$102,5,1)</f>
        <v>Hymenoptera</v>
      </c>
      <c r="H1306" t="str">
        <f t="shared" si="20"/>
        <v>Jul</v>
      </c>
      <c r="I1306">
        <v>1</v>
      </c>
    </row>
    <row r="1307" spans="1:9" x14ac:dyDescent="0.35">
      <c r="A1307">
        <v>1306</v>
      </c>
      <c r="B1307" s="2">
        <v>44393</v>
      </c>
      <c r="C1307" t="s">
        <v>85</v>
      </c>
      <c r="D1307" t="s">
        <v>146</v>
      </c>
      <c r="E1307">
        <v>1</v>
      </c>
      <c r="F1307" t="str">
        <f>VLOOKUP($C1307,VLOOKUP_spp!$A$2:$D$103,4,1)</f>
        <v>Ceratina</v>
      </c>
      <c r="G1307" t="str">
        <f>VLOOKUP($F1307,VLOOKUP_spp!$A$2:$E$102,5,1)</f>
        <v>Hymenoptera</v>
      </c>
      <c r="H1307" t="str">
        <f t="shared" si="20"/>
        <v>Jul</v>
      </c>
      <c r="I1307">
        <v>1</v>
      </c>
    </row>
    <row r="1308" spans="1:9" x14ac:dyDescent="0.35">
      <c r="A1308">
        <v>1307</v>
      </c>
      <c r="B1308" s="2">
        <v>44393</v>
      </c>
      <c r="C1308" t="s">
        <v>7</v>
      </c>
      <c r="D1308" t="s">
        <v>146</v>
      </c>
      <c r="E1308">
        <v>2</v>
      </c>
      <c r="F1308" t="str">
        <f>VLOOKUP($C1308,VLOOKUP_spp!$A$2:$D$103,4,1)</f>
        <v>Coleoptera</v>
      </c>
      <c r="G1308" t="str">
        <f>VLOOKUP($F1308,VLOOKUP_spp!$A$2:$E$102,5,1)</f>
        <v>Coleoptera</v>
      </c>
      <c r="H1308" t="str">
        <f t="shared" si="20"/>
        <v>Jul</v>
      </c>
      <c r="I1308">
        <v>1</v>
      </c>
    </row>
    <row r="1309" spans="1:9" x14ac:dyDescent="0.35">
      <c r="A1309">
        <v>1308</v>
      </c>
      <c r="B1309" s="2">
        <v>44393</v>
      </c>
      <c r="C1309" t="s">
        <v>6</v>
      </c>
      <c r="D1309" t="s">
        <v>146</v>
      </c>
      <c r="E1309">
        <v>3</v>
      </c>
      <c r="F1309" t="str">
        <f>VLOOKUP($C1309,VLOOKUP_spp!$A$2:$D$103,4,1)</f>
        <v>Diptera</v>
      </c>
      <c r="G1309" t="str">
        <f>VLOOKUP($F1309,VLOOKUP_spp!$A$2:$E$102,5,1)</f>
        <v>Diptera</v>
      </c>
      <c r="H1309" t="str">
        <f t="shared" si="20"/>
        <v>Jul</v>
      </c>
      <c r="I1309">
        <v>1</v>
      </c>
    </row>
    <row r="1310" spans="1:9" x14ac:dyDescent="0.35">
      <c r="A1310">
        <v>1309</v>
      </c>
      <c r="B1310" s="2">
        <v>44393</v>
      </c>
      <c r="C1310" t="s">
        <v>6</v>
      </c>
      <c r="D1310" t="s">
        <v>150</v>
      </c>
      <c r="E1310">
        <v>2</v>
      </c>
      <c r="F1310" t="str">
        <f>VLOOKUP($C1310,VLOOKUP_spp!$A$2:$D$103,4,1)</f>
        <v>Diptera</v>
      </c>
      <c r="G1310" t="str">
        <f>VLOOKUP($F1310,VLOOKUP_spp!$A$2:$E$102,5,1)</f>
        <v>Diptera</v>
      </c>
      <c r="H1310" t="str">
        <f t="shared" si="20"/>
        <v>Jul</v>
      </c>
      <c r="I1310">
        <v>1</v>
      </c>
    </row>
    <row r="1311" spans="1:9" x14ac:dyDescent="0.35">
      <c r="A1311">
        <v>1310</v>
      </c>
      <c r="B1311" s="2">
        <v>44393</v>
      </c>
      <c r="C1311" t="s">
        <v>97</v>
      </c>
      <c r="D1311" t="s">
        <v>146</v>
      </c>
      <c r="E1311">
        <v>3</v>
      </c>
      <c r="F1311" t="str">
        <f>VLOOKUP($C1311,VLOOKUP_spp!$A$2:$D$103,4,1)</f>
        <v>Halictus</v>
      </c>
      <c r="G1311" t="str">
        <f>VLOOKUP($F1311,VLOOKUP_spp!$A$2:$E$102,5,1)</f>
        <v>Hymenoptera</v>
      </c>
      <c r="H1311" t="str">
        <f t="shared" si="20"/>
        <v>Jul</v>
      </c>
      <c r="I1311">
        <v>1</v>
      </c>
    </row>
    <row r="1312" spans="1:9" x14ac:dyDescent="0.35">
      <c r="A1312">
        <v>1311</v>
      </c>
      <c r="B1312" s="2">
        <v>44393</v>
      </c>
      <c r="C1312" t="s">
        <v>101</v>
      </c>
      <c r="D1312" t="s">
        <v>150</v>
      </c>
      <c r="E1312">
        <v>2</v>
      </c>
      <c r="F1312" t="str">
        <f>VLOOKUP($C1312,VLOOKUP_spp!$A$2:$D$103,4,1)</f>
        <v>Halictus_tripartitus</v>
      </c>
      <c r="G1312" t="str">
        <f>VLOOKUP($F1312,VLOOKUP_spp!$A$2:$E$102,5,1)</f>
        <v>Hymenoptera</v>
      </c>
      <c r="H1312" t="str">
        <f t="shared" si="20"/>
        <v>Jul</v>
      </c>
      <c r="I1312">
        <v>1</v>
      </c>
    </row>
    <row r="1313" spans="1:9" x14ac:dyDescent="0.35">
      <c r="A1313">
        <v>1312</v>
      </c>
      <c r="B1313" s="2">
        <v>44393</v>
      </c>
      <c r="C1313" t="s">
        <v>105</v>
      </c>
      <c r="D1313" t="s">
        <v>147</v>
      </c>
      <c r="E1313">
        <v>4</v>
      </c>
      <c r="F1313" t="str">
        <f>VLOOKUP($C1313,VLOOKUP_spp!$A$2:$D$103,4,1)</f>
        <v>Hylaeus_modestus</v>
      </c>
      <c r="G1313" t="str">
        <f>VLOOKUP($F1313,VLOOKUP_spp!$A$2:$E$102,5,1)</f>
        <v>Hymenoptera</v>
      </c>
      <c r="H1313" t="str">
        <f t="shared" si="20"/>
        <v>Jul</v>
      </c>
      <c r="I1313">
        <v>1</v>
      </c>
    </row>
    <row r="1314" spans="1:9" x14ac:dyDescent="0.35">
      <c r="A1314">
        <v>1313</v>
      </c>
      <c r="B1314" s="2">
        <v>44393</v>
      </c>
      <c r="C1314" t="s">
        <v>8</v>
      </c>
      <c r="D1314" t="s">
        <v>146</v>
      </c>
      <c r="E1314">
        <v>1</v>
      </c>
      <c r="F1314" t="str">
        <f>VLOOKUP($C1314,VLOOKUP_spp!$A$2:$D$103,4,1)</f>
        <v>Lepidoptera</v>
      </c>
      <c r="G1314" t="str">
        <f>VLOOKUP($F1314,VLOOKUP_spp!$A$2:$E$102,5,1)</f>
        <v>Lepidoptera</v>
      </c>
      <c r="H1314" t="str">
        <f t="shared" si="20"/>
        <v>Jul</v>
      </c>
      <c r="I1314">
        <v>1</v>
      </c>
    </row>
    <row r="1315" spans="1:9" x14ac:dyDescent="0.35">
      <c r="A1315">
        <v>1314</v>
      </c>
      <c r="B1315" s="2">
        <v>44393</v>
      </c>
      <c r="C1315" t="s">
        <v>8</v>
      </c>
      <c r="D1315" t="s">
        <v>153</v>
      </c>
      <c r="E1315">
        <v>2</v>
      </c>
      <c r="F1315" t="str">
        <f>VLOOKUP($C1315,VLOOKUP_spp!$A$2:$D$103,4,1)</f>
        <v>Lepidoptera</v>
      </c>
      <c r="G1315" t="str">
        <f>VLOOKUP($F1315,VLOOKUP_spp!$A$2:$E$102,5,1)</f>
        <v>Lepidoptera</v>
      </c>
      <c r="H1315" t="str">
        <f t="shared" si="20"/>
        <v>Jul</v>
      </c>
      <c r="I1315">
        <v>1</v>
      </c>
    </row>
    <row r="1316" spans="1:9" x14ac:dyDescent="0.35">
      <c r="A1316">
        <v>1315</v>
      </c>
      <c r="B1316" s="2">
        <v>44393</v>
      </c>
      <c r="C1316" t="s">
        <v>8</v>
      </c>
      <c r="D1316" t="s">
        <v>147</v>
      </c>
      <c r="E1316">
        <v>3</v>
      </c>
      <c r="F1316" t="str">
        <f>VLOOKUP($C1316,VLOOKUP_spp!$A$2:$D$103,4,1)</f>
        <v>Lepidoptera</v>
      </c>
      <c r="G1316" t="str">
        <f>VLOOKUP($F1316,VLOOKUP_spp!$A$2:$E$102,5,1)</f>
        <v>Lepidoptera</v>
      </c>
      <c r="H1316" t="str">
        <f t="shared" si="20"/>
        <v>Jul</v>
      </c>
      <c r="I1316">
        <v>1</v>
      </c>
    </row>
    <row r="1317" spans="1:9" x14ac:dyDescent="0.35">
      <c r="A1317">
        <v>1316</v>
      </c>
      <c r="B1317" s="2">
        <v>44393</v>
      </c>
      <c r="C1317" t="s">
        <v>109</v>
      </c>
      <c r="D1317" t="s">
        <v>146</v>
      </c>
      <c r="E1317">
        <v>3</v>
      </c>
      <c r="F1317" t="str">
        <f>VLOOKUP($C1317,VLOOKUP_spp!$A$2:$D$103,4,1)</f>
        <v>Megachile</v>
      </c>
      <c r="G1317" t="str">
        <f>VLOOKUP($F1317,VLOOKUP_spp!$A$2:$E$102,5,1)</f>
        <v>Hymenoptera</v>
      </c>
      <c r="H1317" t="str">
        <f t="shared" si="20"/>
        <v>Jul</v>
      </c>
      <c r="I1317">
        <v>1</v>
      </c>
    </row>
    <row r="1318" spans="1:9" x14ac:dyDescent="0.35">
      <c r="A1318">
        <v>1317</v>
      </c>
      <c r="B1318" s="2">
        <v>44393</v>
      </c>
      <c r="C1318" t="s">
        <v>116</v>
      </c>
      <c r="D1318" t="s">
        <v>146</v>
      </c>
      <c r="E1318">
        <v>1</v>
      </c>
      <c r="F1318" t="str">
        <f>VLOOKUP($C1318,VLOOKUP_spp!$A$2:$D$103,4,1)</f>
        <v>Osmia</v>
      </c>
      <c r="G1318" t="str">
        <f>VLOOKUP($F1318,VLOOKUP_spp!$A$2:$E$102,5,1)</f>
        <v>Hymenoptera</v>
      </c>
      <c r="H1318" t="str">
        <f t="shared" si="20"/>
        <v>Jul</v>
      </c>
      <c r="I1318">
        <v>1</v>
      </c>
    </row>
    <row r="1319" spans="1:9" x14ac:dyDescent="0.35">
      <c r="A1319">
        <v>1318</v>
      </c>
      <c r="B1319" s="2">
        <v>44393</v>
      </c>
      <c r="C1319" t="s">
        <v>128</v>
      </c>
      <c r="D1319" t="s">
        <v>146</v>
      </c>
      <c r="E1319">
        <v>6</v>
      </c>
      <c r="F1319" t="str">
        <f>VLOOKUP($C1319,VLOOKUP_spp!$A$2:$D$103,4,1)</f>
        <v>Wasp</v>
      </c>
      <c r="G1319" t="str">
        <f>VLOOKUP($F1319,VLOOKUP_spp!$A$2:$E$102,5,1)</f>
        <v>Hymenoptera</v>
      </c>
      <c r="H1319" t="str">
        <f t="shared" si="20"/>
        <v>Jul</v>
      </c>
      <c r="I1319">
        <v>1</v>
      </c>
    </row>
    <row r="1320" spans="1:9" x14ac:dyDescent="0.35">
      <c r="A1320">
        <v>1319</v>
      </c>
      <c r="B1320" s="2">
        <v>44410</v>
      </c>
      <c r="C1320" t="s">
        <v>50</v>
      </c>
      <c r="D1320" t="s">
        <v>166</v>
      </c>
      <c r="E1320">
        <v>2</v>
      </c>
      <c r="F1320" t="str">
        <f>VLOOKUP($C1320,VLOOKUP_spp!$A$2:$D$103,4,1)</f>
        <v>Apis_mellifera</v>
      </c>
      <c r="G1320" t="str">
        <f>VLOOKUP($F1320,VLOOKUP_spp!$A$2:$E$102,5,1)</f>
        <v>Hymenoptera</v>
      </c>
      <c r="H1320" t="str">
        <f t="shared" si="20"/>
        <v>Aug</v>
      </c>
      <c r="I1320">
        <v>1</v>
      </c>
    </row>
    <row r="1321" spans="1:9" x14ac:dyDescent="0.35">
      <c r="A1321">
        <v>1320</v>
      </c>
      <c r="B1321" s="2">
        <v>44410</v>
      </c>
      <c r="C1321" t="s">
        <v>50</v>
      </c>
      <c r="D1321" t="s">
        <v>161</v>
      </c>
      <c r="E1321">
        <v>4</v>
      </c>
      <c r="F1321" t="str">
        <f>VLOOKUP($C1321,VLOOKUP_spp!$A$2:$D$103,4,1)</f>
        <v>Apis_mellifera</v>
      </c>
      <c r="G1321" t="str">
        <f>VLOOKUP($F1321,VLOOKUP_spp!$A$2:$E$102,5,1)</f>
        <v>Hymenoptera</v>
      </c>
      <c r="H1321" t="str">
        <f t="shared" si="20"/>
        <v>Aug</v>
      </c>
      <c r="I1321">
        <v>1</v>
      </c>
    </row>
    <row r="1322" spans="1:9" x14ac:dyDescent="0.35">
      <c r="A1322">
        <v>1321</v>
      </c>
      <c r="B1322" s="2">
        <v>44410</v>
      </c>
      <c r="C1322" t="s">
        <v>50</v>
      </c>
      <c r="D1322" t="s">
        <v>162</v>
      </c>
      <c r="E1322">
        <v>2</v>
      </c>
      <c r="F1322" t="str">
        <f>VLOOKUP($C1322,VLOOKUP_spp!$A$2:$D$103,4,1)</f>
        <v>Apis_mellifera</v>
      </c>
      <c r="G1322" t="str">
        <f>VLOOKUP($F1322,VLOOKUP_spp!$A$2:$E$102,5,1)</f>
        <v>Hymenoptera</v>
      </c>
      <c r="H1322" t="str">
        <f t="shared" si="20"/>
        <v>Aug</v>
      </c>
      <c r="I1322">
        <v>1</v>
      </c>
    </row>
    <row r="1323" spans="1:9" x14ac:dyDescent="0.35">
      <c r="A1323">
        <v>1322</v>
      </c>
      <c r="B1323" s="2">
        <v>44410</v>
      </c>
      <c r="C1323" t="s">
        <v>50</v>
      </c>
      <c r="D1323" t="s">
        <v>147</v>
      </c>
      <c r="E1323">
        <v>4</v>
      </c>
      <c r="F1323" t="str">
        <f>VLOOKUP($C1323,VLOOKUP_spp!$A$2:$D$103,4,1)</f>
        <v>Apis_mellifera</v>
      </c>
      <c r="G1323" t="str">
        <f>VLOOKUP($F1323,VLOOKUP_spp!$A$2:$E$102,5,1)</f>
        <v>Hymenoptera</v>
      </c>
      <c r="H1323" t="str">
        <f t="shared" si="20"/>
        <v>Aug</v>
      </c>
      <c r="I1323">
        <v>1</v>
      </c>
    </row>
    <row r="1324" spans="1:9" x14ac:dyDescent="0.35">
      <c r="A1324">
        <v>1323</v>
      </c>
      <c r="B1324" s="2">
        <v>44410</v>
      </c>
      <c r="C1324" t="s">
        <v>54</v>
      </c>
      <c r="D1324" t="s">
        <v>161</v>
      </c>
      <c r="E1324">
        <v>1</v>
      </c>
      <c r="F1324" t="str">
        <f>VLOOKUP($C1324,VLOOKUP_spp!$A$2:$D$103,4,1)</f>
        <v>Bombus_affinis</v>
      </c>
      <c r="G1324" t="str">
        <f>VLOOKUP($F1324,VLOOKUP_spp!$A$2:$E$102,5,1)</f>
        <v>Hymenoptera</v>
      </c>
      <c r="H1324" t="str">
        <f t="shared" si="20"/>
        <v>Aug</v>
      </c>
      <c r="I1324">
        <v>1</v>
      </c>
    </row>
    <row r="1325" spans="1:9" x14ac:dyDescent="0.35">
      <c r="A1325">
        <v>1324</v>
      </c>
      <c r="B1325" s="2">
        <v>44410</v>
      </c>
      <c r="C1325" t="s">
        <v>54</v>
      </c>
      <c r="D1325" t="s">
        <v>147</v>
      </c>
      <c r="E1325">
        <v>2</v>
      </c>
      <c r="F1325" t="str">
        <f>VLOOKUP($C1325,VLOOKUP_spp!$A$2:$D$103,4,1)</f>
        <v>Bombus_affinis</v>
      </c>
      <c r="G1325" t="str">
        <f>VLOOKUP($F1325,VLOOKUP_spp!$A$2:$E$102,5,1)</f>
        <v>Hymenoptera</v>
      </c>
      <c r="H1325" t="str">
        <f t="shared" si="20"/>
        <v>Aug</v>
      </c>
      <c r="I1325">
        <v>1</v>
      </c>
    </row>
    <row r="1326" spans="1:9" x14ac:dyDescent="0.35">
      <c r="A1326">
        <v>1325</v>
      </c>
      <c r="B1326" s="2">
        <v>44410</v>
      </c>
      <c r="C1326" t="s">
        <v>58</v>
      </c>
      <c r="D1326" t="s">
        <v>162</v>
      </c>
      <c r="E1326">
        <v>2</v>
      </c>
      <c r="F1326" t="str">
        <f>VLOOKUP($C1326,VLOOKUP_spp!$A$2:$D$103,4,1)</f>
        <v>Bombus_citrinus</v>
      </c>
      <c r="G1326" t="str">
        <f>VLOOKUP($F1326,VLOOKUP_spp!$A$2:$E$102,5,1)</f>
        <v>Hymenoptera</v>
      </c>
      <c r="H1326" t="str">
        <f t="shared" si="20"/>
        <v>Aug</v>
      </c>
      <c r="I1326">
        <v>1</v>
      </c>
    </row>
    <row r="1327" spans="1:9" x14ac:dyDescent="0.35">
      <c r="A1327">
        <v>1326</v>
      </c>
      <c r="B1327" s="2">
        <v>44410</v>
      </c>
      <c r="C1327" t="s">
        <v>67</v>
      </c>
      <c r="D1327" t="s">
        <v>161</v>
      </c>
      <c r="E1327">
        <v>3</v>
      </c>
      <c r="F1327" t="str">
        <f>VLOOKUP($C1327,VLOOKUP_spp!$A$2:$D$103,4,1)</f>
        <v>Bombus_impatiens</v>
      </c>
      <c r="G1327" t="str">
        <f>VLOOKUP($F1327,VLOOKUP_spp!$A$2:$E$102,5,1)</f>
        <v>Hymenoptera</v>
      </c>
      <c r="H1327" t="str">
        <f t="shared" si="20"/>
        <v>Aug</v>
      </c>
      <c r="I1327">
        <v>1</v>
      </c>
    </row>
    <row r="1328" spans="1:9" x14ac:dyDescent="0.35">
      <c r="A1328">
        <v>1327</v>
      </c>
      <c r="B1328" s="2">
        <v>44410</v>
      </c>
      <c r="C1328" t="s">
        <v>67</v>
      </c>
      <c r="D1328" t="s">
        <v>147</v>
      </c>
      <c r="E1328">
        <v>6</v>
      </c>
      <c r="F1328" t="str">
        <f>VLOOKUP($C1328,VLOOKUP_spp!$A$2:$D$103,4,1)</f>
        <v>Bombus_impatiens</v>
      </c>
      <c r="G1328" t="str">
        <f>VLOOKUP($F1328,VLOOKUP_spp!$A$2:$E$102,5,1)</f>
        <v>Hymenoptera</v>
      </c>
      <c r="H1328" t="str">
        <f t="shared" si="20"/>
        <v>Aug</v>
      </c>
      <c r="I1328">
        <v>1</v>
      </c>
    </row>
    <row r="1329" spans="1:9" x14ac:dyDescent="0.35">
      <c r="A1329">
        <v>1328</v>
      </c>
      <c r="B1329" s="2">
        <v>44410</v>
      </c>
      <c r="C1329" t="s">
        <v>72</v>
      </c>
      <c r="D1329" t="s">
        <v>147</v>
      </c>
      <c r="E1329">
        <v>1</v>
      </c>
      <c r="F1329" t="str">
        <f>VLOOKUP($C1329,VLOOKUP_spp!$A$2:$D$103,4,1)</f>
        <v>Bombus</v>
      </c>
      <c r="G1329" t="str">
        <f>VLOOKUP($F1329,VLOOKUP_spp!$A$2:$E$102,5,1)</f>
        <v>Hymenoptera</v>
      </c>
      <c r="H1329" t="str">
        <f t="shared" si="20"/>
        <v>Aug</v>
      </c>
      <c r="I1329">
        <v>1</v>
      </c>
    </row>
    <row r="1330" spans="1:9" x14ac:dyDescent="0.35">
      <c r="A1330">
        <v>1329</v>
      </c>
      <c r="B1330" s="2">
        <v>44410</v>
      </c>
      <c r="C1330" t="s">
        <v>103</v>
      </c>
      <c r="D1330" t="s">
        <v>147</v>
      </c>
      <c r="E1330">
        <v>1</v>
      </c>
      <c r="F1330" t="str">
        <f>VLOOKUP($C1330,VLOOKUP_spp!$A$2:$D$103,4,1)</f>
        <v>Hylaeus</v>
      </c>
      <c r="G1330" t="str">
        <f>VLOOKUP($F1330,VLOOKUP_spp!$A$2:$E$102,5,1)</f>
        <v>Hymenoptera</v>
      </c>
      <c r="H1330" t="str">
        <f t="shared" si="20"/>
        <v>Aug</v>
      </c>
      <c r="I1330">
        <v>1</v>
      </c>
    </row>
    <row r="1331" spans="1:9" x14ac:dyDescent="0.35">
      <c r="A1331">
        <v>1330</v>
      </c>
      <c r="B1331" s="2">
        <v>44410</v>
      </c>
      <c r="C1331" t="s">
        <v>115</v>
      </c>
      <c r="D1331" t="s">
        <v>147</v>
      </c>
      <c r="E1331">
        <v>1</v>
      </c>
      <c r="F1331" t="str">
        <f>VLOOKUP($C1331,VLOOKUP_spp!$A$2:$D$103,4,1)</f>
        <v>Nomada</v>
      </c>
      <c r="G1331" t="str">
        <f>VLOOKUP($F1331,VLOOKUP_spp!$A$2:$E$102,5,1)</f>
        <v>Hymenoptera</v>
      </c>
      <c r="H1331" t="str">
        <f t="shared" si="20"/>
        <v>Aug</v>
      </c>
      <c r="I1331">
        <v>1</v>
      </c>
    </row>
    <row r="1332" spans="1:9" x14ac:dyDescent="0.35">
      <c r="A1332">
        <v>1331</v>
      </c>
      <c r="B1332" s="2">
        <v>44410</v>
      </c>
      <c r="C1332" t="s">
        <v>119</v>
      </c>
      <c r="D1332" t="s">
        <v>166</v>
      </c>
      <c r="E1332">
        <v>1</v>
      </c>
      <c r="F1332" t="str">
        <f>VLOOKUP($C1332,VLOOKUP_spp!$A$2:$D$103,4,1)</f>
        <v>Perdita</v>
      </c>
      <c r="G1332" t="str">
        <f>VLOOKUP($F1332,VLOOKUP_spp!$A$2:$E$102,5,1)</f>
        <v>Hymenoptera</v>
      </c>
      <c r="H1332" t="str">
        <f t="shared" si="20"/>
        <v>Aug</v>
      </c>
      <c r="I1332">
        <v>1</v>
      </c>
    </row>
    <row r="1333" spans="1:9" x14ac:dyDescent="0.35">
      <c r="A1333">
        <v>1332</v>
      </c>
      <c r="B1333" s="2">
        <v>44410</v>
      </c>
      <c r="C1333" t="s">
        <v>128</v>
      </c>
      <c r="D1333" t="s">
        <v>147</v>
      </c>
      <c r="E1333">
        <v>16</v>
      </c>
      <c r="F1333" t="str">
        <f>VLOOKUP($C1333,VLOOKUP_spp!$A$2:$D$103,4,1)</f>
        <v>Wasp</v>
      </c>
      <c r="G1333" t="str">
        <f>VLOOKUP($F1333,VLOOKUP_spp!$A$2:$E$102,5,1)</f>
        <v>Hymenoptera</v>
      </c>
      <c r="H1333" t="str">
        <f t="shared" si="20"/>
        <v>Aug</v>
      </c>
      <c r="I1333">
        <v>1</v>
      </c>
    </row>
    <row r="1334" spans="1:9" x14ac:dyDescent="0.35">
      <c r="A1334">
        <v>1333</v>
      </c>
      <c r="B1334" s="2">
        <v>44413</v>
      </c>
      <c r="C1334" t="s">
        <v>50</v>
      </c>
      <c r="D1334" t="s">
        <v>157</v>
      </c>
      <c r="E1334">
        <v>2</v>
      </c>
      <c r="F1334" t="str">
        <f>VLOOKUP($C1334,VLOOKUP_spp!$A$2:$D$103,4,1)</f>
        <v>Apis_mellifera</v>
      </c>
      <c r="G1334" t="str">
        <f>VLOOKUP($F1334,VLOOKUP_spp!$A$2:$E$102,5,1)</f>
        <v>Hymenoptera</v>
      </c>
      <c r="H1334" t="str">
        <f t="shared" si="20"/>
        <v>Aug</v>
      </c>
      <c r="I1334">
        <v>1</v>
      </c>
    </row>
    <row r="1335" spans="1:9" x14ac:dyDescent="0.35">
      <c r="A1335">
        <v>1334</v>
      </c>
      <c r="B1335" s="2">
        <v>44413</v>
      </c>
      <c r="C1335" t="s">
        <v>50</v>
      </c>
      <c r="D1335" t="s">
        <v>173</v>
      </c>
      <c r="E1335">
        <v>2</v>
      </c>
      <c r="F1335" t="str">
        <f>VLOOKUP($C1335,VLOOKUP_spp!$A$2:$D$103,4,1)</f>
        <v>Apis_mellifera</v>
      </c>
      <c r="G1335" t="str">
        <f>VLOOKUP($F1335,VLOOKUP_spp!$A$2:$E$102,5,1)</f>
        <v>Hymenoptera</v>
      </c>
      <c r="H1335" t="str">
        <f t="shared" si="20"/>
        <v>Aug</v>
      </c>
      <c r="I1335">
        <v>1</v>
      </c>
    </row>
    <row r="1336" spans="1:9" x14ac:dyDescent="0.35">
      <c r="A1336">
        <v>1335</v>
      </c>
      <c r="B1336" s="2">
        <v>44413</v>
      </c>
      <c r="C1336" t="s">
        <v>50</v>
      </c>
      <c r="D1336" t="s">
        <v>172</v>
      </c>
      <c r="E1336">
        <v>3</v>
      </c>
      <c r="F1336" t="str">
        <f>VLOOKUP($C1336,VLOOKUP_spp!$A$2:$D$103,4,1)</f>
        <v>Apis_mellifera</v>
      </c>
      <c r="G1336" t="str">
        <f>VLOOKUP($F1336,VLOOKUP_spp!$A$2:$E$102,5,1)</f>
        <v>Hymenoptera</v>
      </c>
      <c r="H1336" t="str">
        <f t="shared" si="20"/>
        <v>Aug</v>
      </c>
      <c r="I1336">
        <v>1</v>
      </c>
    </row>
    <row r="1337" spans="1:9" x14ac:dyDescent="0.35">
      <c r="A1337">
        <v>1336</v>
      </c>
      <c r="B1337" s="2">
        <v>44413</v>
      </c>
      <c r="C1337" t="s">
        <v>50</v>
      </c>
      <c r="D1337" t="s">
        <v>150</v>
      </c>
      <c r="E1337">
        <v>3</v>
      </c>
      <c r="F1337" t="str">
        <f>VLOOKUP($C1337,VLOOKUP_spp!$A$2:$D$103,4,1)</f>
        <v>Apis_mellifera</v>
      </c>
      <c r="G1337" t="str">
        <f>VLOOKUP($F1337,VLOOKUP_spp!$A$2:$E$102,5,1)</f>
        <v>Hymenoptera</v>
      </c>
      <c r="H1337" t="str">
        <f t="shared" si="20"/>
        <v>Aug</v>
      </c>
      <c r="I1337">
        <v>1</v>
      </c>
    </row>
    <row r="1338" spans="1:9" x14ac:dyDescent="0.35">
      <c r="A1338">
        <v>1337</v>
      </c>
      <c r="B1338" s="2">
        <v>44413</v>
      </c>
      <c r="C1338" t="s">
        <v>50</v>
      </c>
      <c r="D1338" t="s">
        <v>161</v>
      </c>
      <c r="E1338">
        <v>3</v>
      </c>
      <c r="F1338" t="str">
        <f>VLOOKUP($C1338,VLOOKUP_spp!$A$2:$D$103,4,1)</f>
        <v>Apis_mellifera</v>
      </c>
      <c r="G1338" t="str">
        <f>VLOOKUP($F1338,VLOOKUP_spp!$A$2:$E$102,5,1)</f>
        <v>Hymenoptera</v>
      </c>
      <c r="H1338" t="str">
        <f t="shared" si="20"/>
        <v>Aug</v>
      </c>
      <c r="I1338">
        <v>1</v>
      </c>
    </row>
    <row r="1339" spans="1:9" x14ac:dyDescent="0.35">
      <c r="A1339">
        <v>1338</v>
      </c>
      <c r="B1339" s="2">
        <v>44413</v>
      </c>
      <c r="C1339" t="s">
        <v>50</v>
      </c>
      <c r="D1339" t="s">
        <v>162</v>
      </c>
      <c r="E1339">
        <v>2</v>
      </c>
      <c r="F1339" t="str">
        <f>VLOOKUP($C1339,VLOOKUP_spp!$A$2:$D$103,4,1)</f>
        <v>Apis_mellifera</v>
      </c>
      <c r="G1339" t="str">
        <f>VLOOKUP($F1339,VLOOKUP_spp!$A$2:$E$102,5,1)</f>
        <v>Hymenoptera</v>
      </c>
      <c r="H1339" t="str">
        <f t="shared" si="20"/>
        <v>Aug</v>
      </c>
      <c r="I1339">
        <v>1</v>
      </c>
    </row>
    <row r="1340" spans="1:9" x14ac:dyDescent="0.35">
      <c r="A1340">
        <v>1339</v>
      </c>
      <c r="B1340" s="2">
        <v>44413</v>
      </c>
      <c r="C1340" t="s">
        <v>50</v>
      </c>
      <c r="D1340" t="s">
        <v>147</v>
      </c>
      <c r="E1340">
        <v>1</v>
      </c>
      <c r="F1340" t="str">
        <f>VLOOKUP($C1340,VLOOKUP_spp!$A$2:$D$103,4,1)</f>
        <v>Apis_mellifera</v>
      </c>
      <c r="G1340" t="str">
        <f>VLOOKUP($F1340,VLOOKUP_spp!$A$2:$E$102,5,1)</f>
        <v>Hymenoptera</v>
      </c>
      <c r="H1340" t="str">
        <f t="shared" si="20"/>
        <v>Aug</v>
      </c>
      <c r="I1340">
        <v>1</v>
      </c>
    </row>
    <row r="1341" spans="1:9" x14ac:dyDescent="0.35">
      <c r="A1341">
        <v>1340</v>
      </c>
      <c r="B1341" s="2">
        <v>44413</v>
      </c>
      <c r="C1341" t="s">
        <v>50</v>
      </c>
      <c r="D1341" t="s">
        <v>155</v>
      </c>
      <c r="E1341">
        <v>2</v>
      </c>
      <c r="F1341" t="str">
        <f>VLOOKUP($C1341,VLOOKUP_spp!$A$2:$D$103,4,1)</f>
        <v>Apis_mellifera</v>
      </c>
      <c r="G1341" t="str">
        <f>VLOOKUP($F1341,VLOOKUP_spp!$A$2:$E$102,5,1)</f>
        <v>Hymenoptera</v>
      </c>
      <c r="H1341" t="str">
        <f t="shared" si="20"/>
        <v>Aug</v>
      </c>
      <c r="I1341">
        <v>1</v>
      </c>
    </row>
    <row r="1342" spans="1:9" x14ac:dyDescent="0.35">
      <c r="A1342">
        <v>1341</v>
      </c>
      <c r="B1342" s="2">
        <v>44413</v>
      </c>
      <c r="C1342" t="s">
        <v>54</v>
      </c>
      <c r="D1342" t="s">
        <v>150</v>
      </c>
      <c r="E1342">
        <v>5</v>
      </c>
      <c r="F1342" t="str">
        <f>VLOOKUP($C1342,VLOOKUP_spp!$A$2:$D$103,4,1)</f>
        <v>Bombus_affinis</v>
      </c>
      <c r="G1342" t="str">
        <f>VLOOKUP($F1342,VLOOKUP_spp!$A$2:$E$102,5,1)</f>
        <v>Hymenoptera</v>
      </c>
      <c r="H1342" t="str">
        <f t="shared" si="20"/>
        <v>Aug</v>
      </c>
      <c r="I1342">
        <v>1</v>
      </c>
    </row>
    <row r="1343" spans="1:9" x14ac:dyDescent="0.35">
      <c r="A1343">
        <v>1342</v>
      </c>
      <c r="B1343" s="2">
        <v>44413</v>
      </c>
      <c r="C1343" t="s">
        <v>55</v>
      </c>
      <c r="D1343" t="s">
        <v>147</v>
      </c>
      <c r="E1343">
        <v>1</v>
      </c>
      <c r="F1343" t="str">
        <f>VLOOKUP($C1343,VLOOKUP_spp!$A$2:$D$103,4,1)</f>
        <v>Bombus</v>
      </c>
      <c r="G1343" t="str">
        <f>VLOOKUP($F1343,VLOOKUP_spp!$A$2:$E$102,5,1)</f>
        <v>Hymenoptera</v>
      </c>
      <c r="H1343" t="str">
        <f t="shared" si="20"/>
        <v>Aug</v>
      </c>
      <c r="I1343">
        <v>1</v>
      </c>
    </row>
    <row r="1344" spans="1:9" x14ac:dyDescent="0.35">
      <c r="A1344">
        <v>1343</v>
      </c>
      <c r="B1344" s="2">
        <v>44413</v>
      </c>
      <c r="C1344" t="s">
        <v>57</v>
      </c>
      <c r="D1344" t="s">
        <v>163</v>
      </c>
      <c r="E1344">
        <v>1</v>
      </c>
      <c r="F1344" t="str">
        <f>VLOOKUP($C1344,VLOOKUP_spp!$A$2:$D$103,4,1)</f>
        <v>Bombus_bimaculatus</v>
      </c>
      <c r="G1344" t="str">
        <f>VLOOKUP($F1344,VLOOKUP_spp!$A$2:$E$102,5,1)</f>
        <v>Hymenoptera</v>
      </c>
      <c r="H1344" t="str">
        <f t="shared" si="20"/>
        <v>Aug</v>
      </c>
      <c r="I1344">
        <v>1</v>
      </c>
    </row>
    <row r="1345" spans="1:9" x14ac:dyDescent="0.35">
      <c r="A1345">
        <v>1344</v>
      </c>
      <c r="B1345" s="2">
        <v>44413</v>
      </c>
      <c r="C1345" t="s">
        <v>57</v>
      </c>
      <c r="D1345" t="s">
        <v>150</v>
      </c>
      <c r="E1345">
        <v>1</v>
      </c>
      <c r="F1345" t="str">
        <f>VLOOKUP($C1345,VLOOKUP_spp!$A$2:$D$103,4,1)</f>
        <v>Bombus_bimaculatus</v>
      </c>
      <c r="G1345" t="str">
        <f>VLOOKUP($F1345,VLOOKUP_spp!$A$2:$E$102,5,1)</f>
        <v>Hymenoptera</v>
      </c>
      <c r="H1345" t="str">
        <f t="shared" si="20"/>
        <v>Aug</v>
      </c>
      <c r="I1345">
        <v>1</v>
      </c>
    </row>
    <row r="1346" spans="1:9" x14ac:dyDescent="0.35">
      <c r="A1346">
        <v>1345</v>
      </c>
      <c r="B1346" s="2">
        <v>44413</v>
      </c>
      <c r="C1346" t="s">
        <v>57</v>
      </c>
      <c r="D1346" t="s">
        <v>147</v>
      </c>
      <c r="E1346">
        <v>1</v>
      </c>
      <c r="F1346" t="str">
        <f>VLOOKUP($C1346,VLOOKUP_spp!$A$2:$D$103,4,1)</f>
        <v>Bombus_bimaculatus</v>
      </c>
      <c r="G1346" t="str">
        <f>VLOOKUP($F1346,VLOOKUP_spp!$A$2:$E$102,5,1)</f>
        <v>Hymenoptera</v>
      </c>
      <c r="H1346" t="str">
        <f t="shared" si="20"/>
        <v>Aug</v>
      </c>
      <c r="I1346">
        <v>1</v>
      </c>
    </row>
    <row r="1347" spans="1:9" x14ac:dyDescent="0.35">
      <c r="A1347">
        <v>1346</v>
      </c>
      <c r="B1347" s="2">
        <v>44413</v>
      </c>
      <c r="C1347" t="s">
        <v>58</v>
      </c>
      <c r="D1347" t="s">
        <v>147</v>
      </c>
      <c r="E1347">
        <v>5</v>
      </c>
      <c r="F1347" t="str">
        <f>VLOOKUP($C1347,VLOOKUP_spp!$A$2:$D$103,4,1)</f>
        <v>Bombus_citrinus</v>
      </c>
      <c r="G1347" t="str">
        <f>VLOOKUP($F1347,VLOOKUP_spp!$A$2:$E$102,5,1)</f>
        <v>Hymenoptera</v>
      </c>
      <c r="H1347" t="str">
        <f t="shared" ref="H1347:H1410" si="21">TEXT(B1347, "mmm")</f>
        <v>Aug</v>
      </c>
      <c r="I1347">
        <v>1</v>
      </c>
    </row>
    <row r="1348" spans="1:9" x14ac:dyDescent="0.35">
      <c r="A1348">
        <v>1347</v>
      </c>
      <c r="B1348" s="2">
        <v>44413</v>
      </c>
      <c r="C1348" t="s">
        <v>67</v>
      </c>
      <c r="D1348" t="s">
        <v>157</v>
      </c>
      <c r="E1348">
        <v>2</v>
      </c>
      <c r="F1348" t="str">
        <f>VLOOKUP($C1348,VLOOKUP_spp!$A$2:$D$103,4,1)</f>
        <v>Bombus_impatiens</v>
      </c>
      <c r="G1348" t="str">
        <f>VLOOKUP($F1348,VLOOKUP_spp!$A$2:$E$102,5,1)</f>
        <v>Hymenoptera</v>
      </c>
      <c r="H1348" t="str">
        <f t="shared" si="21"/>
        <v>Aug</v>
      </c>
      <c r="I1348">
        <v>1</v>
      </c>
    </row>
    <row r="1349" spans="1:9" x14ac:dyDescent="0.35">
      <c r="A1349">
        <v>1348</v>
      </c>
      <c r="B1349" s="2">
        <v>44413</v>
      </c>
      <c r="C1349" t="s">
        <v>67</v>
      </c>
      <c r="D1349" t="s">
        <v>163</v>
      </c>
      <c r="E1349">
        <v>2</v>
      </c>
      <c r="F1349" t="str">
        <f>VLOOKUP($C1349,VLOOKUP_spp!$A$2:$D$103,4,1)</f>
        <v>Bombus_impatiens</v>
      </c>
      <c r="G1349" t="str">
        <f>VLOOKUP($F1349,VLOOKUP_spp!$A$2:$E$102,5,1)</f>
        <v>Hymenoptera</v>
      </c>
      <c r="H1349" t="str">
        <f t="shared" si="21"/>
        <v>Aug</v>
      </c>
      <c r="I1349">
        <v>1</v>
      </c>
    </row>
    <row r="1350" spans="1:9" x14ac:dyDescent="0.35">
      <c r="A1350">
        <v>1349</v>
      </c>
      <c r="B1350" s="2">
        <v>44413</v>
      </c>
      <c r="C1350" t="s">
        <v>67</v>
      </c>
      <c r="D1350" t="s">
        <v>150</v>
      </c>
      <c r="E1350">
        <v>9</v>
      </c>
      <c r="F1350" t="str">
        <f>VLOOKUP($C1350,VLOOKUP_spp!$A$2:$D$103,4,1)</f>
        <v>Bombus_impatiens</v>
      </c>
      <c r="G1350" t="str">
        <f>VLOOKUP($F1350,VLOOKUP_spp!$A$2:$E$102,5,1)</f>
        <v>Hymenoptera</v>
      </c>
      <c r="H1350" t="str">
        <f t="shared" si="21"/>
        <v>Aug</v>
      </c>
      <c r="I1350">
        <v>1</v>
      </c>
    </row>
    <row r="1351" spans="1:9" x14ac:dyDescent="0.35">
      <c r="A1351">
        <v>1350</v>
      </c>
      <c r="B1351" s="2">
        <v>44413</v>
      </c>
      <c r="C1351" t="s">
        <v>67</v>
      </c>
      <c r="D1351" t="s">
        <v>161</v>
      </c>
      <c r="E1351">
        <v>3</v>
      </c>
      <c r="F1351" t="str">
        <f>VLOOKUP($C1351,VLOOKUP_spp!$A$2:$D$103,4,1)</f>
        <v>Bombus_impatiens</v>
      </c>
      <c r="G1351" t="str">
        <f>VLOOKUP($F1351,VLOOKUP_spp!$A$2:$E$102,5,1)</f>
        <v>Hymenoptera</v>
      </c>
      <c r="H1351" t="str">
        <f t="shared" si="21"/>
        <v>Aug</v>
      </c>
      <c r="I1351">
        <v>1</v>
      </c>
    </row>
    <row r="1352" spans="1:9" x14ac:dyDescent="0.35">
      <c r="A1352">
        <v>1351</v>
      </c>
      <c r="B1352" s="2">
        <v>44413</v>
      </c>
      <c r="C1352" t="s">
        <v>67</v>
      </c>
      <c r="D1352" t="s">
        <v>147</v>
      </c>
      <c r="E1352">
        <v>13</v>
      </c>
      <c r="F1352" t="str">
        <f>VLOOKUP($C1352,VLOOKUP_spp!$A$2:$D$103,4,1)</f>
        <v>Bombus_impatiens</v>
      </c>
      <c r="G1352" t="str">
        <f>VLOOKUP($F1352,VLOOKUP_spp!$A$2:$E$102,5,1)</f>
        <v>Hymenoptera</v>
      </c>
      <c r="H1352" t="str">
        <f t="shared" si="21"/>
        <v>Aug</v>
      </c>
      <c r="I1352">
        <v>1</v>
      </c>
    </row>
    <row r="1353" spans="1:9" x14ac:dyDescent="0.35">
      <c r="A1353">
        <v>1352</v>
      </c>
      <c r="B1353" s="2">
        <v>44413</v>
      </c>
      <c r="C1353" t="s">
        <v>67</v>
      </c>
      <c r="D1353" t="s">
        <v>176</v>
      </c>
      <c r="E1353">
        <v>3</v>
      </c>
      <c r="F1353" t="str">
        <f>VLOOKUP($C1353,VLOOKUP_spp!$A$2:$D$103,4,1)</f>
        <v>Bombus_impatiens</v>
      </c>
      <c r="G1353" t="str">
        <f>VLOOKUP($F1353,VLOOKUP_spp!$A$2:$E$102,5,1)</f>
        <v>Hymenoptera</v>
      </c>
      <c r="H1353" t="str">
        <f t="shared" si="21"/>
        <v>Aug</v>
      </c>
      <c r="I1353">
        <v>1</v>
      </c>
    </row>
    <row r="1354" spans="1:9" x14ac:dyDescent="0.35">
      <c r="A1354">
        <v>1353</v>
      </c>
      <c r="B1354" s="2">
        <v>44413</v>
      </c>
      <c r="C1354" t="s">
        <v>85</v>
      </c>
      <c r="D1354" t="s">
        <v>155</v>
      </c>
      <c r="E1354">
        <v>2</v>
      </c>
      <c r="F1354" t="str">
        <f>VLOOKUP($C1354,VLOOKUP_spp!$A$2:$D$103,4,1)</f>
        <v>Ceratina</v>
      </c>
      <c r="G1354" t="str">
        <f>VLOOKUP($F1354,VLOOKUP_spp!$A$2:$E$102,5,1)</f>
        <v>Hymenoptera</v>
      </c>
      <c r="H1354" t="str">
        <f t="shared" si="21"/>
        <v>Aug</v>
      </c>
      <c r="I1354">
        <v>1</v>
      </c>
    </row>
    <row r="1355" spans="1:9" x14ac:dyDescent="0.35">
      <c r="A1355">
        <v>1354</v>
      </c>
      <c r="B1355" s="2">
        <v>44413</v>
      </c>
      <c r="C1355" t="s">
        <v>87</v>
      </c>
      <c r="D1355" t="s">
        <v>147</v>
      </c>
      <c r="E1355">
        <v>1</v>
      </c>
      <c r="F1355" t="str">
        <f>VLOOKUP($C1355,VLOOKUP_spp!$A$2:$D$103,4,1)</f>
        <v>Chelostoma</v>
      </c>
      <c r="G1355" t="str">
        <f>VLOOKUP($F1355,VLOOKUP_spp!$A$2:$E$102,5,1)</f>
        <v>Hymenoptera</v>
      </c>
      <c r="H1355" t="str">
        <f t="shared" si="21"/>
        <v>Aug</v>
      </c>
      <c r="I1355">
        <v>1</v>
      </c>
    </row>
    <row r="1356" spans="1:9" x14ac:dyDescent="0.35">
      <c r="A1356">
        <v>1355</v>
      </c>
      <c r="B1356" s="2">
        <v>44413</v>
      </c>
      <c r="C1356" t="s">
        <v>7</v>
      </c>
      <c r="D1356" t="s">
        <v>150</v>
      </c>
      <c r="E1356">
        <v>2</v>
      </c>
      <c r="F1356" t="str">
        <f>VLOOKUP($C1356,VLOOKUP_spp!$A$2:$D$103,4,1)</f>
        <v>Coleoptera</v>
      </c>
      <c r="G1356" t="str">
        <f>VLOOKUP($F1356,VLOOKUP_spp!$A$2:$E$102,5,1)</f>
        <v>Coleoptera</v>
      </c>
      <c r="H1356" t="str">
        <f t="shared" si="21"/>
        <v>Aug</v>
      </c>
      <c r="I1356">
        <v>1</v>
      </c>
    </row>
    <row r="1357" spans="1:9" x14ac:dyDescent="0.35">
      <c r="A1357">
        <v>1356</v>
      </c>
      <c r="B1357" s="2">
        <v>44413</v>
      </c>
      <c r="C1357" t="s">
        <v>7</v>
      </c>
      <c r="D1357" t="s">
        <v>161</v>
      </c>
      <c r="E1357">
        <v>1</v>
      </c>
      <c r="F1357" t="str">
        <f>VLOOKUP($C1357,VLOOKUP_spp!$A$2:$D$103,4,1)</f>
        <v>Coleoptera</v>
      </c>
      <c r="G1357" t="str">
        <f>VLOOKUP($F1357,VLOOKUP_spp!$A$2:$E$102,5,1)</f>
        <v>Coleoptera</v>
      </c>
      <c r="H1357" t="str">
        <f t="shared" si="21"/>
        <v>Aug</v>
      </c>
      <c r="I1357">
        <v>1</v>
      </c>
    </row>
    <row r="1358" spans="1:9" x14ac:dyDescent="0.35">
      <c r="A1358">
        <v>1357</v>
      </c>
      <c r="B1358" s="2">
        <v>44413</v>
      </c>
      <c r="C1358" t="s">
        <v>7</v>
      </c>
      <c r="D1358" t="s">
        <v>147</v>
      </c>
      <c r="E1358">
        <v>2</v>
      </c>
      <c r="F1358" t="str">
        <f>VLOOKUP($C1358,VLOOKUP_spp!$A$2:$D$103,4,1)</f>
        <v>Coleoptera</v>
      </c>
      <c r="G1358" t="str">
        <f>VLOOKUP($F1358,VLOOKUP_spp!$A$2:$E$102,5,1)</f>
        <v>Coleoptera</v>
      </c>
      <c r="H1358" t="str">
        <f t="shared" si="21"/>
        <v>Aug</v>
      </c>
      <c r="I1358">
        <v>1</v>
      </c>
    </row>
    <row r="1359" spans="1:9" x14ac:dyDescent="0.35">
      <c r="A1359">
        <v>1358</v>
      </c>
      <c r="B1359" s="2">
        <v>44413</v>
      </c>
      <c r="C1359" t="s">
        <v>7</v>
      </c>
      <c r="D1359" t="s">
        <v>155</v>
      </c>
      <c r="E1359">
        <v>1</v>
      </c>
      <c r="F1359" t="str">
        <f>VLOOKUP($C1359,VLOOKUP_spp!$A$2:$D$103,4,1)</f>
        <v>Coleoptera</v>
      </c>
      <c r="G1359" t="str">
        <f>VLOOKUP($F1359,VLOOKUP_spp!$A$2:$E$102,5,1)</f>
        <v>Coleoptera</v>
      </c>
      <c r="H1359" t="str">
        <f t="shared" si="21"/>
        <v>Aug</v>
      </c>
      <c r="I1359">
        <v>1</v>
      </c>
    </row>
    <row r="1360" spans="1:9" x14ac:dyDescent="0.35">
      <c r="A1360">
        <v>1359</v>
      </c>
      <c r="B1360" s="2">
        <v>44413</v>
      </c>
      <c r="C1360" t="s">
        <v>6</v>
      </c>
      <c r="D1360" t="s">
        <v>161</v>
      </c>
      <c r="E1360">
        <v>1</v>
      </c>
      <c r="F1360" t="str">
        <f>VLOOKUP($C1360,VLOOKUP_spp!$A$2:$D$103,4,1)</f>
        <v>Diptera</v>
      </c>
      <c r="G1360" t="str">
        <f>VLOOKUP($F1360,VLOOKUP_spp!$A$2:$E$102,5,1)</f>
        <v>Diptera</v>
      </c>
      <c r="H1360" t="str">
        <f t="shared" si="21"/>
        <v>Aug</v>
      </c>
      <c r="I1360">
        <v>1</v>
      </c>
    </row>
    <row r="1361" spans="1:9" x14ac:dyDescent="0.35">
      <c r="A1361">
        <v>1360</v>
      </c>
      <c r="B1361" s="2">
        <v>44413</v>
      </c>
      <c r="C1361" t="s">
        <v>103</v>
      </c>
      <c r="D1361" t="s">
        <v>163</v>
      </c>
      <c r="E1361">
        <v>1</v>
      </c>
      <c r="F1361" t="str">
        <f>VLOOKUP($C1361,VLOOKUP_spp!$A$2:$D$103,4,1)</f>
        <v>Hylaeus</v>
      </c>
      <c r="G1361" t="str">
        <f>VLOOKUP($F1361,VLOOKUP_spp!$A$2:$E$102,5,1)</f>
        <v>Hymenoptera</v>
      </c>
      <c r="H1361" t="str">
        <f t="shared" si="21"/>
        <v>Aug</v>
      </c>
      <c r="I1361">
        <v>1</v>
      </c>
    </row>
    <row r="1362" spans="1:9" x14ac:dyDescent="0.35">
      <c r="A1362">
        <v>1361</v>
      </c>
      <c r="B1362" s="2">
        <v>44413</v>
      </c>
      <c r="C1362" t="s">
        <v>103</v>
      </c>
      <c r="D1362" t="s">
        <v>150</v>
      </c>
      <c r="E1362">
        <v>1</v>
      </c>
      <c r="F1362" t="str">
        <f>VLOOKUP($C1362,VLOOKUP_spp!$A$2:$D$103,4,1)</f>
        <v>Hylaeus</v>
      </c>
      <c r="G1362" t="str">
        <f>VLOOKUP($F1362,VLOOKUP_spp!$A$2:$E$102,5,1)</f>
        <v>Hymenoptera</v>
      </c>
      <c r="H1362" t="str">
        <f t="shared" si="21"/>
        <v>Aug</v>
      </c>
      <c r="I1362">
        <v>1</v>
      </c>
    </row>
    <row r="1363" spans="1:9" x14ac:dyDescent="0.35">
      <c r="A1363">
        <v>1362</v>
      </c>
      <c r="B1363" s="2">
        <v>44413</v>
      </c>
      <c r="C1363" t="s">
        <v>104</v>
      </c>
      <c r="D1363" t="s">
        <v>157</v>
      </c>
      <c r="E1363">
        <v>1</v>
      </c>
      <c r="F1363" t="str">
        <f>VLOOKUP($C1363,VLOOKUP_spp!$A$2:$D$103,4,1)</f>
        <v>Hylaeus_leptocephalus</v>
      </c>
      <c r="G1363" t="str">
        <f>VLOOKUP($F1363,VLOOKUP_spp!$A$2:$E$102,5,1)</f>
        <v>Hymenoptera</v>
      </c>
      <c r="H1363" t="str">
        <f t="shared" si="21"/>
        <v>Aug</v>
      </c>
      <c r="I1363">
        <v>1</v>
      </c>
    </row>
    <row r="1364" spans="1:9" x14ac:dyDescent="0.35">
      <c r="A1364">
        <v>1363</v>
      </c>
      <c r="B1364" s="2">
        <v>44413</v>
      </c>
      <c r="C1364" t="s">
        <v>105</v>
      </c>
      <c r="D1364" t="s">
        <v>147</v>
      </c>
      <c r="E1364">
        <v>2</v>
      </c>
      <c r="F1364" t="str">
        <f>VLOOKUP($C1364,VLOOKUP_spp!$A$2:$D$103,4,1)</f>
        <v>Hylaeus_modestus</v>
      </c>
      <c r="G1364" t="str">
        <f>VLOOKUP($F1364,VLOOKUP_spp!$A$2:$E$102,5,1)</f>
        <v>Hymenoptera</v>
      </c>
      <c r="H1364" t="str">
        <f t="shared" si="21"/>
        <v>Aug</v>
      </c>
      <c r="I1364">
        <v>1</v>
      </c>
    </row>
    <row r="1365" spans="1:9" x14ac:dyDescent="0.35">
      <c r="A1365">
        <v>1364</v>
      </c>
      <c r="B1365" s="2">
        <v>44413</v>
      </c>
      <c r="C1365" t="s">
        <v>8</v>
      </c>
      <c r="D1365" t="s">
        <v>179</v>
      </c>
      <c r="E1365">
        <v>1</v>
      </c>
      <c r="F1365" t="str">
        <f>VLOOKUP($C1365,VLOOKUP_spp!$A$2:$D$103,4,1)</f>
        <v>Lepidoptera</v>
      </c>
      <c r="G1365" t="str">
        <f>VLOOKUP($F1365,VLOOKUP_spp!$A$2:$E$102,5,1)</f>
        <v>Lepidoptera</v>
      </c>
      <c r="H1365" t="str">
        <f t="shared" si="21"/>
        <v>Aug</v>
      </c>
      <c r="I1365">
        <v>1</v>
      </c>
    </row>
    <row r="1366" spans="1:9" x14ac:dyDescent="0.35">
      <c r="A1366">
        <v>1365</v>
      </c>
      <c r="B1366" s="2">
        <v>44413</v>
      </c>
      <c r="C1366" t="s">
        <v>8</v>
      </c>
      <c r="D1366" t="s">
        <v>147</v>
      </c>
      <c r="E1366">
        <v>1</v>
      </c>
      <c r="F1366" t="str">
        <f>VLOOKUP($C1366,VLOOKUP_spp!$A$2:$D$103,4,1)</f>
        <v>Lepidoptera</v>
      </c>
      <c r="G1366" t="str">
        <f>VLOOKUP($F1366,VLOOKUP_spp!$A$2:$E$102,5,1)</f>
        <v>Lepidoptera</v>
      </c>
      <c r="H1366" t="str">
        <f t="shared" si="21"/>
        <v>Aug</v>
      </c>
      <c r="I1366">
        <v>1</v>
      </c>
    </row>
    <row r="1367" spans="1:9" x14ac:dyDescent="0.35">
      <c r="A1367">
        <v>1366</v>
      </c>
      <c r="B1367" s="2">
        <v>44413</v>
      </c>
      <c r="C1367" t="s">
        <v>111</v>
      </c>
      <c r="D1367" t="s">
        <v>147</v>
      </c>
      <c r="E1367">
        <v>2</v>
      </c>
      <c r="F1367">
        <f>VLOOKUP($C1367,VLOOKUP_spp!$A$2:$D$103,4,1)</f>
        <v>0</v>
      </c>
      <c r="G1367" t="e">
        <f>VLOOKUP($F1367,VLOOKUP_spp!$A$2:$E$102,5,1)</f>
        <v>#N/A</v>
      </c>
      <c r="H1367" t="str">
        <f t="shared" si="21"/>
        <v>Aug</v>
      </c>
      <c r="I1367">
        <v>1</v>
      </c>
    </row>
    <row r="1368" spans="1:9" x14ac:dyDescent="0.35">
      <c r="A1368">
        <v>1367</v>
      </c>
      <c r="B1368" s="2">
        <v>44413</v>
      </c>
      <c r="C1368" t="s">
        <v>119</v>
      </c>
      <c r="D1368" t="s">
        <v>147</v>
      </c>
      <c r="E1368">
        <v>1</v>
      </c>
      <c r="F1368" t="str">
        <f>VLOOKUP($C1368,VLOOKUP_spp!$A$2:$D$103,4,1)</f>
        <v>Perdita</v>
      </c>
      <c r="G1368" t="str">
        <f>VLOOKUP($F1368,VLOOKUP_spp!$A$2:$E$102,5,1)</f>
        <v>Hymenoptera</v>
      </c>
      <c r="H1368" t="str">
        <f t="shared" si="21"/>
        <v>Aug</v>
      </c>
      <c r="I1368">
        <v>1</v>
      </c>
    </row>
    <row r="1369" spans="1:9" x14ac:dyDescent="0.35">
      <c r="A1369">
        <v>1368</v>
      </c>
      <c r="B1369" s="2">
        <v>44413</v>
      </c>
      <c r="C1369" t="s">
        <v>126</v>
      </c>
      <c r="D1369" t="s">
        <v>147</v>
      </c>
      <c r="E1369">
        <v>1</v>
      </c>
      <c r="F1369" t="str">
        <f>VLOOKUP($C1369,VLOOKUP_spp!$A$2:$D$103,4,1)</f>
        <v>Syrphidae</v>
      </c>
      <c r="G1369" t="str">
        <f>VLOOKUP($F1369,VLOOKUP_spp!$A$2:$E$102,5,1)</f>
        <v>Diptera</v>
      </c>
      <c r="H1369" t="str">
        <f t="shared" si="21"/>
        <v>Aug</v>
      </c>
      <c r="I1369">
        <v>1</v>
      </c>
    </row>
    <row r="1370" spans="1:9" x14ac:dyDescent="0.35">
      <c r="A1370">
        <v>1369</v>
      </c>
      <c r="B1370" s="2">
        <v>44413</v>
      </c>
      <c r="C1370" t="s">
        <v>128</v>
      </c>
      <c r="D1370" t="s">
        <v>165</v>
      </c>
      <c r="E1370">
        <v>2</v>
      </c>
      <c r="F1370" t="str">
        <f>VLOOKUP($C1370,VLOOKUP_spp!$A$2:$D$103,4,1)</f>
        <v>Wasp</v>
      </c>
      <c r="G1370" t="str">
        <f>VLOOKUP($F1370,VLOOKUP_spp!$A$2:$E$102,5,1)</f>
        <v>Hymenoptera</v>
      </c>
      <c r="H1370" t="str">
        <f t="shared" si="21"/>
        <v>Aug</v>
      </c>
      <c r="I1370">
        <v>1</v>
      </c>
    </row>
    <row r="1371" spans="1:9" x14ac:dyDescent="0.35">
      <c r="A1371">
        <v>1370</v>
      </c>
      <c r="B1371" s="2">
        <v>44413</v>
      </c>
      <c r="C1371" t="s">
        <v>128</v>
      </c>
      <c r="D1371" t="s">
        <v>161</v>
      </c>
      <c r="E1371">
        <v>1</v>
      </c>
      <c r="F1371" t="str">
        <f>VLOOKUP($C1371,VLOOKUP_spp!$A$2:$D$103,4,1)</f>
        <v>Wasp</v>
      </c>
      <c r="G1371" t="str">
        <f>VLOOKUP($F1371,VLOOKUP_spp!$A$2:$E$102,5,1)</f>
        <v>Hymenoptera</v>
      </c>
      <c r="H1371" t="str">
        <f t="shared" si="21"/>
        <v>Aug</v>
      </c>
      <c r="I1371">
        <v>1</v>
      </c>
    </row>
    <row r="1372" spans="1:9" x14ac:dyDescent="0.35">
      <c r="A1372">
        <v>1371</v>
      </c>
      <c r="B1372" s="2">
        <v>44413</v>
      </c>
      <c r="C1372" t="s">
        <v>128</v>
      </c>
      <c r="D1372" t="s">
        <v>162</v>
      </c>
      <c r="E1372">
        <v>3</v>
      </c>
      <c r="F1372" t="str">
        <f>VLOOKUP($C1372,VLOOKUP_spp!$A$2:$D$103,4,1)</f>
        <v>Wasp</v>
      </c>
      <c r="G1372" t="str">
        <f>VLOOKUP($F1372,VLOOKUP_spp!$A$2:$E$102,5,1)</f>
        <v>Hymenoptera</v>
      </c>
      <c r="H1372" t="str">
        <f t="shared" si="21"/>
        <v>Aug</v>
      </c>
      <c r="I1372">
        <v>1</v>
      </c>
    </row>
    <row r="1373" spans="1:9" x14ac:dyDescent="0.35">
      <c r="A1373">
        <v>1372</v>
      </c>
      <c r="B1373" s="2">
        <v>44413</v>
      </c>
      <c r="C1373" t="s">
        <v>128</v>
      </c>
      <c r="D1373" t="s">
        <v>147</v>
      </c>
      <c r="E1373">
        <v>15</v>
      </c>
      <c r="F1373" t="str">
        <f>VLOOKUP($C1373,VLOOKUP_spp!$A$2:$D$103,4,1)</f>
        <v>Wasp</v>
      </c>
      <c r="G1373" t="str">
        <f>VLOOKUP($F1373,VLOOKUP_spp!$A$2:$E$102,5,1)</f>
        <v>Hymenoptera</v>
      </c>
      <c r="H1373" t="str">
        <f t="shared" si="21"/>
        <v>Aug</v>
      </c>
      <c r="I1373">
        <v>1</v>
      </c>
    </row>
    <row r="1374" spans="1:9" x14ac:dyDescent="0.35">
      <c r="A1374">
        <v>1373</v>
      </c>
      <c r="B1374" s="2">
        <v>44418</v>
      </c>
      <c r="C1374" t="s">
        <v>50</v>
      </c>
      <c r="D1374" t="s">
        <v>171</v>
      </c>
      <c r="E1374">
        <v>1</v>
      </c>
      <c r="F1374" t="str">
        <f>VLOOKUP($C1374,VLOOKUP_spp!$A$2:$D$103,4,1)</f>
        <v>Apis_mellifera</v>
      </c>
      <c r="G1374" t="str">
        <f>VLOOKUP($F1374,VLOOKUP_spp!$A$2:$E$102,5,1)</f>
        <v>Hymenoptera</v>
      </c>
      <c r="H1374" t="str">
        <f t="shared" si="21"/>
        <v>Aug</v>
      </c>
      <c r="I1374">
        <v>1</v>
      </c>
    </row>
    <row r="1375" spans="1:9" x14ac:dyDescent="0.35">
      <c r="A1375">
        <v>1374</v>
      </c>
      <c r="B1375" s="2">
        <v>44418</v>
      </c>
      <c r="C1375" t="s">
        <v>50</v>
      </c>
      <c r="D1375" t="s">
        <v>157</v>
      </c>
      <c r="E1375">
        <v>3</v>
      </c>
      <c r="F1375" t="str">
        <f>VLOOKUP($C1375,VLOOKUP_spp!$A$2:$D$103,4,1)</f>
        <v>Apis_mellifera</v>
      </c>
      <c r="G1375" t="str">
        <f>VLOOKUP($F1375,VLOOKUP_spp!$A$2:$E$102,5,1)</f>
        <v>Hymenoptera</v>
      </c>
      <c r="H1375" t="str">
        <f t="shared" si="21"/>
        <v>Aug</v>
      </c>
      <c r="I1375">
        <v>1</v>
      </c>
    </row>
    <row r="1376" spans="1:9" x14ac:dyDescent="0.35">
      <c r="A1376">
        <v>1375</v>
      </c>
      <c r="B1376" s="2">
        <v>44418</v>
      </c>
      <c r="C1376" t="s">
        <v>50</v>
      </c>
      <c r="D1376" t="s">
        <v>153</v>
      </c>
      <c r="E1376">
        <v>2</v>
      </c>
      <c r="F1376" t="str">
        <f>VLOOKUP($C1376,VLOOKUP_spp!$A$2:$D$103,4,1)</f>
        <v>Apis_mellifera</v>
      </c>
      <c r="G1376" t="str">
        <f>VLOOKUP($F1376,VLOOKUP_spp!$A$2:$E$102,5,1)</f>
        <v>Hymenoptera</v>
      </c>
      <c r="H1376" t="str">
        <f t="shared" si="21"/>
        <v>Aug</v>
      </c>
      <c r="I1376">
        <v>1</v>
      </c>
    </row>
    <row r="1377" spans="1:9" x14ac:dyDescent="0.35">
      <c r="A1377">
        <v>1376</v>
      </c>
      <c r="B1377" s="2">
        <v>44418</v>
      </c>
      <c r="C1377" t="s">
        <v>50</v>
      </c>
      <c r="D1377" t="s">
        <v>158</v>
      </c>
      <c r="E1377">
        <v>4</v>
      </c>
      <c r="F1377" t="str">
        <f>VLOOKUP($C1377,VLOOKUP_spp!$A$2:$D$103,4,1)</f>
        <v>Apis_mellifera</v>
      </c>
      <c r="G1377" t="str">
        <f>VLOOKUP($F1377,VLOOKUP_spp!$A$2:$E$102,5,1)</f>
        <v>Hymenoptera</v>
      </c>
      <c r="H1377" t="str">
        <f t="shared" si="21"/>
        <v>Aug</v>
      </c>
      <c r="I1377">
        <v>1</v>
      </c>
    </row>
    <row r="1378" spans="1:9" x14ac:dyDescent="0.35">
      <c r="A1378">
        <v>1377</v>
      </c>
      <c r="B1378" s="2">
        <v>44418</v>
      </c>
      <c r="C1378" t="s">
        <v>50</v>
      </c>
      <c r="D1378" t="s">
        <v>173</v>
      </c>
      <c r="E1378">
        <v>2</v>
      </c>
      <c r="F1378" t="str">
        <f>VLOOKUP($C1378,VLOOKUP_spp!$A$2:$D$103,4,1)</f>
        <v>Apis_mellifera</v>
      </c>
      <c r="G1378" t="str">
        <f>VLOOKUP($F1378,VLOOKUP_spp!$A$2:$E$102,5,1)</f>
        <v>Hymenoptera</v>
      </c>
      <c r="H1378" t="str">
        <f t="shared" si="21"/>
        <v>Aug</v>
      </c>
      <c r="I1378">
        <v>1</v>
      </c>
    </row>
    <row r="1379" spans="1:9" x14ac:dyDescent="0.35">
      <c r="A1379">
        <v>1378</v>
      </c>
      <c r="B1379" s="2">
        <v>44418</v>
      </c>
      <c r="C1379" t="s">
        <v>50</v>
      </c>
      <c r="D1379" t="s">
        <v>154</v>
      </c>
      <c r="E1379">
        <v>1</v>
      </c>
      <c r="F1379" t="str">
        <f>VLOOKUP($C1379,VLOOKUP_spp!$A$2:$D$103,4,1)</f>
        <v>Apis_mellifera</v>
      </c>
      <c r="G1379" t="str">
        <f>VLOOKUP($F1379,VLOOKUP_spp!$A$2:$E$102,5,1)</f>
        <v>Hymenoptera</v>
      </c>
      <c r="H1379" t="str">
        <f t="shared" si="21"/>
        <v>Aug</v>
      </c>
      <c r="I1379">
        <v>1</v>
      </c>
    </row>
    <row r="1380" spans="1:9" x14ac:dyDescent="0.35">
      <c r="A1380">
        <v>1379</v>
      </c>
      <c r="B1380" s="2">
        <v>44418</v>
      </c>
      <c r="C1380" t="s">
        <v>50</v>
      </c>
      <c r="D1380" t="s">
        <v>160</v>
      </c>
      <c r="E1380">
        <v>2</v>
      </c>
      <c r="F1380" t="str">
        <f>VLOOKUP($C1380,VLOOKUP_spp!$A$2:$D$103,4,1)</f>
        <v>Apis_mellifera</v>
      </c>
      <c r="G1380" t="str">
        <f>VLOOKUP($F1380,VLOOKUP_spp!$A$2:$E$102,5,1)</f>
        <v>Hymenoptera</v>
      </c>
      <c r="H1380" t="str">
        <f t="shared" si="21"/>
        <v>Aug</v>
      </c>
      <c r="I1380">
        <v>1</v>
      </c>
    </row>
    <row r="1381" spans="1:9" x14ac:dyDescent="0.35">
      <c r="A1381">
        <v>1380</v>
      </c>
      <c r="B1381" s="2">
        <v>44418</v>
      </c>
      <c r="C1381" t="s">
        <v>50</v>
      </c>
      <c r="D1381" t="s">
        <v>161</v>
      </c>
      <c r="E1381">
        <v>1</v>
      </c>
      <c r="F1381" t="str">
        <f>VLOOKUP($C1381,VLOOKUP_spp!$A$2:$D$103,4,1)</f>
        <v>Apis_mellifera</v>
      </c>
      <c r="G1381" t="str">
        <f>VLOOKUP($F1381,VLOOKUP_spp!$A$2:$E$102,5,1)</f>
        <v>Hymenoptera</v>
      </c>
      <c r="H1381" t="str">
        <f t="shared" si="21"/>
        <v>Aug</v>
      </c>
      <c r="I1381">
        <v>1</v>
      </c>
    </row>
    <row r="1382" spans="1:9" x14ac:dyDescent="0.35">
      <c r="A1382">
        <v>1381</v>
      </c>
      <c r="B1382" s="2">
        <v>44418</v>
      </c>
      <c r="C1382" t="s">
        <v>50</v>
      </c>
      <c r="D1382" t="s">
        <v>162</v>
      </c>
      <c r="E1382">
        <v>5</v>
      </c>
      <c r="F1382" t="str">
        <f>VLOOKUP($C1382,VLOOKUP_spp!$A$2:$D$103,4,1)</f>
        <v>Apis_mellifera</v>
      </c>
      <c r="G1382" t="str">
        <f>VLOOKUP($F1382,VLOOKUP_spp!$A$2:$E$102,5,1)</f>
        <v>Hymenoptera</v>
      </c>
      <c r="H1382" t="str">
        <f t="shared" si="21"/>
        <v>Aug</v>
      </c>
      <c r="I1382">
        <v>1</v>
      </c>
    </row>
    <row r="1383" spans="1:9" x14ac:dyDescent="0.35">
      <c r="A1383">
        <v>1382</v>
      </c>
      <c r="B1383" s="2">
        <v>44418</v>
      </c>
      <c r="C1383" t="s">
        <v>50</v>
      </c>
      <c r="D1383" t="s">
        <v>176</v>
      </c>
      <c r="E1383">
        <v>1</v>
      </c>
      <c r="F1383" t="str">
        <f>VLOOKUP($C1383,VLOOKUP_spp!$A$2:$D$103,4,1)</f>
        <v>Apis_mellifera</v>
      </c>
      <c r="G1383" t="str">
        <f>VLOOKUP($F1383,VLOOKUP_spp!$A$2:$E$102,5,1)</f>
        <v>Hymenoptera</v>
      </c>
      <c r="H1383" t="str">
        <f t="shared" si="21"/>
        <v>Aug</v>
      </c>
      <c r="I1383">
        <v>1</v>
      </c>
    </row>
    <row r="1384" spans="1:9" x14ac:dyDescent="0.35">
      <c r="A1384">
        <v>1383</v>
      </c>
      <c r="B1384" s="2">
        <v>44418</v>
      </c>
      <c r="C1384" t="s">
        <v>53</v>
      </c>
      <c r="D1384" t="s">
        <v>176</v>
      </c>
      <c r="E1384">
        <v>1</v>
      </c>
      <c r="F1384" t="str">
        <f>VLOOKUP($C1384,VLOOKUP_spp!$A$2:$D$103,4,1)</f>
        <v>Augochloropsis</v>
      </c>
      <c r="G1384" t="str">
        <f>VLOOKUP($F1384,VLOOKUP_spp!$A$2:$E$102,5,1)</f>
        <v>Hymenoptera</v>
      </c>
      <c r="H1384" t="str">
        <f t="shared" si="21"/>
        <v>Aug</v>
      </c>
      <c r="I1384">
        <v>1</v>
      </c>
    </row>
    <row r="1385" spans="1:9" x14ac:dyDescent="0.35">
      <c r="A1385">
        <v>1384</v>
      </c>
      <c r="B1385" s="2">
        <v>44418</v>
      </c>
      <c r="C1385" t="s">
        <v>57</v>
      </c>
      <c r="D1385" t="s">
        <v>162</v>
      </c>
      <c r="E1385">
        <v>1</v>
      </c>
      <c r="F1385" t="str">
        <f>VLOOKUP($C1385,VLOOKUP_spp!$A$2:$D$103,4,1)</f>
        <v>Bombus_bimaculatus</v>
      </c>
      <c r="G1385" t="str">
        <f>VLOOKUP($F1385,VLOOKUP_spp!$A$2:$E$102,5,1)</f>
        <v>Hymenoptera</v>
      </c>
      <c r="H1385" t="str">
        <f t="shared" si="21"/>
        <v>Aug</v>
      </c>
      <c r="I1385">
        <v>1</v>
      </c>
    </row>
    <row r="1386" spans="1:9" x14ac:dyDescent="0.35">
      <c r="A1386">
        <v>1385</v>
      </c>
      <c r="B1386" s="2">
        <v>44418</v>
      </c>
      <c r="C1386" t="s">
        <v>65</v>
      </c>
      <c r="D1386" t="s">
        <v>154</v>
      </c>
      <c r="E1386">
        <v>1</v>
      </c>
      <c r="F1386" t="str">
        <f>VLOOKUP($C1386,VLOOKUP_spp!$A$2:$D$103,4,1)</f>
        <v>Bombus_griseocollis</v>
      </c>
      <c r="G1386" t="str">
        <f>VLOOKUP($F1386,VLOOKUP_spp!$A$2:$E$102,5,1)</f>
        <v>Hymenoptera</v>
      </c>
      <c r="H1386" t="str">
        <f t="shared" si="21"/>
        <v>Aug</v>
      </c>
      <c r="I1386">
        <v>1</v>
      </c>
    </row>
    <row r="1387" spans="1:9" x14ac:dyDescent="0.35">
      <c r="A1387">
        <v>1386</v>
      </c>
      <c r="B1387" s="2">
        <v>44418</v>
      </c>
      <c r="C1387" t="s">
        <v>65</v>
      </c>
      <c r="D1387" t="s">
        <v>156</v>
      </c>
      <c r="E1387">
        <v>1</v>
      </c>
      <c r="F1387" t="str">
        <f>VLOOKUP($C1387,VLOOKUP_spp!$A$2:$D$103,4,1)</f>
        <v>Bombus_griseocollis</v>
      </c>
      <c r="G1387" t="str">
        <f>VLOOKUP($F1387,VLOOKUP_spp!$A$2:$E$102,5,1)</f>
        <v>Hymenoptera</v>
      </c>
      <c r="H1387" t="str">
        <f t="shared" si="21"/>
        <v>Aug</v>
      </c>
      <c r="I1387">
        <v>1</v>
      </c>
    </row>
    <row r="1388" spans="1:9" x14ac:dyDescent="0.35">
      <c r="A1388">
        <v>1387</v>
      </c>
      <c r="B1388" s="2">
        <v>44418</v>
      </c>
      <c r="C1388" t="s">
        <v>67</v>
      </c>
      <c r="D1388" t="s">
        <v>157</v>
      </c>
      <c r="E1388">
        <v>4</v>
      </c>
      <c r="F1388" t="str">
        <f>VLOOKUP($C1388,VLOOKUP_spp!$A$2:$D$103,4,1)</f>
        <v>Bombus_impatiens</v>
      </c>
      <c r="G1388" t="str">
        <f>VLOOKUP($F1388,VLOOKUP_spp!$A$2:$E$102,5,1)</f>
        <v>Hymenoptera</v>
      </c>
      <c r="H1388" t="str">
        <f t="shared" si="21"/>
        <v>Aug</v>
      </c>
      <c r="I1388">
        <v>1</v>
      </c>
    </row>
    <row r="1389" spans="1:9" x14ac:dyDescent="0.35">
      <c r="A1389">
        <v>1388</v>
      </c>
      <c r="B1389" s="2">
        <v>44418</v>
      </c>
      <c r="C1389" t="s">
        <v>67</v>
      </c>
      <c r="D1389" t="s">
        <v>158</v>
      </c>
      <c r="E1389">
        <v>1</v>
      </c>
      <c r="F1389" t="str">
        <f>VLOOKUP($C1389,VLOOKUP_spp!$A$2:$D$103,4,1)</f>
        <v>Bombus_impatiens</v>
      </c>
      <c r="G1389" t="str">
        <f>VLOOKUP($F1389,VLOOKUP_spp!$A$2:$E$102,5,1)</f>
        <v>Hymenoptera</v>
      </c>
      <c r="H1389" t="str">
        <f t="shared" si="21"/>
        <v>Aug</v>
      </c>
      <c r="I1389">
        <v>1</v>
      </c>
    </row>
    <row r="1390" spans="1:9" x14ac:dyDescent="0.35">
      <c r="A1390">
        <v>1389</v>
      </c>
      <c r="B1390" s="2">
        <v>44418</v>
      </c>
      <c r="C1390" t="s">
        <v>67</v>
      </c>
      <c r="D1390" t="s">
        <v>154</v>
      </c>
      <c r="E1390">
        <v>2</v>
      </c>
      <c r="F1390" t="str">
        <f>VLOOKUP($C1390,VLOOKUP_spp!$A$2:$D$103,4,1)</f>
        <v>Bombus_impatiens</v>
      </c>
      <c r="G1390" t="str">
        <f>VLOOKUP($F1390,VLOOKUP_spp!$A$2:$E$102,5,1)</f>
        <v>Hymenoptera</v>
      </c>
      <c r="H1390" t="str">
        <f t="shared" si="21"/>
        <v>Aug</v>
      </c>
      <c r="I1390">
        <v>1</v>
      </c>
    </row>
    <row r="1391" spans="1:9" x14ac:dyDescent="0.35">
      <c r="A1391">
        <v>1390</v>
      </c>
      <c r="B1391" s="2">
        <v>44418</v>
      </c>
      <c r="C1391" t="s">
        <v>67</v>
      </c>
      <c r="D1391" t="s">
        <v>161</v>
      </c>
      <c r="E1391">
        <v>1</v>
      </c>
      <c r="F1391" t="str">
        <f>VLOOKUP($C1391,VLOOKUP_spp!$A$2:$D$103,4,1)</f>
        <v>Bombus_impatiens</v>
      </c>
      <c r="G1391" t="str">
        <f>VLOOKUP($F1391,VLOOKUP_spp!$A$2:$E$102,5,1)</f>
        <v>Hymenoptera</v>
      </c>
      <c r="H1391" t="str">
        <f t="shared" si="21"/>
        <v>Aug</v>
      </c>
      <c r="I1391">
        <v>1</v>
      </c>
    </row>
    <row r="1392" spans="1:9" x14ac:dyDescent="0.35">
      <c r="A1392">
        <v>1391</v>
      </c>
      <c r="B1392" s="2">
        <v>44418</v>
      </c>
      <c r="C1392" t="s">
        <v>67</v>
      </c>
      <c r="D1392" t="s">
        <v>156</v>
      </c>
      <c r="E1392">
        <v>3</v>
      </c>
      <c r="F1392" t="str">
        <f>VLOOKUP($C1392,VLOOKUP_spp!$A$2:$D$103,4,1)</f>
        <v>Bombus_impatiens</v>
      </c>
      <c r="G1392" t="str">
        <f>VLOOKUP($F1392,VLOOKUP_spp!$A$2:$E$102,5,1)</f>
        <v>Hymenoptera</v>
      </c>
      <c r="H1392" t="str">
        <f t="shared" si="21"/>
        <v>Aug</v>
      </c>
      <c r="I1392">
        <v>1</v>
      </c>
    </row>
    <row r="1393" spans="1:9" x14ac:dyDescent="0.35">
      <c r="A1393">
        <v>1392</v>
      </c>
      <c r="B1393" s="2">
        <v>44418</v>
      </c>
      <c r="C1393" t="s">
        <v>67</v>
      </c>
      <c r="D1393" t="s">
        <v>164</v>
      </c>
      <c r="E1393">
        <v>4</v>
      </c>
      <c r="F1393" t="str">
        <f>VLOOKUP($C1393,VLOOKUP_spp!$A$2:$D$103,4,1)</f>
        <v>Bombus_impatiens</v>
      </c>
      <c r="G1393" t="str">
        <f>VLOOKUP($F1393,VLOOKUP_spp!$A$2:$E$102,5,1)</f>
        <v>Hymenoptera</v>
      </c>
      <c r="H1393" t="str">
        <f t="shared" si="21"/>
        <v>Aug</v>
      </c>
      <c r="I1393">
        <v>1</v>
      </c>
    </row>
    <row r="1394" spans="1:9" x14ac:dyDescent="0.35">
      <c r="A1394">
        <v>1393</v>
      </c>
      <c r="B1394" s="2">
        <v>44418</v>
      </c>
      <c r="C1394" t="s">
        <v>67</v>
      </c>
      <c r="D1394" t="s">
        <v>155</v>
      </c>
      <c r="E1394">
        <v>3</v>
      </c>
      <c r="F1394" t="str">
        <f>VLOOKUP($C1394,VLOOKUP_spp!$A$2:$D$103,4,1)</f>
        <v>Bombus_impatiens</v>
      </c>
      <c r="G1394" t="str">
        <f>VLOOKUP($F1394,VLOOKUP_spp!$A$2:$E$102,5,1)</f>
        <v>Hymenoptera</v>
      </c>
      <c r="H1394" t="str">
        <f t="shared" si="21"/>
        <v>Aug</v>
      </c>
      <c r="I1394">
        <v>1</v>
      </c>
    </row>
    <row r="1395" spans="1:9" x14ac:dyDescent="0.35">
      <c r="A1395">
        <v>1394</v>
      </c>
      <c r="B1395" s="2">
        <v>44418</v>
      </c>
      <c r="C1395" t="s">
        <v>70</v>
      </c>
      <c r="D1395" t="s">
        <v>164</v>
      </c>
      <c r="E1395">
        <v>1</v>
      </c>
      <c r="F1395" t="str">
        <f>VLOOKUP($C1395,VLOOKUP_spp!$A$2:$D$103,4,1)</f>
        <v>Bombus</v>
      </c>
      <c r="G1395" t="str">
        <f>VLOOKUP($F1395,VLOOKUP_spp!$A$2:$E$102,5,1)</f>
        <v>Hymenoptera</v>
      </c>
      <c r="H1395" t="str">
        <f t="shared" si="21"/>
        <v>Aug</v>
      </c>
      <c r="I1395">
        <v>1</v>
      </c>
    </row>
    <row r="1396" spans="1:9" x14ac:dyDescent="0.35">
      <c r="A1396">
        <v>1395</v>
      </c>
      <c r="B1396" s="2">
        <v>44418</v>
      </c>
      <c r="C1396" t="s">
        <v>7</v>
      </c>
      <c r="D1396" t="s">
        <v>171</v>
      </c>
      <c r="E1396">
        <v>1</v>
      </c>
      <c r="F1396" t="str">
        <f>VLOOKUP($C1396,VLOOKUP_spp!$A$2:$D$103,4,1)</f>
        <v>Coleoptera</v>
      </c>
      <c r="G1396" t="str">
        <f>VLOOKUP($F1396,VLOOKUP_spp!$A$2:$E$102,5,1)</f>
        <v>Coleoptera</v>
      </c>
      <c r="H1396" t="str">
        <f t="shared" si="21"/>
        <v>Aug</v>
      </c>
      <c r="I1396">
        <v>1</v>
      </c>
    </row>
    <row r="1397" spans="1:9" x14ac:dyDescent="0.35">
      <c r="A1397">
        <v>1396</v>
      </c>
      <c r="B1397" s="2">
        <v>44418</v>
      </c>
      <c r="C1397" t="s">
        <v>7</v>
      </c>
      <c r="D1397" t="s">
        <v>157</v>
      </c>
      <c r="E1397">
        <v>2</v>
      </c>
      <c r="F1397" t="str">
        <f>VLOOKUP($C1397,VLOOKUP_spp!$A$2:$D$103,4,1)</f>
        <v>Coleoptera</v>
      </c>
      <c r="G1397" t="str">
        <f>VLOOKUP($F1397,VLOOKUP_spp!$A$2:$E$102,5,1)</f>
        <v>Coleoptera</v>
      </c>
      <c r="H1397" t="str">
        <f t="shared" si="21"/>
        <v>Aug</v>
      </c>
      <c r="I1397">
        <v>1</v>
      </c>
    </row>
    <row r="1398" spans="1:9" x14ac:dyDescent="0.35">
      <c r="A1398">
        <v>1397</v>
      </c>
      <c r="B1398" s="2">
        <v>44418</v>
      </c>
      <c r="C1398" t="s">
        <v>7</v>
      </c>
      <c r="D1398" t="s">
        <v>154</v>
      </c>
      <c r="E1398">
        <v>1</v>
      </c>
      <c r="F1398" t="str">
        <f>VLOOKUP($C1398,VLOOKUP_spp!$A$2:$D$103,4,1)</f>
        <v>Coleoptera</v>
      </c>
      <c r="G1398" t="str">
        <f>VLOOKUP($F1398,VLOOKUP_spp!$A$2:$E$102,5,1)</f>
        <v>Coleoptera</v>
      </c>
      <c r="H1398" t="str">
        <f t="shared" si="21"/>
        <v>Aug</v>
      </c>
      <c r="I1398">
        <v>1</v>
      </c>
    </row>
    <row r="1399" spans="1:9" x14ac:dyDescent="0.35">
      <c r="A1399">
        <v>1398</v>
      </c>
      <c r="B1399" s="2">
        <v>44418</v>
      </c>
      <c r="C1399" t="s">
        <v>7</v>
      </c>
      <c r="D1399" t="s">
        <v>164</v>
      </c>
      <c r="E1399">
        <v>1</v>
      </c>
      <c r="F1399" t="str">
        <f>VLOOKUP($C1399,VLOOKUP_spp!$A$2:$D$103,4,1)</f>
        <v>Coleoptera</v>
      </c>
      <c r="G1399" t="str">
        <f>VLOOKUP($F1399,VLOOKUP_spp!$A$2:$E$102,5,1)</f>
        <v>Coleoptera</v>
      </c>
      <c r="H1399" t="str">
        <f t="shared" si="21"/>
        <v>Aug</v>
      </c>
      <c r="I1399">
        <v>1</v>
      </c>
    </row>
    <row r="1400" spans="1:9" x14ac:dyDescent="0.35">
      <c r="A1400">
        <v>1399</v>
      </c>
      <c r="B1400" s="2">
        <v>44418</v>
      </c>
      <c r="C1400" t="s">
        <v>6</v>
      </c>
      <c r="D1400" t="s">
        <v>158</v>
      </c>
      <c r="E1400">
        <v>3</v>
      </c>
      <c r="F1400" t="str">
        <f>VLOOKUP($C1400,VLOOKUP_spp!$A$2:$D$103,4,1)</f>
        <v>Diptera</v>
      </c>
      <c r="G1400" t="str">
        <f>VLOOKUP($F1400,VLOOKUP_spp!$A$2:$E$102,5,1)</f>
        <v>Diptera</v>
      </c>
      <c r="H1400" t="str">
        <f t="shared" si="21"/>
        <v>Aug</v>
      </c>
      <c r="I1400">
        <v>1</v>
      </c>
    </row>
    <row r="1401" spans="1:9" x14ac:dyDescent="0.35">
      <c r="A1401">
        <v>1400</v>
      </c>
      <c r="B1401" s="2">
        <v>44418</v>
      </c>
      <c r="C1401" t="s">
        <v>6</v>
      </c>
      <c r="D1401" t="s">
        <v>154</v>
      </c>
      <c r="E1401">
        <v>1</v>
      </c>
      <c r="F1401" t="str">
        <f>VLOOKUP($C1401,VLOOKUP_spp!$A$2:$D$103,4,1)</f>
        <v>Diptera</v>
      </c>
      <c r="G1401" t="str">
        <f>VLOOKUP($F1401,VLOOKUP_spp!$A$2:$E$102,5,1)</f>
        <v>Diptera</v>
      </c>
      <c r="H1401" t="str">
        <f t="shared" si="21"/>
        <v>Aug</v>
      </c>
      <c r="I1401">
        <v>1</v>
      </c>
    </row>
    <row r="1402" spans="1:9" x14ac:dyDescent="0.35">
      <c r="A1402">
        <v>1401</v>
      </c>
      <c r="B1402" s="2">
        <v>44418</v>
      </c>
      <c r="C1402" t="s">
        <v>103</v>
      </c>
      <c r="D1402" t="s">
        <v>156</v>
      </c>
      <c r="E1402">
        <v>1</v>
      </c>
      <c r="F1402" t="str">
        <f>VLOOKUP($C1402,VLOOKUP_spp!$A$2:$D$103,4,1)</f>
        <v>Hylaeus</v>
      </c>
      <c r="G1402" t="str">
        <f>VLOOKUP($F1402,VLOOKUP_spp!$A$2:$E$102,5,1)</f>
        <v>Hymenoptera</v>
      </c>
      <c r="H1402" t="str">
        <f t="shared" si="21"/>
        <v>Aug</v>
      </c>
      <c r="I1402">
        <v>1</v>
      </c>
    </row>
    <row r="1403" spans="1:9" x14ac:dyDescent="0.35">
      <c r="A1403">
        <v>1402</v>
      </c>
      <c r="B1403" s="2">
        <v>44418</v>
      </c>
      <c r="C1403" t="s">
        <v>105</v>
      </c>
      <c r="D1403" t="s">
        <v>154</v>
      </c>
      <c r="E1403">
        <v>1</v>
      </c>
      <c r="F1403" t="str">
        <f>VLOOKUP($C1403,VLOOKUP_spp!$A$2:$D$103,4,1)</f>
        <v>Hylaeus_modestus</v>
      </c>
      <c r="G1403" t="str">
        <f>VLOOKUP($F1403,VLOOKUP_spp!$A$2:$E$102,5,1)</f>
        <v>Hymenoptera</v>
      </c>
      <c r="H1403" t="str">
        <f t="shared" si="21"/>
        <v>Aug</v>
      </c>
      <c r="I1403">
        <v>1</v>
      </c>
    </row>
    <row r="1404" spans="1:9" x14ac:dyDescent="0.35">
      <c r="A1404">
        <v>1403</v>
      </c>
      <c r="B1404" s="2">
        <v>44418</v>
      </c>
      <c r="C1404" t="s">
        <v>105</v>
      </c>
      <c r="D1404" t="s">
        <v>156</v>
      </c>
      <c r="E1404">
        <v>1</v>
      </c>
      <c r="F1404" t="str">
        <f>VLOOKUP($C1404,VLOOKUP_spp!$A$2:$D$103,4,1)</f>
        <v>Hylaeus_modestus</v>
      </c>
      <c r="G1404" t="str">
        <f>VLOOKUP($F1404,VLOOKUP_spp!$A$2:$E$102,5,1)</f>
        <v>Hymenoptera</v>
      </c>
      <c r="H1404" t="str">
        <f t="shared" si="21"/>
        <v>Aug</v>
      </c>
      <c r="I1404">
        <v>1</v>
      </c>
    </row>
    <row r="1405" spans="1:9" x14ac:dyDescent="0.35">
      <c r="A1405">
        <v>1404</v>
      </c>
      <c r="B1405" s="2">
        <v>44418</v>
      </c>
      <c r="C1405" t="s">
        <v>106</v>
      </c>
      <c r="D1405" t="s">
        <v>173</v>
      </c>
      <c r="E1405">
        <v>1</v>
      </c>
      <c r="F1405" t="str">
        <f>VLOOKUP($C1405,VLOOKUP_spp!$A$2:$D$103,4,1)</f>
        <v>Lasioglossum</v>
      </c>
      <c r="G1405" t="str">
        <f>VLOOKUP($F1405,VLOOKUP_spp!$A$2:$E$102,5,1)</f>
        <v>Hymenoptera</v>
      </c>
      <c r="H1405" t="str">
        <f t="shared" si="21"/>
        <v>Aug</v>
      </c>
      <c r="I1405">
        <v>1</v>
      </c>
    </row>
    <row r="1406" spans="1:9" x14ac:dyDescent="0.35">
      <c r="A1406">
        <v>1405</v>
      </c>
      <c r="B1406" s="2">
        <v>44418</v>
      </c>
      <c r="C1406" t="s">
        <v>8</v>
      </c>
      <c r="D1406" t="s">
        <v>154</v>
      </c>
      <c r="E1406">
        <v>1</v>
      </c>
      <c r="F1406" t="str">
        <f>VLOOKUP($C1406,VLOOKUP_spp!$A$2:$D$103,4,1)</f>
        <v>Lepidoptera</v>
      </c>
      <c r="G1406" t="str">
        <f>VLOOKUP($F1406,VLOOKUP_spp!$A$2:$E$102,5,1)</f>
        <v>Lepidoptera</v>
      </c>
      <c r="H1406" t="str">
        <f t="shared" si="21"/>
        <v>Aug</v>
      </c>
      <c r="I1406">
        <v>1</v>
      </c>
    </row>
    <row r="1407" spans="1:9" x14ac:dyDescent="0.35">
      <c r="A1407">
        <v>1406</v>
      </c>
      <c r="B1407" s="2">
        <v>44418</v>
      </c>
      <c r="C1407" t="s">
        <v>126</v>
      </c>
      <c r="D1407" t="s">
        <v>158</v>
      </c>
      <c r="E1407">
        <v>4</v>
      </c>
      <c r="F1407" t="str">
        <f>VLOOKUP($C1407,VLOOKUP_spp!$A$2:$D$103,4,1)</f>
        <v>Syrphidae</v>
      </c>
      <c r="G1407" t="str">
        <f>VLOOKUP($F1407,VLOOKUP_spp!$A$2:$E$102,5,1)</f>
        <v>Diptera</v>
      </c>
      <c r="H1407" t="str">
        <f t="shared" si="21"/>
        <v>Aug</v>
      </c>
      <c r="I1407">
        <v>1</v>
      </c>
    </row>
    <row r="1408" spans="1:9" x14ac:dyDescent="0.35">
      <c r="A1408">
        <v>1407</v>
      </c>
      <c r="B1408" s="2">
        <v>44418</v>
      </c>
      <c r="C1408" t="s">
        <v>126</v>
      </c>
      <c r="D1408" t="s">
        <v>154</v>
      </c>
      <c r="E1408">
        <v>1</v>
      </c>
      <c r="F1408" t="str">
        <f>VLOOKUP($C1408,VLOOKUP_spp!$A$2:$D$103,4,1)</f>
        <v>Syrphidae</v>
      </c>
      <c r="G1408" t="str">
        <f>VLOOKUP($F1408,VLOOKUP_spp!$A$2:$E$102,5,1)</f>
        <v>Diptera</v>
      </c>
      <c r="H1408" t="str">
        <f t="shared" si="21"/>
        <v>Aug</v>
      </c>
      <c r="I1408">
        <v>1</v>
      </c>
    </row>
    <row r="1409" spans="1:9" x14ac:dyDescent="0.35">
      <c r="A1409">
        <v>1408</v>
      </c>
      <c r="B1409" s="2">
        <v>44418</v>
      </c>
      <c r="C1409" t="s">
        <v>126</v>
      </c>
      <c r="D1409" t="s">
        <v>162</v>
      </c>
      <c r="E1409">
        <v>1</v>
      </c>
      <c r="F1409" t="str">
        <f>VLOOKUP($C1409,VLOOKUP_spp!$A$2:$D$103,4,1)</f>
        <v>Syrphidae</v>
      </c>
      <c r="G1409" t="str">
        <f>VLOOKUP($F1409,VLOOKUP_spp!$A$2:$E$102,5,1)</f>
        <v>Diptera</v>
      </c>
      <c r="H1409" t="str">
        <f t="shared" si="21"/>
        <v>Aug</v>
      </c>
      <c r="I1409">
        <v>1</v>
      </c>
    </row>
    <row r="1410" spans="1:9" x14ac:dyDescent="0.35">
      <c r="A1410">
        <v>1409</v>
      </c>
      <c r="B1410" s="2">
        <v>44418</v>
      </c>
      <c r="C1410" t="s">
        <v>126</v>
      </c>
      <c r="D1410" t="s">
        <v>147</v>
      </c>
      <c r="E1410">
        <v>1</v>
      </c>
      <c r="F1410" t="str">
        <f>VLOOKUP($C1410,VLOOKUP_spp!$A$2:$D$103,4,1)</f>
        <v>Syrphidae</v>
      </c>
      <c r="G1410" t="str">
        <f>VLOOKUP($F1410,VLOOKUP_spp!$A$2:$E$102,5,1)</f>
        <v>Diptera</v>
      </c>
      <c r="H1410" t="str">
        <f t="shared" si="21"/>
        <v>Aug</v>
      </c>
      <c r="I1410">
        <v>1</v>
      </c>
    </row>
    <row r="1411" spans="1:9" x14ac:dyDescent="0.35">
      <c r="A1411">
        <v>1410</v>
      </c>
      <c r="B1411" s="2">
        <v>44418</v>
      </c>
      <c r="C1411" t="s">
        <v>128</v>
      </c>
      <c r="D1411" t="s">
        <v>158</v>
      </c>
      <c r="E1411">
        <v>4</v>
      </c>
      <c r="F1411" t="str">
        <f>VLOOKUP($C1411,VLOOKUP_spp!$A$2:$D$103,4,1)</f>
        <v>Wasp</v>
      </c>
      <c r="G1411" t="str">
        <f>VLOOKUP($F1411,VLOOKUP_spp!$A$2:$E$102,5,1)</f>
        <v>Hymenoptera</v>
      </c>
      <c r="H1411" t="str">
        <f t="shared" ref="H1411:H1474" si="22">TEXT(B1411, "mmm")</f>
        <v>Aug</v>
      </c>
      <c r="I1411">
        <v>1</v>
      </c>
    </row>
    <row r="1412" spans="1:9" x14ac:dyDescent="0.35">
      <c r="A1412">
        <v>1411</v>
      </c>
      <c r="B1412" s="2">
        <v>44418</v>
      </c>
      <c r="C1412" t="s">
        <v>128</v>
      </c>
      <c r="D1412" t="s">
        <v>173</v>
      </c>
      <c r="E1412">
        <v>3</v>
      </c>
      <c r="F1412" t="str">
        <f>VLOOKUP($C1412,VLOOKUP_spp!$A$2:$D$103,4,1)</f>
        <v>Wasp</v>
      </c>
      <c r="G1412" t="str">
        <f>VLOOKUP($F1412,VLOOKUP_spp!$A$2:$E$102,5,1)</f>
        <v>Hymenoptera</v>
      </c>
      <c r="H1412" t="str">
        <f t="shared" si="22"/>
        <v>Aug</v>
      </c>
      <c r="I1412">
        <v>1</v>
      </c>
    </row>
    <row r="1413" spans="1:9" x14ac:dyDescent="0.35">
      <c r="A1413">
        <v>1412</v>
      </c>
      <c r="B1413" s="2">
        <v>44418</v>
      </c>
      <c r="C1413" t="s">
        <v>128</v>
      </c>
      <c r="D1413" t="s">
        <v>154</v>
      </c>
      <c r="E1413">
        <v>17</v>
      </c>
      <c r="F1413" t="str">
        <f>VLOOKUP($C1413,VLOOKUP_spp!$A$2:$D$103,4,1)</f>
        <v>Wasp</v>
      </c>
      <c r="G1413" t="str">
        <f>VLOOKUP($F1413,VLOOKUP_spp!$A$2:$E$102,5,1)</f>
        <v>Hymenoptera</v>
      </c>
      <c r="H1413" t="str">
        <f t="shared" si="22"/>
        <v>Aug</v>
      </c>
      <c r="I1413">
        <v>1</v>
      </c>
    </row>
    <row r="1414" spans="1:9" x14ac:dyDescent="0.35">
      <c r="A1414">
        <v>1413</v>
      </c>
      <c r="B1414" s="2">
        <v>44418</v>
      </c>
      <c r="C1414" t="s">
        <v>128</v>
      </c>
      <c r="D1414" t="s">
        <v>162</v>
      </c>
      <c r="E1414">
        <v>4</v>
      </c>
      <c r="F1414" t="str">
        <f>VLOOKUP($C1414,VLOOKUP_spp!$A$2:$D$103,4,1)</f>
        <v>Wasp</v>
      </c>
      <c r="G1414" t="str">
        <f>VLOOKUP($F1414,VLOOKUP_spp!$A$2:$E$102,5,1)</f>
        <v>Hymenoptera</v>
      </c>
      <c r="H1414" t="str">
        <f t="shared" si="22"/>
        <v>Aug</v>
      </c>
      <c r="I1414">
        <v>1</v>
      </c>
    </row>
    <row r="1415" spans="1:9" x14ac:dyDescent="0.35">
      <c r="A1415">
        <v>1414</v>
      </c>
      <c r="B1415" s="2">
        <v>44418</v>
      </c>
      <c r="C1415" t="s">
        <v>128</v>
      </c>
      <c r="D1415" t="s">
        <v>147</v>
      </c>
      <c r="E1415">
        <v>4</v>
      </c>
      <c r="F1415" t="str">
        <f>VLOOKUP($C1415,VLOOKUP_spp!$A$2:$D$103,4,1)</f>
        <v>Wasp</v>
      </c>
      <c r="G1415" t="str">
        <f>VLOOKUP($F1415,VLOOKUP_spp!$A$2:$E$102,5,1)</f>
        <v>Hymenoptera</v>
      </c>
      <c r="H1415" t="str">
        <f t="shared" si="22"/>
        <v>Aug</v>
      </c>
      <c r="I1415">
        <v>1</v>
      </c>
    </row>
    <row r="1416" spans="1:9" x14ac:dyDescent="0.35">
      <c r="A1416">
        <v>1415</v>
      </c>
      <c r="B1416" s="2">
        <v>44418</v>
      </c>
      <c r="C1416" t="s">
        <v>128</v>
      </c>
      <c r="D1416" t="s">
        <v>164</v>
      </c>
      <c r="E1416">
        <v>12</v>
      </c>
      <c r="F1416" t="str">
        <f>VLOOKUP($C1416,VLOOKUP_spp!$A$2:$D$103,4,1)</f>
        <v>Wasp</v>
      </c>
      <c r="G1416" t="str">
        <f>VLOOKUP($F1416,VLOOKUP_spp!$A$2:$E$102,5,1)</f>
        <v>Hymenoptera</v>
      </c>
      <c r="H1416" t="str">
        <f t="shared" si="22"/>
        <v>Aug</v>
      </c>
      <c r="I1416">
        <v>1</v>
      </c>
    </row>
    <row r="1417" spans="1:9" x14ac:dyDescent="0.35">
      <c r="A1417">
        <v>1416</v>
      </c>
      <c r="B1417" s="2">
        <v>44420</v>
      </c>
      <c r="C1417" t="s">
        <v>50</v>
      </c>
      <c r="D1417" t="s">
        <v>166</v>
      </c>
      <c r="E1417">
        <v>1</v>
      </c>
      <c r="F1417" t="str">
        <f>VLOOKUP($C1417,VLOOKUP_spp!$A$2:$D$103,4,1)</f>
        <v>Apis_mellifera</v>
      </c>
      <c r="G1417" t="str">
        <f>VLOOKUP($F1417,VLOOKUP_spp!$A$2:$E$102,5,1)</f>
        <v>Hymenoptera</v>
      </c>
      <c r="H1417" t="str">
        <f t="shared" si="22"/>
        <v>Aug</v>
      </c>
      <c r="I1417">
        <v>1</v>
      </c>
    </row>
    <row r="1418" spans="1:9" x14ac:dyDescent="0.35">
      <c r="A1418">
        <v>1417</v>
      </c>
      <c r="B1418" s="2">
        <v>44420</v>
      </c>
      <c r="C1418" t="s">
        <v>50</v>
      </c>
      <c r="D1418" t="s">
        <v>173</v>
      </c>
      <c r="E1418">
        <v>3</v>
      </c>
      <c r="F1418" t="str">
        <f>VLOOKUP($C1418,VLOOKUP_spp!$A$2:$D$103,4,1)</f>
        <v>Apis_mellifera</v>
      </c>
      <c r="G1418" t="str">
        <f>VLOOKUP($F1418,VLOOKUP_spp!$A$2:$E$102,5,1)</f>
        <v>Hymenoptera</v>
      </c>
      <c r="H1418" t="str">
        <f t="shared" si="22"/>
        <v>Aug</v>
      </c>
      <c r="I1418">
        <v>1</v>
      </c>
    </row>
    <row r="1419" spans="1:9" x14ac:dyDescent="0.35">
      <c r="A1419">
        <v>1418</v>
      </c>
      <c r="B1419" s="2">
        <v>44420</v>
      </c>
      <c r="C1419" t="s">
        <v>50</v>
      </c>
      <c r="D1419" t="s">
        <v>154</v>
      </c>
      <c r="E1419">
        <v>1</v>
      </c>
      <c r="F1419" t="str">
        <f>VLOOKUP($C1419,VLOOKUP_spp!$A$2:$D$103,4,1)</f>
        <v>Apis_mellifera</v>
      </c>
      <c r="G1419" t="str">
        <f>VLOOKUP($F1419,VLOOKUP_spp!$A$2:$E$102,5,1)</f>
        <v>Hymenoptera</v>
      </c>
      <c r="H1419" t="str">
        <f t="shared" si="22"/>
        <v>Aug</v>
      </c>
      <c r="I1419">
        <v>1</v>
      </c>
    </row>
    <row r="1420" spans="1:9" x14ac:dyDescent="0.35">
      <c r="A1420">
        <v>1419</v>
      </c>
      <c r="B1420" s="2">
        <v>44420</v>
      </c>
      <c r="C1420" t="s">
        <v>50</v>
      </c>
      <c r="D1420" t="s">
        <v>160</v>
      </c>
      <c r="E1420">
        <v>2</v>
      </c>
      <c r="F1420" t="str">
        <f>VLOOKUP($C1420,VLOOKUP_spp!$A$2:$D$103,4,1)</f>
        <v>Apis_mellifera</v>
      </c>
      <c r="G1420" t="str">
        <f>VLOOKUP($F1420,VLOOKUP_spp!$A$2:$E$102,5,1)</f>
        <v>Hymenoptera</v>
      </c>
      <c r="H1420" t="str">
        <f t="shared" si="22"/>
        <v>Aug</v>
      </c>
      <c r="I1420">
        <v>1</v>
      </c>
    </row>
    <row r="1421" spans="1:9" x14ac:dyDescent="0.35">
      <c r="A1421">
        <v>1420</v>
      </c>
      <c r="B1421" s="2">
        <v>44420</v>
      </c>
      <c r="C1421" t="s">
        <v>50</v>
      </c>
      <c r="D1421" t="s">
        <v>162</v>
      </c>
      <c r="E1421">
        <v>4</v>
      </c>
      <c r="F1421" t="str">
        <f>VLOOKUP($C1421,VLOOKUP_spp!$A$2:$D$103,4,1)</f>
        <v>Apis_mellifera</v>
      </c>
      <c r="G1421" t="str">
        <f>VLOOKUP($F1421,VLOOKUP_spp!$A$2:$E$102,5,1)</f>
        <v>Hymenoptera</v>
      </c>
      <c r="H1421" t="str">
        <f t="shared" si="22"/>
        <v>Aug</v>
      </c>
      <c r="I1421">
        <v>1</v>
      </c>
    </row>
    <row r="1422" spans="1:9" x14ac:dyDescent="0.35">
      <c r="A1422">
        <v>1421</v>
      </c>
      <c r="B1422" s="2">
        <v>44420</v>
      </c>
      <c r="C1422" t="s">
        <v>54</v>
      </c>
      <c r="D1422" t="s">
        <v>167</v>
      </c>
      <c r="E1422">
        <v>2</v>
      </c>
      <c r="F1422" t="str">
        <f>VLOOKUP($C1422,VLOOKUP_spp!$A$2:$D$103,4,1)</f>
        <v>Bombus_affinis</v>
      </c>
      <c r="G1422" t="str">
        <f>VLOOKUP($F1422,VLOOKUP_spp!$A$2:$E$102,5,1)</f>
        <v>Hymenoptera</v>
      </c>
      <c r="H1422" t="str">
        <f t="shared" si="22"/>
        <v>Aug</v>
      </c>
      <c r="I1422">
        <v>1</v>
      </c>
    </row>
    <row r="1423" spans="1:9" x14ac:dyDescent="0.35">
      <c r="A1423">
        <v>1422</v>
      </c>
      <c r="B1423" s="2">
        <v>44420</v>
      </c>
      <c r="C1423" t="s">
        <v>54</v>
      </c>
      <c r="D1423" t="s">
        <v>161</v>
      </c>
      <c r="E1423">
        <v>3</v>
      </c>
      <c r="F1423" t="str">
        <f>VLOOKUP($C1423,VLOOKUP_spp!$A$2:$D$103,4,1)</f>
        <v>Bombus_affinis</v>
      </c>
      <c r="G1423" t="str">
        <f>VLOOKUP($F1423,VLOOKUP_spp!$A$2:$E$102,5,1)</f>
        <v>Hymenoptera</v>
      </c>
      <c r="H1423" t="str">
        <f t="shared" si="22"/>
        <v>Aug</v>
      </c>
      <c r="I1423">
        <v>1</v>
      </c>
    </row>
    <row r="1424" spans="1:9" x14ac:dyDescent="0.35">
      <c r="A1424">
        <v>1423</v>
      </c>
      <c r="B1424" s="2">
        <v>44420</v>
      </c>
      <c r="C1424" t="s">
        <v>54</v>
      </c>
      <c r="D1424" t="s">
        <v>162</v>
      </c>
      <c r="E1424">
        <v>1</v>
      </c>
      <c r="F1424" t="str">
        <f>VLOOKUP($C1424,VLOOKUP_spp!$A$2:$D$103,4,1)</f>
        <v>Bombus_affinis</v>
      </c>
      <c r="G1424" t="str">
        <f>VLOOKUP($F1424,VLOOKUP_spp!$A$2:$E$102,5,1)</f>
        <v>Hymenoptera</v>
      </c>
      <c r="H1424" t="str">
        <f t="shared" si="22"/>
        <v>Aug</v>
      </c>
      <c r="I1424">
        <v>1</v>
      </c>
    </row>
    <row r="1425" spans="1:9" x14ac:dyDescent="0.35">
      <c r="A1425">
        <v>1424</v>
      </c>
      <c r="B1425" s="2">
        <v>44420</v>
      </c>
      <c r="C1425" t="s">
        <v>57</v>
      </c>
      <c r="D1425" t="s">
        <v>158</v>
      </c>
      <c r="E1425">
        <v>1</v>
      </c>
      <c r="F1425" t="str">
        <f>VLOOKUP($C1425,VLOOKUP_spp!$A$2:$D$103,4,1)</f>
        <v>Bombus_bimaculatus</v>
      </c>
      <c r="G1425" t="str">
        <f>VLOOKUP($F1425,VLOOKUP_spp!$A$2:$E$102,5,1)</f>
        <v>Hymenoptera</v>
      </c>
      <c r="H1425" t="str">
        <f t="shared" si="22"/>
        <v>Aug</v>
      </c>
      <c r="I1425">
        <v>1</v>
      </c>
    </row>
    <row r="1426" spans="1:9" x14ac:dyDescent="0.35">
      <c r="A1426">
        <v>1425</v>
      </c>
      <c r="B1426" s="2">
        <v>44420</v>
      </c>
      <c r="C1426" t="s">
        <v>57</v>
      </c>
      <c r="D1426" t="s">
        <v>164</v>
      </c>
      <c r="E1426">
        <v>1</v>
      </c>
      <c r="F1426" t="str">
        <f>VLOOKUP($C1426,VLOOKUP_spp!$A$2:$D$103,4,1)</f>
        <v>Bombus_bimaculatus</v>
      </c>
      <c r="G1426" t="str">
        <f>VLOOKUP($F1426,VLOOKUP_spp!$A$2:$E$102,5,1)</f>
        <v>Hymenoptera</v>
      </c>
      <c r="H1426" t="str">
        <f t="shared" si="22"/>
        <v>Aug</v>
      </c>
      <c r="I1426">
        <v>1</v>
      </c>
    </row>
    <row r="1427" spans="1:9" x14ac:dyDescent="0.35">
      <c r="A1427">
        <v>1426</v>
      </c>
      <c r="B1427" s="2">
        <v>44420</v>
      </c>
      <c r="C1427" t="s">
        <v>67</v>
      </c>
      <c r="D1427" t="s">
        <v>157</v>
      </c>
      <c r="E1427">
        <v>11</v>
      </c>
      <c r="F1427" t="str">
        <f>VLOOKUP($C1427,VLOOKUP_spp!$A$2:$D$103,4,1)</f>
        <v>Bombus_impatiens</v>
      </c>
      <c r="G1427" t="str">
        <f>VLOOKUP($F1427,VLOOKUP_spp!$A$2:$E$102,5,1)</f>
        <v>Hymenoptera</v>
      </c>
      <c r="H1427" t="str">
        <f t="shared" si="22"/>
        <v>Aug</v>
      </c>
      <c r="I1427">
        <v>1</v>
      </c>
    </row>
    <row r="1428" spans="1:9" x14ac:dyDescent="0.35">
      <c r="A1428">
        <v>1427</v>
      </c>
      <c r="B1428" s="2">
        <v>44420</v>
      </c>
      <c r="C1428" t="s">
        <v>67</v>
      </c>
      <c r="D1428" t="s">
        <v>158</v>
      </c>
      <c r="E1428">
        <v>2</v>
      </c>
      <c r="F1428" t="str">
        <f>VLOOKUP($C1428,VLOOKUP_spp!$A$2:$D$103,4,1)</f>
        <v>Bombus_impatiens</v>
      </c>
      <c r="G1428" t="str">
        <f>VLOOKUP($F1428,VLOOKUP_spp!$A$2:$E$102,5,1)</f>
        <v>Hymenoptera</v>
      </c>
      <c r="H1428" t="str">
        <f t="shared" si="22"/>
        <v>Aug</v>
      </c>
      <c r="I1428">
        <v>1</v>
      </c>
    </row>
    <row r="1429" spans="1:9" x14ac:dyDescent="0.35">
      <c r="A1429">
        <v>1428</v>
      </c>
      <c r="B1429" s="2">
        <v>44420</v>
      </c>
      <c r="C1429" t="s">
        <v>67</v>
      </c>
      <c r="D1429" t="s">
        <v>154</v>
      </c>
      <c r="E1429">
        <v>2</v>
      </c>
      <c r="F1429" t="str">
        <f>VLOOKUP($C1429,VLOOKUP_spp!$A$2:$D$103,4,1)</f>
        <v>Bombus_impatiens</v>
      </c>
      <c r="G1429" t="str">
        <f>VLOOKUP($F1429,VLOOKUP_spp!$A$2:$E$102,5,1)</f>
        <v>Hymenoptera</v>
      </c>
      <c r="H1429" t="str">
        <f t="shared" si="22"/>
        <v>Aug</v>
      </c>
      <c r="I1429">
        <v>1</v>
      </c>
    </row>
    <row r="1430" spans="1:9" x14ac:dyDescent="0.35">
      <c r="A1430">
        <v>1429</v>
      </c>
      <c r="B1430" s="2">
        <v>44420</v>
      </c>
      <c r="C1430" t="s">
        <v>67</v>
      </c>
      <c r="D1430" t="s">
        <v>167</v>
      </c>
      <c r="E1430">
        <v>2</v>
      </c>
      <c r="F1430" t="str">
        <f>VLOOKUP($C1430,VLOOKUP_spp!$A$2:$D$103,4,1)</f>
        <v>Bombus_impatiens</v>
      </c>
      <c r="G1430" t="str">
        <f>VLOOKUP($F1430,VLOOKUP_spp!$A$2:$E$102,5,1)</f>
        <v>Hymenoptera</v>
      </c>
      <c r="H1430" t="str">
        <f t="shared" si="22"/>
        <v>Aug</v>
      </c>
      <c r="I1430">
        <v>1</v>
      </c>
    </row>
    <row r="1431" spans="1:9" x14ac:dyDescent="0.35">
      <c r="A1431">
        <v>1430</v>
      </c>
      <c r="B1431" s="2">
        <v>44420</v>
      </c>
      <c r="C1431" t="s">
        <v>67</v>
      </c>
      <c r="D1431" t="s">
        <v>170</v>
      </c>
      <c r="E1431">
        <v>1</v>
      </c>
      <c r="F1431" t="str">
        <f>VLOOKUP($C1431,VLOOKUP_spp!$A$2:$D$103,4,1)</f>
        <v>Bombus_impatiens</v>
      </c>
      <c r="G1431" t="str">
        <f>VLOOKUP($F1431,VLOOKUP_spp!$A$2:$E$102,5,1)</f>
        <v>Hymenoptera</v>
      </c>
      <c r="H1431" t="str">
        <f t="shared" si="22"/>
        <v>Aug</v>
      </c>
      <c r="I1431">
        <v>1</v>
      </c>
    </row>
    <row r="1432" spans="1:9" x14ac:dyDescent="0.35">
      <c r="A1432">
        <v>1431</v>
      </c>
      <c r="B1432" s="2">
        <v>44420</v>
      </c>
      <c r="C1432" t="s">
        <v>67</v>
      </c>
      <c r="D1432" t="s">
        <v>161</v>
      </c>
      <c r="E1432">
        <v>1</v>
      </c>
      <c r="F1432" t="str">
        <f>VLOOKUP($C1432,VLOOKUP_spp!$A$2:$D$103,4,1)</f>
        <v>Bombus_impatiens</v>
      </c>
      <c r="G1432" t="str">
        <f>VLOOKUP($F1432,VLOOKUP_spp!$A$2:$E$102,5,1)</f>
        <v>Hymenoptera</v>
      </c>
      <c r="H1432" t="str">
        <f t="shared" si="22"/>
        <v>Aug</v>
      </c>
      <c r="I1432">
        <v>1</v>
      </c>
    </row>
    <row r="1433" spans="1:9" x14ac:dyDescent="0.35">
      <c r="A1433">
        <v>1432</v>
      </c>
      <c r="B1433" s="2">
        <v>44420</v>
      </c>
      <c r="C1433" t="s">
        <v>67</v>
      </c>
      <c r="D1433" t="s">
        <v>164</v>
      </c>
      <c r="E1433">
        <v>3</v>
      </c>
      <c r="F1433" t="str">
        <f>VLOOKUP($C1433,VLOOKUP_spp!$A$2:$D$103,4,1)</f>
        <v>Bombus_impatiens</v>
      </c>
      <c r="G1433" t="str">
        <f>VLOOKUP($F1433,VLOOKUP_spp!$A$2:$E$102,5,1)</f>
        <v>Hymenoptera</v>
      </c>
      <c r="H1433" t="str">
        <f t="shared" si="22"/>
        <v>Aug</v>
      </c>
      <c r="I1433">
        <v>1</v>
      </c>
    </row>
    <row r="1434" spans="1:9" x14ac:dyDescent="0.35">
      <c r="A1434">
        <v>1433</v>
      </c>
      <c r="B1434" s="2">
        <v>44420</v>
      </c>
      <c r="C1434" t="s">
        <v>67</v>
      </c>
      <c r="D1434" t="s">
        <v>176</v>
      </c>
      <c r="E1434">
        <v>3</v>
      </c>
      <c r="F1434" t="str">
        <f>VLOOKUP($C1434,VLOOKUP_spp!$A$2:$D$103,4,1)</f>
        <v>Bombus_impatiens</v>
      </c>
      <c r="G1434" t="str">
        <f>VLOOKUP($F1434,VLOOKUP_spp!$A$2:$E$102,5,1)</f>
        <v>Hymenoptera</v>
      </c>
      <c r="H1434" t="str">
        <f t="shared" si="22"/>
        <v>Aug</v>
      </c>
      <c r="I1434">
        <v>1</v>
      </c>
    </row>
    <row r="1435" spans="1:9" x14ac:dyDescent="0.35">
      <c r="A1435">
        <v>1434</v>
      </c>
      <c r="B1435" s="2">
        <v>44420</v>
      </c>
      <c r="C1435" t="s">
        <v>7</v>
      </c>
      <c r="D1435" t="s">
        <v>158</v>
      </c>
      <c r="E1435">
        <v>1</v>
      </c>
      <c r="F1435" t="str">
        <f>VLOOKUP($C1435,VLOOKUP_spp!$A$2:$D$103,4,1)</f>
        <v>Coleoptera</v>
      </c>
      <c r="G1435" t="str">
        <f>VLOOKUP($F1435,VLOOKUP_spp!$A$2:$E$102,5,1)</f>
        <v>Coleoptera</v>
      </c>
      <c r="H1435" t="str">
        <f t="shared" si="22"/>
        <v>Aug</v>
      </c>
      <c r="I1435">
        <v>1</v>
      </c>
    </row>
    <row r="1436" spans="1:9" x14ac:dyDescent="0.35">
      <c r="A1436">
        <v>1435</v>
      </c>
      <c r="B1436" s="2">
        <v>44420</v>
      </c>
      <c r="C1436" t="s">
        <v>7</v>
      </c>
      <c r="D1436" t="s">
        <v>173</v>
      </c>
      <c r="E1436">
        <v>1</v>
      </c>
      <c r="F1436" t="str">
        <f>VLOOKUP($C1436,VLOOKUP_spp!$A$2:$D$103,4,1)</f>
        <v>Coleoptera</v>
      </c>
      <c r="G1436" t="str">
        <f>VLOOKUP($F1436,VLOOKUP_spp!$A$2:$E$102,5,1)</f>
        <v>Coleoptera</v>
      </c>
      <c r="H1436" t="str">
        <f t="shared" si="22"/>
        <v>Aug</v>
      </c>
      <c r="I1436">
        <v>1</v>
      </c>
    </row>
    <row r="1437" spans="1:9" x14ac:dyDescent="0.35">
      <c r="A1437">
        <v>1436</v>
      </c>
      <c r="B1437" s="2">
        <v>44420</v>
      </c>
      <c r="C1437" t="s">
        <v>7</v>
      </c>
      <c r="D1437" t="s">
        <v>161</v>
      </c>
      <c r="E1437">
        <v>1</v>
      </c>
      <c r="F1437" t="str">
        <f>VLOOKUP($C1437,VLOOKUP_spp!$A$2:$D$103,4,1)</f>
        <v>Coleoptera</v>
      </c>
      <c r="G1437" t="str">
        <f>VLOOKUP($F1437,VLOOKUP_spp!$A$2:$E$102,5,1)</f>
        <v>Coleoptera</v>
      </c>
      <c r="H1437" t="str">
        <f t="shared" si="22"/>
        <v>Aug</v>
      </c>
      <c r="I1437">
        <v>1</v>
      </c>
    </row>
    <row r="1438" spans="1:9" x14ac:dyDescent="0.35">
      <c r="A1438">
        <v>1437</v>
      </c>
      <c r="B1438" s="2">
        <v>44420</v>
      </c>
      <c r="C1438" t="s">
        <v>6</v>
      </c>
      <c r="D1438" t="s">
        <v>161</v>
      </c>
      <c r="E1438">
        <v>1</v>
      </c>
      <c r="F1438" t="str">
        <f>VLOOKUP($C1438,VLOOKUP_spp!$A$2:$D$103,4,1)</f>
        <v>Diptera</v>
      </c>
      <c r="G1438" t="str">
        <f>VLOOKUP($F1438,VLOOKUP_spp!$A$2:$E$102,5,1)</f>
        <v>Diptera</v>
      </c>
      <c r="H1438" t="str">
        <f t="shared" si="22"/>
        <v>Aug</v>
      </c>
      <c r="I1438">
        <v>1</v>
      </c>
    </row>
    <row r="1439" spans="1:9" x14ac:dyDescent="0.35">
      <c r="A1439">
        <v>1438</v>
      </c>
      <c r="B1439" s="2">
        <v>44420</v>
      </c>
      <c r="C1439" t="s">
        <v>103</v>
      </c>
      <c r="D1439" t="s">
        <v>166</v>
      </c>
      <c r="E1439">
        <v>1</v>
      </c>
      <c r="F1439" t="str">
        <f>VLOOKUP($C1439,VLOOKUP_spp!$A$2:$D$103,4,1)</f>
        <v>Hylaeus</v>
      </c>
      <c r="G1439" t="str">
        <f>VLOOKUP($F1439,VLOOKUP_spp!$A$2:$E$102,5,1)</f>
        <v>Hymenoptera</v>
      </c>
      <c r="H1439" t="str">
        <f t="shared" si="22"/>
        <v>Aug</v>
      </c>
      <c r="I1439">
        <v>1</v>
      </c>
    </row>
    <row r="1440" spans="1:9" x14ac:dyDescent="0.35">
      <c r="A1440">
        <v>1439</v>
      </c>
      <c r="B1440" s="2">
        <v>44420</v>
      </c>
      <c r="C1440" t="s">
        <v>8</v>
      </c>
      <c r="D1440" t="s">
        <v>157</v>
      </c>
      <c r="E1440">
        <v>3</v>
      </c>
      <c r="F1440" t="str">
        <f>VLOOKUP($C1440,VLOOKUP_spp!$A$2:$D$103,4,1)</f>
        <v>Lepidoptera</v>
      </c>
      <c r="G1440" t="str">
        <f>VLOOKUP($F1440,VLOOKUP_spp!$A$2:$E$102,5,1)</f>
        <v>Lepidoptera</v>
      </c>
      <c r="H1440" t="str">
        <f t="shared" si="22"/>
        <v>Aug</v>
      </c>
      <c r="I1440">
        <v>1</v>
      </c>
    </row>
    <row r="1441" spans="1:9" x14ac:dyDescent="0.35">
      <c r="A1441">
        <v>1440</v>
      </c>
      <c r="B1441" s="2">
        <v>44420</v>
      </c>
      <c r="C1441" t="s">
        <v>8</v>
      </c>
      <c r="D1441" t="s">
        <v>173</v>
      </c>
      <c r="E1441">
        <v>3</v>
      </c>
      <c r="F1441" t="str">
        <f>VLOOKUP($C1441,VLOOKUP_spp!$A$2:$D$103,4,1)</f>
        <v>Lepidoptera</v>
      </c>
      <c r="G1441" t="str">
        <f>VLOOKUP($F1441,VLOOKUP_spp!$A$2:$E$102,5,1)</f>
        <v>Lepidoptera</v>
      </c>
      <c r="H1441" t="str">
        <f t="shared" si="22"/>
        <v>Aug</v>
      </c>
      <c r="I1441">
        <v>1</v>
      </c>
    </row>
    <row r="1442" spans="1:9" x14ac:dyDescent="0.35">
      <c r="A1442">
        <v>1441</v>
      </c>
      <c r="B1442" s="2">
        <v>44420</v>
      </c>
      <c r="C1442" t="s">
        <v>111</v>
      </c>
      <c r="D1442" t="s">
        <v>173</v>
      </c>
      <c r="E1442">
        <v>1</v>
      </c>
      <c r="F1442">
        <f>VLOOKUP($C1442,VLOOKUP_spp!$A$2:$D$103,4,1)</f>
        <v>0</v>
      </c>
      <c r="G1442" t="e">
        <f>VLOOKUP($F1442,VLOOKUP_spp!$A$2:$E$102,5,1)</f>
        <v>#N/A</v>
      </c>
      <c r="H1442" t="str">
        <f t="shared" si="22"/>
        <v>Aug</v>
      </c>
      <c r="I1442">
        <v>1</v>
      </c>
    </row>
    <row r="1443" spans="1:9" x14ac:dyDescent="0.35">
      <c r="A1443">
        <v>1442</v>
      </c>
      <c r="B1443" s="2">
        <v>44420</v>
      </c>
      <c r="C1443" t="s">
        <v>126</v>
      </c>
      <c r="D1443" t="s">
        <v>158</v>
      </c>
      <c r="E1443">
        <v>5</v>
      </c>
      <c r="F1443" t="str">
        <f>VLOOKUP($C1443,VLOOKUP_spp!$A$2:$D$103,4,1)</f>
        <v>Syrphidae</v>
      </c>
      <c r="G1443" t="str">
        <f>VLOOKUP($F1443,VLOOKUP_spp!$A$2:$E$102,5,1)</f>
        <v>Diptera</v>
      </c>
      <c r="H1443" t="str">
        <f t="shared" si="22"/>
        <v>Aug</v>
      </c>
      <c r="I1443">
        <v>1</v>
      </c>
    </row>
    <row r="1444" spans="1:9" x14ac:dyDescent="0.35">
      <c r="A1444">
        <v>1443</v>
      </c>
      <c r="B1444" s="2">
        <v>44420</v>
      </c>
      <c r="C1444" t="s">
        <v>128</v>
      </c>
      <c r="D1444" t="s">
        <v>157</v>
      </c>
      <c r="E1444">
        <v>5</v>
      </c>
      <c r="F1444" t="str">
        <f>VLOOKUP($C1444,VLOOKUP_spp!$A$2:$D$103,4,1)</f>
        <v>Wasp</v>
      </c>
      <c r="G1444" t="str">
        <f>VLOOKUP($F1444,VLOOKUP_spp!$A$2:$E$102,5,1)</f>
        <v>Hymenoptera</v>
      </c>
      <c r="H1444" t="str">
        <f t="shared" si="22"/>
        <v>Aug</v>
      </c>
      <c r="I1444">
        <v>1</v>
      </c>
    </row>
    <row r="1445" spans="1:9" x14ac:dyDescent="0.35">
      <c r="A1445">
        <v>1444</v>
      </c>
      <c r="B1445" s="2">
        <v>44420</v>
      </c>
      <c r="C1445" t="s">
        <v>128</v>
      </c>
      <c r="D1445" t="s">
        <v>158</v>
      </c>
      <c r="E1445">
        <v>5</v>
      </c>
      <c r="F1445" t="str">
        <f>VLOOKUP($C1445,VLOOKUP_spp!$A$2:$D$103,4,1)</f>
        <v>Wasp</v>
      </c>
      <c r="G1445" t="str">
        <f>VLOOKUP($F1445,VLOOKUP_spp!$A$2:$E$102,5,1)</f>
        <v>Hymenoptera</v>
      </c>
      <c r="H1445" t="str">
        <f t="shared" si="22"/>
        <v>Aug</v>
      </c>
      <c r="I1445">
        <v>1</v>
      </c>
    </row>
    <row r="1446" spans="1:9" x14ac:dyDescent="0.35">
      <c r="A1446">
        <v>1445</v>
      </c>
      <c r="B1446" s="2">
        <v>44420</v>
      </c>
      <c r="C1446" t="s">
        <v>128</v>
      </c>
      <c r="D1446" t="s">
        <v>166</v>
      </c>
      <c r="E1446">
        <v>2</v>
      </c>
      <c r="F1446" t="str">
        <f>VLOOKUP($C1446,VLOOKUP_spp!$A$2:$D$103,4,1)</f>
        <v>Wasp</v>
      </c>
      <c r="G1446" t="str">
        <f>VLOOKUP($F1446,VLOOKUP_spp!$A$2:$E$102,5,1)</f>
        <v>Hymenoptera</v>
      </c>
      <c r="H1446" t="str">
        <f t="shared" si="22"/>
        <v>Aug</v>
      </c>
      <c r="I1446">
        <v>1</v>
      </c>
    </row>
    <row r="1447" spans="1:9" x14ac:dyDescent="0.35">
      <c r="A1447">
        <v>1446</v>
      </c>
      <c r="B1447" s="2">
        <v>44420</v>
      </c>
      <c r="C1447" t="s">
        <v>128</v>
      </c>
      <c r="D1447" t="s">
        <v>173</v>
      </c>
      <c r="E1447">
        <v>1</v>
      </c>
      <c r="F1447" t="str">
        <f>VLOOKUP($C1447,VLOOKUP_spp!$A$2:$D$103,4,1)</f>
        <v>Wasp</v>
      </c>
      <c r="G1447" t="str">
        <f>VLOOKUP($F1447,VLOOKUP_spp!$A$2:$E$102,5,1)</f>
        <v>Hymenoptera</v>
      </c>
      <c r="H1447" t="str">
        <f t="shared" si="22"/>
        <v>Aug</v>
      </c>
      <c r="I1447">
        <v>1</v>
      </c>
    </row>
    <row r="1448" spans="1:9" x14ac:dyDescent="0.35">
      <c r="A1448">
        <v>1447</v>
      </c>
      <c r="B1448" s="2">
        <v>44420</v>
      </c>
      <c r="C1448" t="s">
        <v>128</v>
      </c>
      <c r="D1448" t="s">
        <v>154</v>
      </c>
      <c r="E1448">
        <v>6</v>
      </c>
      <c r="F1448" t="str">
        <f>VLOOKUP($C1448,VLOOKUP_spp!$A$2:$D$103,4,1)</f>
        <v>Wasp</v>
      </c>
      <c r="G1448" t="str">
        <f>VLOOKUP($F1448,VLOOKUP_spp!$A$2:$E$102,5,1)</f>
        <v>Hymenoptera</v>
      </c>
      <c r="H1448" t="str">
        <f t="shared" si="22"/>
        <v>Aug</v>
      </c>
      <c r="I1448">
        <v>1</v>
      </c>
    </row>
    <row r="1449" spans="1:9" x14ac:dyDescent="0.35">
      <c r="A1449">
        <v>1448</v>
      </c>
      <c r="B1449" s="2">
        <v>44420</v>
      </c>
      <c r="C1449" t="s">
        <v>128</v>
      </c>
      <c r="D1449" t="s">
        <v>167</v>
      </c>
      <c r="E1449">
        <v>8</v>
      </c>
      <c r="F1449" t="str">
        <f>VLOOKUP($C1449,VLOOKUP_spp!$A$2:$D$103,4,1)</f>
        <v>Wasp</v>
      </c>
      <c r="G1449" t="str">
        <f>VLOOKUP($F1449,VLOOKUP_spp!$A$2:$E$102,5,1)</f>
        <v>Hymenoptera</v>
      </c>
      <c r="H1449" t="str">
        <f t="shared" si="22"/>
        <v>Aug</v>
      </c>
      <c r="I1449">
        <v>1</v>
      </c>
    </row>
    <row r="1450" spans="1:9" x14ac:dyDescent="0.35">
      <c r="A1450">
        <v>1449</v>
      </c>
      <c r="B1450" s="2">
        <v>44420</v>
      </c>
      <c r="C1450" t="s">
        <v>128</v>
      </c>
      <c r="D1450" t="s">
        <v>170</v>
      </c>
      <c r="E1450">
        <v>2</v>
      </c>
      <c r="F1450" t="str">
        <f>VLOOKUP($C1450,VLOOKUP_spp!$A$2:$D$103,4,1)</f>
        <v>Wasp</v>
      </c>
      <c r="G1450" t="str">
        <f>VLOOKUP($F1450,VLOOKUP_spp!$A$2:$E$102,5,1)</f>
        <v>Hymenoptera</v>
      </c>
      <c r="H1450" t="str">
        <f t="shared" si="22"/>
        <v>Aug</v>
      </c>
      <c r="I1450">
        <v>1</v>
      </c>
    </row>
    <row r="1451" spans="1:9" x14ac:dyDescent="0.35">
      <c r="A1451">
        <v>1450</v>
      </c>
      <c r="B1451" s="2">
        <v>44420</v>
      </c>
      <c r="C1451" t="s">
        <v>128</v>
      </c>
      <c r="D1451" t="s">
        <v>161</v>
      </c>
      <c r="E1451">
        <v>3</v>
      </c>
      <c r="F1451" t="str">
        <f>VLOOKUP($C1451,VLOOKUP_spp!$A$2:$D$103,4,1)</f>
        <v>Wasp</v>
      </c>
      <c r="G1451" t="str">
        <f>VLOOKUP($F1451,VLOOKUP_spp!$A$2:$E$102,5,1)</f>
        <v>Hymenoptera</v>
      </c>
      <c r="H1451" t="str">
        <f t="shared" si="22"/>
        <v>Aug</v>
      </c>
      <c r="I1451">
        <v>1</v>
      </c>
    </row>
    <row r="1452" spans="1:9" x14ac:dyDescent="0.35">
      <c r="A1452">
        <v>1451</v>
      </c>
      <c r="B1452" s="2">
        <v>44420</v>
      </c>
      <c r="C1452" t="s">
        <v>128</v>
      </c>
      <c r="D1452" t="s">
        <v>162</v>
      </c>
      <c r="E1452">
        <v>8</v>
      </c>
      <c r="F1452" t="str">
        <f>VLOOKUP($C1452,VLOOKUP_spp!$A$2:$D$103,4,1)</f>
        <v>Wasp</v>
      </c>
      <c r="G1452" t="str">
        <f>VLOOKUP($F1452,VLOOKUP_spp!$A$2:$E$102,5,1)</f>
        <v>Hymenoptera</v>
      </c>
      <c r="H1452" t="str">
        <f t="shared" si="22"/>
        <v>Aug</v>
      </c>
      <c r="I1452">
        <v>1</v>
      </c>
    </row>
    <row r="1453" spans="1:9" x14ac:dyDescent="0.35">
      <c r="A1453">
        <v>1452</v>
      </c>
      <c r="B1453" s="2">
        <v>44420</v>
      </c>
      <c r="C1453" t="s">
        <v>128</v>
      </c>
      <c r="D1453" t="s">
        <v>175</v>
      </c>
      <c r="E1453">
        <v>1</v>
      </c>
      <c r="F1453" t="str">
        <f>VLOOKUP($C1453,VLOOKUP_spp!$A$2:$D$103,4,1)</f>
        <v>Wasp</v>
      </c>
      <c r="G1453" t="str">
        <f>VLOOKUP($F1453,VLOOKUP_spp!$A$2:$E$102,5,1)</f>
        <v>Hymenoptera</v>
      </c>
      <c r="H1453" t="str">
        <f t="shared" si="22"/>
        <v>Aug</v>
      </c>
      <c r="I1453">
        <v>1</v>
      </c>
    </row>
    <row r="1454" spans="1:9" x14ac:dyDescent="0.35">
      <c r="A1454">
        <v>1453</v>
      </c>
      <c r="B1454" s="2">
        <v>44420</v>
      </c>
      <c r="C1454" t="s">
        <v>128</v>
      </c>
      <c r="D1454" t="s">
        <v>176</v>
      </c>
      <c r="E1454">
        <v>4</v>
      </c>
      <c r="F1454" t="str">
        <f>VLOOKUP($C1454,VLOOKUP_spp!$A$2:$D$103,4,1)</f>
        <v>Wasp</v>
      </c>
      <c r="G1454" t="str">
        <f>VLOOKUP($F1454,VLOOKUP_spp!$A$2:$E$102,5,1)</f>
        <v>Hymenoptera</v>
      </c>
      <c r="H1454" t="str">
        <f t="shared" si="22"/>
        <v>Aug</v>
      </c>
      <c r="I1454">
        <v>1</v>
      </c>
    </row>
    <row r="1455" spans="1:9" x14ac:dyDescent="0.35">
      <c r="A1455">
        <v>1454</v>
      </c>
      <c r="B1455" s="2">
        <v>44420</v>
      </c>
      <c r="C1455" t="s">
        <v>138</v>
      </c>
      <c r="D1455" t="s">
        <v>154</v>
      </c>
      <c r="E1455">
        <v>1</v>
      </c>
      <c r="F1455" t="str">
        <f>VLOOKUP($C1455,VLOOKUP_spp!$A$2:$D$103,4,1)</f>
        <v>Xylocopa_virginica</v>
      </c>
      <c r="G1455" t="str">
        <f>VLOOKUP($F1455,VLOOKUP_spp!$A$2:$E$102,5,1)</f>
        <v>Hymenoptera</v>
      </c>
      <c r="H1455" t="str">
        <f t="shared" si="22"/>
        <v>Aug</v>
      </c>
      <c r="I1455">
        <v>1</v>
      </c>
    </row>
    <row r="1456" spans="1:9" x14ac:dyDescent="0.35">
      <c r="A1456">
        <v>1455</v>
      </c>
      <c r="B1456" s="2">
        <v>44420</v>
      </c>
      <c r="C1456" t="s">
        <v>138</v>
      </c>
      <c r="D1456" t="s">
        <v>161</v>
      </c>
      <c r="E1456">
        <v>3</v>
      </c>
      <c r="F1456" t="str">
        <f>VLOOKUP($C1456,VLOOKUP_spp!$A$2:$D$103,4,1)</f>
        <v>Xylocopa_virginica</v>
      </c>
      <c r="G1456" t="str">
        <f>VLOOKUP($F1456,VLOOKUP_spp!$A$2:$E$102,5,1)</f>
        <v>Hymenoptera</v>
      </c>
      <c r="H1456" t="str">
        <f t="shared" si="22"/>
        <v>Aug</v>
      </c>
      <c r="I1456">
        <v>1</v>
      </c>
    </row>
    <row r="1457" spans="1:9" x14ac:dyDescent="0.35">
      <c r="A1457">
        <v>1456</v>
      </c>
      <c r="B1457" s="2">
        <v>44425</v>
      </c>
      <c r="C1457" t="s">
        <v>50</v>
      </c>
      <c r="D1457" t="s">
        <v>157</v>
      </c>
      <c r="E1457">
        <v>3</v>
      </c>
      <c r="F1457" t="str">
        <f>VLOOKUP($C1457,VLOOKUP_spp!$A$2:$D$103,4,1)</f>
        <v>Apis_mellifera</v>
      </c>
      <c r="G1457" t="str">
        <f>VLOOKUP($F1457,VLOOKUP_spp!$A$2:$E$102,5,1)</f>
        <v>Hymenoptera</v>
      </c>
      <c r="H1457" t="str">
        <f t="shared" si="22"/>
        <v>Aug</v>
      </c>
      <c r="I1457">
        <v>1</v>
      </c>
    </row>
    <row r="1458" spans="1:9" x14ac:dyDescent="0.35">
      <c r="A1458">
        <v>1457</v>
      </c>
      <c r="B1458" s="2">
        <v>44425</v>
      </c>
      <c r="C1458" t="s">
        <v>50</v>
      </c>
      <c r="D1458" t="s">
        <v>158</v>
      </c>
      <c r="E1458">
        <v>4</v>
      </c>
      <c r="F1458" t="str">
        <f>VLOOKUP($C1458,VLOOKUP_spp!$A$2:$D$103,4,1)</f>
        <v>Apis_mellifera</v>
      </c>
      <c r="G1458" t="str">
        <f>VLOOKUP($F1458,VLOOKUP_spp!$A$2:$E$102,5,1)</f>
        <v>Hymenoptera</v>
      </c>
      <c r="H1458" t="str">
        <f t="shared" si="22"/>
        <v>Aug</v>
      </c>
      <c r="I1458">
        <v>1</v>
      </c>
    </row>
    <row r="1459" spans="1:9" x14ac:dyDescent="0.35">
      <c r="A1459">
        <v>1458</v>
      </c>
      <c r="B1459" s="2">
        <v>44425</v>
      </c>
      <c r="C1459" t="s">
        <v>50</v>
      </c>
      <c r="D1459" t="s">
        <v>166</v>
      </c>
      <c r="E1459">
        <v>2</v>
      </c>
      <c r="F1459" t="str">
        <f>VLOOKUP($C1459,VLOOKUP_spp!$A$2:$D$103,4,1)</f>
        <v>Apis_mellifera</v>
      </c>
      <c r="G1459" t="str">
        <f>VLOOKUP($F1459,VLOOKUP_spp!$A$2:$E$102,5,1)</f>
        <v>Hymenoptera</v>
      </c>
      <c r="H1459" t="str">
        <f t="shared" si="22"/>
        <v>Aug</v>
      </c>
      <c r="I1459">
        <v>1</v>
      </c>
    </row>
    <row r="1460" spans="1:9" x14ac:dyDescent="0.35">
      <c r="A1460">
        <v>1459</v>
      </c>
      <c r="B1460" s="2">
        <v>44425</v>
      </c>
      <c r="C1460" t="s">
        <v>50</v>
      </c>
      <c r="D1460" t="s">
        <v>173</v>
      </c>
      <c r="E1460">
        <v>1</v>
      </c>
      <c r="F1460" t="str">
        <f>VLOOKUP($C1460,VLOOKUP_spp!$A$2:$D$103,4,1)</f>
        <v>Apis_mellifera</v>
      </c>
      <c r="G1460" t="str">
        <f>VLOOKUP($F1460,VLOOKUP_spp!$A$2:$E$102,5,1)</f>
        <v>Hymenoptera</v>
      </c>
      <c r="H1460" t="str">
        <f t="shared" si="22"/>
        <v>Aug</v>
      </c>
      <c r="I1460">
        <v>1</v>
      </c>
    </row>
    <row r="1461" spans="1:9" x14ac:dyDescent="0.35">
      <c r="A1461">
        <v>1460</v>
      </c>
      <c r="B1461" s="2">
        <v>44425</v>
      </c>
      <c r="C1461" t="s">
        <v>50</v>
      </c>
      <c r="D1461" t="s">
        <v>170</v>
      </c>
      <c r="E1461">
        <v>1</v>
      </c>
      <c r="F1461" t="str">
        <f>VLOOKUP($C1461,VLOOKUP_spp!$A$2:$D$103,4,1)</f>
        <v>Apis_mellifera</v>
      </c>
      <c r="G1461" t="str">
        <f>VLOOKUP($F1461,VLOOKUP_spp!$A$2:$E$102,5,1)</f>
        <v>Hymenoptera</v>
      </c>
      <c r="H1461" t="str">
        <f t="shared" si="22"/>
        <v>Aug</v>
      </c>
      <c r="I1461">
        <v>1</v>
      </c>
    </row>
    <row r="1462" spans="1:9" x14ac:dyDescent="0.35">
      <c r="A1462">
        <v>1461</v>
      </c>
      <c r="B1462" s="2">
        <v>44425</v>
      </c>
      <c r="C1462" t="s">
        <v>50</v>
      </c>
      <c r="D1462" t="s">
        <v>161</v>
      </c>
      <c r="E1462">
        <v>2</v>
      </c>
      <c r="F1462" t="str">
        <f>VLOOKUP($C1462,VLOOKUP_spp!$A$2:$D$103,4,1)</f>
        <v>Apis_mellifera</v>
      </c>
      <c r="G1462" t="str">
        <f>VLOOKUP($F1462,VLOOKUP_spp!$A$2:$E$102,5,1)</f>
        <v>Hymenoptera</v>
      </c>
      <c r="H1462" t="str">
        <f t="shared" si="22"/>
        <v>Aug</v>
      </c>
      <c r="I1462">
        <v>1</v>
      </c>
    </row>
    <row r="1463" spans="1:9" x14ac:dyDescent="0.35">
      <c r="A1463">
        <v>1462</v>
      </c>
      <c r="B1463" s="2">
        <v>44425</v>
      </c>
      <c r="C1463" t="s">
        <v>50</v>
      </c>
      <c r="D1463" t="s">
        <v>156</v>
      </c>
      <c r="E1463">
        <v>1</v>
      </c>
      <c r="F1463" t="str">
        <f>VLOOKUP($C1463,VLOOKUP_spp!$A$2:$D$103,4,1)</f>
        <v>Apis_mellifera</v>
      </c>
      <c r="G1463" t="str">
        <f>VLOOKUP($F1463,VLOOKUP_spp!$A$2:$E$102,5,1)</f>
        <v>Hymenoptera</v>
      </c>
      <c r="H1463" t="str">
        <f t="shared" si="22"/>
        <v>Aug</v>
      </c>
      <c r="I1463">
        <v>1</v>
      </c>
    </row>
    <row r="1464" spans="1:9" x14ac:dyDescent="0.35">
      <c r="A1464">
        <v>1463</v>
      </c>
      <c r="B1464" s="2">
        <v>44425</v>
      </c>
      <c r="C1464" t="s">
        <v>54</v>
      </c>
      <c r="D1464" t="s">
        <v>173</v>
      </c>
      <c r="E1464">
        <v>4</v>
      </c>
      <c r="F1464" t="str">
        <f>VLOOKUP($C1464,VLOOKUP_spp!$A$2:$D$103,4,1)</f>
        <v>Bombus_affinis</v>
      </c>
      <c r="G1464" t="str">
        <f>VLOOKUP($F1464,VLOOKUP_spp!$A$2:$E$102,5,1)</f>
        <v>Hymenoptera</v>
      </c>
      <c r="H1464" t="str">
        <f t="shared" si="22"/>
        <v>Aug</v>
      </c>
      <c r="I1464">
        <v>1</v>
      </c>
    </row>
    <row r="1465" spans="1:9" x14ac:dyDescent="0.35">
      <c r="A1465">
        <v>1464</v>
      </c>
      <c r="B1465" s="2">
        <v>44425</v>
      </c>
      <c r="C1465" t="s">
        <v>58</v>
      </c>
      <c r="D1465" t="s">
        <v>173</v>
      </c>
      <c r="E1465">
        <v>2</v>
      </c>
      <c r="F1465" t="str">
        <f>VLOOKUP($C1465,VLOOKUP_spp!$A$2:$D$103,4,1)</f>
        <v>Bombus_citrinus</v>
      </c>
      <c r="G1465" t="str">
        <f>VLOOKUP($F1465,VLOOKUP_spp!$A$2:$E$102,5,1)</f>
        <v>Hymenoptera</v>
      </c>
      <c r="H1465" t="str">
        <f t="shared" si="22"/>
        <v>Aug</v>
      </c>
      <c r="I1465">
        <v>1</v>
      </c>
    </row>
    <row r="1466" spans="1:9" x14ac:dyDescent="0.35">
      <c r="A1466">
        <v>1465</v>
      </c>
      <c r="B1466" s="2">
        <v>44425</v>
      </c>
      <c r="C1466" t="s">
        <v>60</v>
      </c>
      <c r="D1466" t="s">
        <v>161</v>
      </c>
      <c r="E1466">
        <v>1</v>
      </c>
      <c r="F1466" t="str">
        <f>VLOOKUP($C1466,VLOOKUP_spp!$A$2:$D$103,4,1)</f>
        <v>Bombus</v>
      </c>
      <c r="G1466" t="str">
        <f>VLOOKUP($F1466,VLOOKUP_spp!$A$2:$E$102,5,1)</f>
        <v>Hymenoptera</v>
      </c>
      <c r="H1466" t="str">
        <f t="shared" si="22"/>
        <v>Aug</v>
      </c>
      <c r="I1466">
        <v>1</v>
      </c>
    </row>
    <row r="1467" spans="1:9" x14ac:dyDescent="0.35">
      <c r="A1467">
        <v>1466</v>
      </c>
      <c r="B1467" s="2">
        <v>44425</v>
      </c>
      <c r="C1467" t="s">
        <v>67</v>
      </c>
      <c r="D1467" t="s">
        <v>157</v>
      </c>
      <c r="E1467">
        <v>3</v>
      </c>
      <c r="F1467" t="str">
        <f>VLOOKUP($C1467,VLOOKUP_spp!$A$2:$D$103,4,1)</f>
        <v>Bombus_impatiens</v>
      </c>
      <c r="G1467" t="str">
        <f>VLOOKUP($F1467,VLOOKUP_spp!$A$2:$E$102,5,1)</f>
        <v>Hymenoptera</v>
      </c>
      <c r="H1467" t="str">
        <f t="shared" si="22"/>
        <v>Aug</v>
      </c>
      <c r="I1467">
        <v>1</v>
      </c>
    </row>
    <row r="1468" spans="1:9" x14ac:dyDescent="0.35">
      <c r="A1468">
        <v>1467</v>
      </c>
      <c r="B1468" s="2">
        <v>44425</v>
      </c>
      <c r="C1468" t="s">
        <v>67</v>
      </c>
      <c r="D1468" t="s">
        <v>158</v>
      </c>
      <c r="E1468">
        <v>7</v>
      </c>
      <c r="F1468" t="str">
        <f>VLOOKUP($C1468,VLOOKUP_spp!$A$2:$D$103,4,1)</f>
        <v>Bombus_impatiens</v>
      </c>
      <c r="G1468" t="str">
        <f>VLOOKUP($F1468,VLOOKUP_spp!$A$2:$E$102,5,1)</f>
        <v>Hymenoptera</v>
      </c>
      <c r="H1468" t="str">
        <f t="shared" si="22"/>
        <v>Aug</v>
      </c>
      <c r="I1468">
        <v>1</v>
      </c>
    </row>
    <row r="1469" spans="1:9" x14ac:dyDescent="0.35">
      <c r="A1469">
        <v>1468</v>
      </c>
      <c r="B1469" s="2">
        <v>44425</v>
      </c>
      <c r="C1469" t="s">
        <v>67</v>
      </c>
      <c r="D1469" t="s">
        <v>173</v>
      </c>
      <c r="E1469">
        <v>7</v>
      </c>
      <c r="F1469" t="str">
        <f>VLOOKUP($C1469,VLOOKUP_spp!$A$2:$D$103,4,1)</f>
        <v>Bombus_impatiens</v>
      </c>
      <c r="G1469" t="str">
        <f>VLOOKUP($F1469,VLOOKUP_spp!$A$2:$E$102,5,1)</f>
        <v>Hymenoptera</v>
      </c>
      <c r="H1469" t="str">
        <f t="shared" si="22"/>
        <v>Aug</v>
      </c>
      <c r="I1469">
        <v>1</v>
      </c>
    </row>
    <row r="1470" spans="1:9" x14ac:dyDescent="0.35">
      <c r="A1470">
        <v>1469</v>
      </c>
      <c r="B1470" s="2">
        <v>44425</v>
      </c>
      <c r="C1470" t="s">
        <v>67</v>
      </c>
      <c r="D1470" t="s">
        <v>167</v>
      </c>
      <c r="E1470">
        <v>7</v>
      </c>
      <c r="F1470" t="str">
        <f>VLOOKUP($C1470,VLOOKUP_spp!$A$2:$D$103,4,1)</f>
        <v>Bombus_impatiens</v>
      </c>
      <c r="G1470" t="str">
        <f>VLOOKUP($F1470,VLOOKUP_spp!$A$2:$E$102,5,1)</f>
        <v>Hymenoptera</v>
      </c>
      <c r="H1470" t="str">
        <f t="shared" si="22"/>
        <v>Aug</v>
      </c>
      <c r="I1470">
        <v>1</v>
      </c>
    </row>
    <row r="1471" spans="1:9" x14ac:dyDescent="0.35">
      <c r="A1471">
        <v>1470</v>
      </c>
      <c r="B1471" s="2">
        <v>44425</v>
      </c>
      <c r="C1471" t="s">
        <v>67</v>
      </c>
      <c r="D1471" t="s">
        <v>156</v>
      </c>
      <c r="E1471">
        <v>1</v>
      </c>
      <c r="F1471" t="str">
        <f>VLOOKUP($C1471,VLOOKUP_spp!$A$2:$D$103,4,1)</f>
        <v>Bombus_impatiens</v>
      </c>
      <c r="G1471" t="str">
        <f>VLOOKUP($F1471,VLOOKUP_spp!$A$2:$E$102,5,1)</f>
        <v>Hymenoptera</v>
      </c>
      <c r="H1471" t="str">
        <f t="shared" si="22"/>
        <v>Aug</v>
      </c>
      <c r="I1471">
        <v>1</v>
      </c>
    </row>
    <row r="1472" spans="1:9" x14ac:dyDescent="0.35">
      <c r="A1472">
        <v>1471</v>
      </c>
      <c r="B1472" s="2">
        <v>44425</v>
      </c>
      <c r="C1472" t="s">
        <v>79</v>
      </c>
      <c r="D1472" t="s">
        <v>158</v>
      </c>
      <c r="E1472">
        <v>1</v>
      </c>
      <c r="F1472" t="str">
        <f>VLOOKUP($C1472,VLOOKUP_spp!$A$2:$D$103,4,1)</f>
        <v>Brachymelecta</v>
      </c>
      <c r="G1472" t="str">
        <f>VLOOKUP($F1472,VLOOKUP_spp!$A$2:$E$102,5,1)</f>
        <v>Hymenoptera</v>
      </c>
      <c r="H1472" t="str">
        <f t="shared" si="22"/>
        <v>Aug</v>
      </c>
      <c r="I1472">
        <v>1</v>
      </c>
    </row>
    <row r="1473" spans="1:9" x14ac:dyDescent="0.35">
      <c r="A1473">
        <v>1472</v>
      </c>
      <c r="B1473" s="2">
        <v>44425</v>
      </c>
      <c r="C1473" t="s">
        <v>7</v>
      </c>
      <c r="D1473" t="s">
        <v>158</v>
      </c>
      <c r="E1473">
        <v>2</v>
      </c>
      <c r="F1473" t="str">
        <f>VLOOKUP($C1473,VLOOKUP_spp!$A$2:$D$103,4,1)</f>
        <v>Coleoptera</v>
      </c>
      <c r="G1473" t="str">
        <f>VLOOKUP($F1473,VLOOKUP_spp!$A$2:$E$102,5,1)</f>
        <v>Coleoptera</v>
      </c>
      <c r="H1473" t="str">
        <f t="shared" si="22"/>
        <v>Aug</v>
      </c>
      <c r="I1473">
        <v>1</v>
      </c>
    </row>
    <row r="1474" spans="1:9" x14ac:dyDescent="0.35">
      <c r="A1474">
        <v>1473</v>
      </c>
      <c r="B1474" s="2">
        <v>44425</v>
      </c>
      <c r="C1474" t="s">
        <v>6</v>
      </c>
      <c r="D1474" t="s">
        <v>157</v>
      </c>
      <c r="E1474">
        <v>2</v>
      </c>
      <c r="F1474" t="str">
        <f>VLOOKUP($C1474,VLOOKUP_spp!$A$2:$D$103,4,1)</f>
        <v>Diptera</v>
      </c>
      <c r="G1474" t="str">
        <f>VLOOKUP($F1474,VLOOKUP_spp!$A$2:$E$102,5,1)</f>
        <v>Diptera</v>
      </c>
      <c r="H1474" t="str">
        <f t="shared" si="22"/>
        <v>Aug</v>
      </c>
      <c r="I1474">
        <v>1</v>
      </c>
    </row>
    <row r="1475" spans="1:9" x14ac:dyDescent="0.35">
      <c r="A1475">
        <v>1474</v>
      </c>
      <c r="B1475" s="2">
        <v>44425</v>
      </c>
      <c r="C1475" t="s">
        <v>128</v>
      </c>
      <c r="D1475" t="s">
        <v>158</v>
      </c>
      <c r="E1475">
        <v>3</v>
      </c>
      <c r="F1475" t="str">
        <f>VLOOKUP($C1475,VLOOKUP_spp!$A$2:$D$103,4,1)</f>
        <v>Wasp</v>
      </c>
      <c r="G1475" t="str">
        <f>VLOOKUP($F1475,VLOOKUP_spp!$A$2:$E$102,5,1)</f>
        <v>Hymenoptera</v>
      </c>
      <c r="H1475" t="str">
        <f t="shared" ref="H1475:H1524" si="23">TEXT(B1475, "mmm")</f>
        <v>Aug</v>
      </c>
      <c r="I1475">
        <v>1</v>
      </c>
    </row>
    <row r="1476" spans="1:9" x14ac:dyDescent="0.35">
      <c r="A1476">
        <v>1475</v>
      </c>
      <c r="B1476" s="2">
        <v>44425</v>
      </c>
      <c r="C1476" t="s">
        <v>128</v>
      </c>
      <c r="D1476" t="s">
        <v>166</v>
      </c>
      <c r="E1476">
        <v>3</v>
      </c>
      <c r="F1476" t="str">
        <f>VLOOKUP($C1476,VLOOKUP_spp!$A$2:$D$103,4,1)</f>
        <v>Wasp</v>
      </c>
      <c r="G1476" t="str">
        <f>VLOOKUP($F1476,VLOOKUP_spp!$A$2:$E$102,5,1)</f>
        <v>Hymenoptera</v>
      </c>
      <c r="H1476" t="str">
        <f t="shared" si="23"/>
        <v>Aug</v>
      </c>
      <c r="I1476">
        <v>1</v>
      </c>
    </row>
    <row r="1477" spans="1:9" x14ac:dyDescent="0.35">
      <c r="A1477">
        <v>1476</v>
      </c>
      <c r="B1477" s="2">
        <v>44425</v>
      </c>
      <c r="C1477" t="s">
        <v>128</v>
      </c>
      <c r="D1477" t="s">
        <v>167</v>
      </c>
      <c r="E1477">
        <v>5</v>
      </c>
      <c r="F1477" t="str">
        <f>VLOOKUP($C1477,VLOOKUP_spp!$A$2:$D$103,4,1)</f>
        <v>Wasp</v>
      </c>
      <c r="G1477" t="str">
        <f>VLOOKUP($F1477,VLOOKUP_spp!$A$2:$E$102,5,1)</f>
        <v>Hymenoptera</v>
      </c>
      <c r="H1477" t="str">
        <f t="shared" si="23"/>
        <v>Aug</v>
      </c>
      <c r="I1477">
        <v>1</v>
      </c>
    </row>
    <row r="1478" spans="1:9" x14ac:dyDescent="0.35">
      <c r="A1478">
        <v>1477</v>
      </c>
      <c r="B1478" s="2">
        <v>44425</v>
      </c>
      <c r="C1478" t="s">
        <v>132</v>
      </c>
      <c r="D1478" t="s">
        <v>161</v>
      </c>
      <c r="E1478">
        <v>1</v>
      </c>
      <c r="F1478" t="str">
        <f>VLOOKUP($C1478,VLOOKUP_spp!$A$2:$D$103,4,1)</f>
        <v>Xylocopa</v>
      </c>
      <c r="G1478" t="str">
        <f>VLOOKUP($F1478,VLOOKUP_spp!$A$2:$E$102,5,1)</f>
        <v>Hymenoptera</v>
      </c>
      <c r="H1478" t="str">
        <f t="shared" si="23"/>
        <v>Aug</v>
      </c>
      <c r="I1478">
        <v>1</v>
      </c>
    </row>
    <row r="1479" spans="1:9" x14ac:dyDescent="0.35">
      <c r="A1479">
        <v>1478</v>
      </c>
      <c r="B1479" s="2">
        <v>44427</v>
      </c>
      <c r="C1479" t="s">
        <v>50</v>
      </c>
      <c r="D1479" t="s">
        <v>171</v>
      </c>
      <c r="E1479">
        <v>1</v>
      </c>
      <c r="F1479" t="str">
        <f>VLOOKUP($C1479,VLOOKUP_spp!$A$2:$D$103,4,1)</f>
        <v>Apis_mellifera</v>
      </c>
      <c r="G1479" t="str">
        <f>VLOOKUP($F1479,VLOOKUP_spp!$A$2:$E$102,5,1)</f>
        <v>Hymenoptera</v>
      </c>
      <c r="H1479" t="str">
        <f t="shared" si="23"/>
        <v>Aug</v>
      </c>
      <c r="I1479">
        <v>1</v>
      </c>
    </row>
    <row r="1480" spans="1:9" x14ac:dyDescent="0.35">
      <c r="A1480">
        <v>1479</v>
      </c>
      <c r="B1480" s="2">
        <v>44427</v>
      </c>
      <c r="C1480" t="s">
        <v>50</v>
      </c>
      <c r="D1480" t="s">
        <v>157</v>
      </c>
      <c r="E1480">
        <v>4</v>
      </c>
      <c r="F1480" t="str">
        <f>VLOOKUP($C1480,VLOOKUP_spp!$A$2:$D$103,4,1)</f>
        <v>Apis_mellifera</v>
      </c>
      <c r="G1480" t="str">
        <f>VLOOKUP($F1480,VLOOKUP_spp!$A$2:$E$102,5,1)</f>
        <v>Hymenoptera</v>
      </c>
      <c r="H1480" t="str">
        <f t="shared" si="23"/>
        <v>Aug</v>
      </c>
      <c r="I1480">
        <v>1</v>
      </c>
    </row>
    <row r="1481" spans="1:9" x14ac:dyDescent="0.35">
      <c r="A1481">
        <v>1480</v>
      </c>
      <c r="B1481" s="2">
        <v>44427</v>
      </c>
      <c r="C1481" t="s">
        <v>50</v>
      </c>
      <c r="D1481" t="s">
        <v>158</v>
      </c>
      <c r="E1481">
        <v>1</v>
      </c>
      <c r="F1481" t="str">
        <f>VLOOKUP($C1481,VLOOKUP_spp!$A$2:$D$103,4,1)</f>
        <v>Apis_mellifera</v>
      </c>
      <c r="G1481" t="str">
        <f>VLOOKUP($F1481,VLOOKUP_spp!$A$2:$E$102,5,1)</f>
        <v>Hymenoptera</v>
      </c>
      <c r="H1481" t="str">
        <f t="shared" si="23"/>
        <v>Aug</v>
      </c>
      <c r="I1481">
        <v>1</v>
      </c>
    </row>
    <row r="1482" spans="1:9" x14ac:dyDescent="0.35">
      <c r="A1482">
        <v>1481</v>
      </c>
      <c r="B1482" s="2">
        <v>44427</v>
      </c>
      <c r="C1482" t="s">
        <v>50</v>
      </c>
      <c r="D1482" t="s">
        <v>166</v>
      </c>
      <c r="E1482">
        <v>6</v>
      </c>
      <c r="F1482" t="str">
        <f>VLOOKUP($C1482,VLOOKUP_spp!$A$2:$D$103,4,1)</f>
        <v>Apis_mellifera</v>
      </c>
      <c r="G1482" t="str">
        <f>VLOOKUP($F1482,VLOOKUP_spp!$A$2:$E$102,5,1)</f>
        <v>Hymenoptera</v>
      </c>
      <c r="H1482" t="str">
        <f t="shared" si="23"/>
        <v>Aug</v>
      </c>
      <c r="I1482">
        <v>1</v>
      </c>
    </row>
    <row r="1483" spans="1:9" x14ac:dyDescent="0.35">
      <c r="A1483">
        <v>1482</v>
      </c>
      <c r="B1483" s="2">
        <v>44427</v>
      </c>
      <c r="C1483" t="s">
        <v>50</v>
      </c>
      <c r="D1483" t="s">
        <v>173</v>
      </c>
      <c r="E1483">
        <v>2</v>
      </c>
      <c r="F1483" t="str">
        <f>VLOOKUP($C1483,VLOOKUP_spp!$A$2:$D$103,4,1)</f>
        <v>Apis_mellifera</v>
      </c>
      <c r="G1483" t="str">
        <f>VLOOKUP($F1483,VLOOKUP_spp!$A$2:$E$102,5,1)</f>
        <v>Hymenoptera</v>
      </c>
      <c r="H1483" t="str">
        <f t="shared" si="23"/>
        <v>Aug</v>
      </c>
      <c r="I1483">
        <v>1</v>
      </c>
    </row>
    <row r="1484" spans="1:9" x14ac:dyDescent="0.35">
      <c r="A1484">
        <v>1483</v>
      </c>
      <c r="B1484" s="2">
        <v>44427</v>
      </c>
      <c r="C1484" t="s">
        <v>50</v>
      </c>
      <c r="D1484" t="s">
        <v>154</v>
      </c>
      <c r="E1484">
        <v>2</v>
      </c>
      <c r="F1484" t="str">
        <f>VLOOKUP($C1484,VLOOKUP_spp!$A$2:$D$103,4,1)</f>
        <v>Apis_mellifera</v>
      </c>
      <c r="G1484" t="str">
        <f>VLOOKUP($F1484,VLOOKUP_spp!$A$2:$E$102,5,1)</f>
        <v>Hymenoptera</v>
      </c>
      <c r="H1484" t="str">
        <f t="shared" si="23"/>
        <v>Aug</v>
      </c>
      <c r="I1484">
        <v>1</v>
      </c>
    </row>
    <row r="1485" spans="1:9" x14ac:dyDescent="0.35">
      <c r="A1485">
        <v>1484</v>
      </c>
      <c r="B1485" s="2">
        <v>44427</v>
      </c>
      <c r="C1485" t="s">
        <v>50</v>
      </c>
      <c r="D1485" t="s">
        <v>160</v>
      </c>
      <c r="E1485">
        <v>3</v>
      </c>
      <c r="F1485" t="str">
        <f>VLOOKUP($C1485,VLOOKUP_spp!$A$2:$D$103,4,1)</f>
        <v>Apis_mellifera</v>
      </c>
      <c r="G1485" t="str">
        <f>VLOOKUP($F1485,VLOOKUP_spp!$A$2:$E$102,5,1)</f>
        <v>Hymenoptera</v>
      </c>
      <c r="H1485" t="str">
        <f t="shared" si="23"/>
        <v>Aug</v>
      </c>
      <c r="I1485">
        <v>1</v>
      </c>
    </row>
    <row r="1486" spans="1:9" x14ac:dyDescent="0.35">
      <c r="A1486">
        <v>1485</v>
      </c>
      <c r="B1486" s="2">
        <v>44427</v>
      </c>
      <c r="C1486" t="s">
        <v>50</v>
      </c>
      <c r="D1486" t="s">
        <v>170</v>
      </c>
      <c r="E1486">
        <v>1</v>
      </c>
      <c r="F1486" t="str">
        <f>VLOOKUP($C1486,VLOOKUP_spp!$A$2:$D$103,4,1)</f>
        <v>Apis_mellifera</v>
      </c>
      <c r="G1486" t="str">
        <f>VLOOKUP($F1486,VLOOKUP_spp!$A$2:$E$102,5,1)</f>
        <v>Hymenoptera</v>
      </c>
      <c r="H1486" t="str">
        <f t="shared" si="23"/>
        <v>Aug</v>
      </c>
      <c r="I1486">
        <v>1</v>
      </c>
    </row>
    <row r="1487" spans="1:9" x14ac:dyDescent="0.35">
      <c r="A1487">
        <v>1486</v>
      </c>
      <c r="B1487" s="2">
        <v>44427</v>
      </c>
      <c r="C1487" t="s">
        <v>50</v>
      </c>
      <c r="D1487" t="s">
        <v>161</v>
      </c>
      <c r="E1487">
        <v>7</v>
      </c>
      <c r="F1487" t="str">
        <f>VLOOKUP($C1487,VLOOKUP_spp!$A$2:$D$103,4,1)</f>
        <v>Apis_mellifera</v>
      </c>
      <c r="G1487" t="str">
        <f>VLOOKUP($F1487,VLOOKUP_spp!$A$2:$E$102,5,1)</f>
        <v>Hymenoptera</v>
      </c>
      <c r="H1487" t="str">
        <f t="shared" si="23"/>
        <v>Aug</v>
      </c>
      <c r="I1487">
        <v>1</v>
      </c>
    </row>
    <row r="1488" spans="1:9" x14ac:dyDescent="0.35">
      <c r="A1488">
        <v>1487</v>
      </c>
      <c r="B1488" s="2">
        <v>44427</v>
      </c>
      <c r="C1488" t="s">
        <v>50</v>
      </c>
      <c r="D1488" t="s">
        <v>162</v>
      </c>
      <c r="E1488">
        <v>3</v>
      </c>
      <c r="F1488" t="str">
        <f>VLOOKUP($C1488,VLOOKUP_spp!$A$2:$D$103,4,1)</f>
        <v>Apis_mellifera</v>
      </c>
      <c r="G1488" t="str">
        <f>VLOOKUP($F1488,VLOOKUP_spp!$A$2:$E$102,5,1)</f>
        <v>Hymenoptera</v>
      </c>
      <c r="H1488" t="str">
        <f t="shared" si="23"/>
        <v>Aug</v>
      </c>
      <c r="I1488">
        <v>1</v>
      </c>
    </row>
    <row r="1489" spans="1:9" x14ac:dyDescent="0.35">
      <c r="A1489">
        <v>1488</v>
      </c>
      <c r="B1489" s="2">
        <v>44427</v>
      </c>
      <c r="C1489" t="s">
        <v>50</v>
      </c>
      <c r="D1489" t="s">
        <v>164</v>
      </c>
      <c r="E1489">
        <v>2</v>
      </c>
      <c r="F1489" t="str">
        <f>VLOOKUP($C1489,VLOOKUP_spp!$A$2:$D$103,4,1)</f>
        <v>Apis_mellifera</v>
      </c>
      <c r="G1489" t="str">
        <f>VLOOKUP($F1489,VLOOKUP_spp!$A$2:$E$102,5,1)</f>
        <v>Hymenoptera</v>
      </c>
      <c r="H1489" t="str">
        <f t="shared" si="23"/>
        <v>Aug</v>
      </c>
      <c r="I1489">
        <v>1</v>
      </c>
    </row>
    <row r="1490" spans="1:9" x14ac:dyDescent="0.35">
      <c r="A1490">
        <v>1489</v>
      </c>
      <c r="B1490" s="2">
        <v>44427</v>
      </c>
      <c r="C1490" t="s">
        <v>53</v>
      </c>
      <c r="D1490" t="s">
        <v>161</v>
      </c>
      <c r="E1490">
        <v>2</v>
      </c>
      <c r="F1490" t="str">
        <f>VLOOKUP($C1490,VLOOKUP_spp!$A$2:$D$103,4,1)</f>
        <v>Augochloropsis</v>
      </c>
      <c r="G1490" t="str">
        <f>VLOOKUP($F1490,VLOOKUP_spp!$A$2:$E$102,5,1)</f>
        <v>Hymenoptera</v>
      </c>
      <c r="H1490" t="str">
        <f t="shared" si="23"/>
        <v>Aug</v>
      </c>
      <c r="I1490">
        <v>1</v>
      </c>
    </row>
    <row r="1491" spans="1:9" x14ac:dyDescent="0.35">
      <c r="A1491">
        <v>1490</v>
      </c>
      <c r="B1491" s="2">
        <v>44427</v>
      </c>
      <c r="C1491" t="s">
        <v>54</v>
      </c>
      <c r="D1491" t="s">
        <v>166</v>
      </c>
      <c r="E1491">
        <v>2</v>
      </c>
      <c r="F1491" t="str">
        <f>VLOOKUP($C1491,VLOOKUP_spp!$A$2:$D$103,4,1)</f>
        <v>Bombus_affinis</v>
      </c>
      <c r="G1491" t="str">
        <f>VLOOKUP($F1491,VLOOKUP_spp!$A$2:$E$102,5,1)</f>
        <v>Hymenoptera</v>
      </c>
      <c r="H1491" t="str">
        <f t="shared" si="23"/>
        <v>Aug</v>
      </c>
      <c r="I1491">
        <v>1</v>
      </c>
    </row>
    <row r="1492" spans="1:9" x14ac:dyDescent="0.35">
      <c r="A1492">
        <v>1491</v>
      </c>
      <c r="B1492" s="2">
        <v>44427</v>
      </c>
      <c r="C1492" t="s">
        <v>57</v>
      </c>
      <c r="D1492" t="s">
        <v>167</v>
      </c>
      <c r="E1492">
        <v>1</v>
      </c>
      <c r="F1492" t="str">
        <f>VLOOKUP($C1492,VLOOKUP_spp!$A$2:$D$103,4,1)</f>
        <v>Bombus_bimaculatus</v>
      </c>
      <c r="G1492" t="str">
        <f>VLOOKUP($F1492,VLOOKUP_spp!$A$2:$E$102,5,1)</f>
        <v>Hymenoptera</v>
      </c>
      <c r="H1492" t="str">
        <f t="shared" si="23"/>
        <v>Aug</v>
      </c>
      <c r="I1492">
        <v>1</v>
      </c>
    </row>
    <row r="1493" spans="1:9" x14ac:dyDescent="0.35">
      <c r="A1493">
        <v>1492</v>
      </c>
      <c r="B1493" s="2">
        <v>44427</v>
      </c>
      <c r="C1493" t="s">
        <v>58</v>
      </c>
      <c r="D1493" t="s">
        <v>154</v>
      </c>
      <c r="E1493">
        <v>5</v>
      </c>
      <c r="F1493" t="str">
        <f>VLOOKUP($C1493,VLOOKUP_spp!$A$2:$D$103,4,1)</f>
        <v>Bombus_citrinus</v>
      </c>
      <c r="G1493" t="str">
        <f>VLOOKUP($F1493,VLOOKUP_spp!$A$2:$E$102,5,1)</f>
        <v>Hymenoptera</v>
      </c>
      <c r="H1493" t="str">
        <f t="shared" si="23"/>
        <v>Aug</v>
      </c>
      <c r="I1493">
        <v>1</v>
      </c>
    </row>
    <row r="1494" spans="1:9" x14ac:dyDescent="0.35">
      <c r="A1494">
        <v>1493</v>
      </c>
      <c r="B1494" s="2">
        <v>44427</v>
      </c>
      <c r="C1494" t="s">
        <v>67</v>
      </c>
      <c r="D1494" t="s">
        <v>171</v>
      </c>
      <c r="E1494">
        <v>6</v>
      </c>
      <c r="F1494" t="str">
        <f>VLOOKUP($C1494,VLOOKUP_spp!$A$2:$D$103,4,1)</f>
        <v>Bombus_impatiens</v>
      </c>
      <c r="G1494" t="str">
        <f>VLOOKUP($F1494,VLOOKUP_spp!$A$2:$E$102,5,1)</f>
        <v>Hymenoptera</v>
      </c>
      <c r="H1494" t="str">
        <f t="shared" si="23"/>
        <v>Aug</v>
      </c>
      <c r="I1494">
        <v>1</v>
      </c>
    </row>
    <row r="1495" spans="1:9" x14ac:dyDescent="0.35">
      <c r="A1495">
        <v>1494</v>
      </c>
      <c r="B1495" s="2">
        <v>44427</v>
      </c>
      <c r="C1495" t="s">
        <v>67</v>
      </c>
      <c r="D1495" t="s">
        <v>157</v>
      </c>
      <c r="E1495">
        <v>8</v>
      </c>
      <c r="F1495" t="str">
        <f>VLOOKUP($C1495,VLOOKUP_spp!$A$2:$D$103,4,1)</f>
        <v>Bombus_impatiens</v>
      </c>
      <c r="G1495" t="str">
        <f>VLOOKUP($F1495,VLOOKUP_spp!$A$2:$E$102,5,1)</f>
        <v>Hymenoptera</v>
      </c>
      <c r="H1495" t="str">
        <f t="shared" si="23"/>
        <v>Aug</v>
      </c>
      <c r="I1495">
        <v>1</v>
      </c>
    </row>
    <row r="1496" spans="1:9" x14ac:dyDescent="0.35">
      <c r="A1496">
        <v>1495</v>
      </c>
      <c r="B1496" s="2">
        <v>44427</v>
      </c>
      <c r="C1496" t="s">
        <v>67</v>
      </c>
      <c r="D1496" t="s">
        <v>158</v>
      </c>
      <c r="E1496">
        <v>1</v>
      </c>
      <c r="F1496" t="str">
        <f>VLOOKUP($C1496,VLOOKUP_spp!$A$2:$D$103,4,1)</f>
        <v>Bombus_impatiens</v>
      </c>
      <c r="G1496" t="str">
        <f>VLOOKUP($F1496,VLOOKUP_spp!$A$2:$E$102,5,1)</f>
        <v>Hymenoptera</v>
      </c>
      <c r="H1496" t="str">
        <f t="shared" si="23"/>
        <v>Aug</v>
      </c>
      <c r="I1496">
        <v>1</v>
      </c>
    </row>
    <row r="1497" spans="1:9" x14ac:dyDescent="0.35">
      <c r="A1497">
        <v>1496</v>
      </c>
      <c r="B1497" s="2">
        <v>44427</v>
      </c>
      <c r="C1497" t="s">
        <v>67</v>
      </c>
      <c r="D1497" t="s">
        <v>166</v>
      </c>
      <c r="E1497">
        <v>4</v>
      </c>
      <c r="F1497" t="str">
        <f>VLOOKUP($C1497,VLOOKUP_spp!$A$2:$D$103,4,1)</f>
        <v>Bombus_impatiens</v>
      </c>
      <c r="G1497" t="str">
        <f>VLOOKUP($F1497,VLOOKUP_spp!$A$2:$E$102,5,1)</f>
        <v>Hymenoptera</v>
      </c>
      <c r="H1497" t="str">
        <f t="shared" si="23"/>
        <v>Aug</v>
      </c>
      <c r="I1497">
        <v>1</v>
      </c>
    </row>
    <row r="1498" spans="1:9" x14ac:dyDescent="0.35">
      <c r="A1498">
        <v>1497</v>
      </c>
      <c r="B1498" s="2">
        <v>44427</v>
      </c>
      <c r="C1498" t="s">
        <v>67</v>
      </c>
      <c r="D1498" t="s">
        <v>173</v>
      </c>
      <c r="E1498">
        <v>12</v>
      </c>
      <c r="F1498" t="str">
        <f>VLOOKUP($C1498,VLOOKUP_spp!$A$2:$D$103,4,1)</f>
        <v>Bombus_impatiens</v>
      </c>
      <c r="G1498" t="str">
        <f>VLOOKUP($F1498,VLOOKUP_spp!$A$2:$E$102,5,1)</f>
        <v>Hymenoptera</v>
      </c>
      <c r="H1498" t="str">
        <f t="shared" si="23"/>
        <v>Aug</v>
      </c>
      <c r="I1498">
        <v>1</v>
      </c>
    </row>
    <row r="1499" spans="1:9" x14ac:dyDescent="0.35">
      <c r="A1499">
        <v>1498</v>
      </c>
      <c r="B1499" s="2">
        <v>44427</v>
      </c>
      <c r="C1499" t="s">
        <v>67</v>
      </c>
      <c r="D1499" t="s">
        <v>167</v>
      </c>
      <c r="E1499">
        <v>4</v>
      </c>
      <c r="F1499" t="str">
        <f>VLOOKUP($C1499,VLOOKUP_spp!$A$2:$D$103,4,1)</f>
        <v>Bombus_impatiens</v>
      </c>
      <c r="G1499" t="str">
        <f>VLOOKUP($F1499,VLOOKUP_spp!$A$2:$E$102,5,1)</f>
        <v>Hymenoptera</v>
      </c>
      <c r="H1499" t="str">
        <f t="shared" si="23"/>
        <v>Aug</v>
      </c>
      <c r="I1499">
        <v>1</v>
      </c>
    </row>
    <row r="1500" spans="1:9" x14ac:dyDescent="0.35">
      <c r="A1500">
        <v>1499</v>
      </c>
      <c r="B1500" s="2">
        <v>44427</v>
      </c>
      <c r="C1500" t="s">
        <v>67</v>
      </c>
      <c r="D1500" t="s">
        <v>160</v>
      </c>
      <c r="E1500">
        <v>2</v>
      </c>
      <c r="F1500" t="str">
        <f>VLOOKUP($C1500,VLOOKUP_spp!$A$2:$D$103,4,1)</f>
        <v>Bombus_impatiens</v>
      </c>
      <c r="G1500" t="str">
        <f>VLOOKUP($F1500,VLOOKUP_spp!$A$2:$E$102,5,1)</f>
        <v>Hymenoptera</v>
      </c>
      <c r="H1500" t="str">
        <f t="shared" si="23"/>
        <v>Aug</v>
      </c>
      <c r="I1500">
        <v>1</v>
      </c>
    </row>
    <row r="1501" spans="1:9" x14ac:dyDescent="0.35">
      <c r="A1501">
        <v>1500</v>
      </c>
      <c r="B1501" s="2">
        <v>44427</v>
      </c>
      <c r="C1501" t="s">
        <v>67</v>
      </c>
      <c r="D1501" t="s">
        <v>170</v>
      </c>
      <c r="E1501">
        <v>1</v>
      </c>
      <c r="F1501" t="str">
        <f>VLOOKUP($C1501,VLOOKUP_spp!$A$2:$D$103,4,1)</f>
        <v>Bombus_impatiens</v>
      </c>
      <c r="G1501" t="str">
        <f>VLOOKUP($F1501,VLOOKUP_spp!$A$2:$E$102,5,1)</f>
        <v>Hymenoptera</v>
      </c>
      <c r="H1501" t="str">
        <f t="shared" si="23"/>
        <v>Aug</v>
      </c>
      <c r="I1501">
        <v>1</v>
      </c>
    </row>
    <row r="1502" spans="1:9" x14ac:dyDescent="0.35">
      <c r="A1502">
        <v>1501</v>
      </c>
      <c r="B1502" s="2">
        <v>44427</v>
      </c>
      <c r="C1502" t="s">
        <v>68</v>
      </c>
      <c r="D1502" t="s">
        <v>170</v>
      </c>
      <c r="E1502">
        <v>1</v>
      </c>
      <c r="F1502" t="str">
        <f>VLOOKUP($C1502,VLOOKUP_spp!$A$2:$D$103,4,1)</f>
        <v>Bombus</v>
      </c>
      <c r="G1502" t="str">
        <f>VLOOKUP($F1502,VLOOKUP_spp!$A$2:$E$102,5,1)</f>
        <v>Hymenoptera</v>
      </c>
      <c r="H1502" t="str">
        <f t="shared" si="23"/>
        <v>Aug</v>
      </c>
      <c r="I1502">
        <v>1</v>
      </c>
    </row>
    <row r="1503" spans="1:9" x14ac:dyDescent="0.35">
      <c r="A1503">
        <v>1502</v>
      </c>
      <c r="B1503" s="2">
        <v>44427</v>
      </c>
      <c r="C1503" t="s">
        <v>71</v>
      </c>
      <c r="D1503" t="s">
        <v>158</v>
      </c>
      <c r="E1503">
        <v>1</v>
      </c>
      <c r="F1503" t="str">
        <f>VLOOKUP($C1503,VLOOKUP_spp!$A$2:$D$103,4,1)</f>
        <v>Bombus</v>
      </c>
      <c r="G1503" t="str">
        <f>VLOOKUP($F1503,VLOOKUP_spp!$A$2:$E$102,5,1)</f>
        <v>Hymenoptera</v>
      </c>
      <c r="H1503" t="str">
        <f t="shared" si="23"/>
        <v>Aug</v>
      </c>
      <c r="I1503">
        <v>1</v>
      </c>
    </row>
    <row r="1504" spans="1:9" x14ac:dyDescent="0.35">
      <c r="A1504">
        <v>1503</v>
      </c>
      <c r="B1504" s="2">
        <v>44427</v>
      </c>
      <c r="C1504" t="s">
        <v>76</v>
      </c>
      <c r="D1504" t="s">
        <v>171</v>
      </c>
      <c r="E1504">
        <v>1</v>
      </c>
      <c r="F1504" t="str">
        <f>VLOOKUP($C1504,VLOOKUP_spp!$A$2:$D$103,4,1)</f>
        <v>Bombus_rufocinctus</v>
      </c>
      <c r="G1504" t="str">
        <f>VLOOKUP($F1504,VLOOKUP_spp!$A$2:$E$102,5,1)</f>
        <v>Hymenoptera</v>
      </c>
      <c r="H1504" t="str">
        <f t="shared" si="23"/>
        <v>Aug</v>
      </c>
      <c r="I1504">
        <v>1</v>
      </c>
    </row>
    <row r="1505" spans="1:9" x14ac:dyDescent="0.35">
      <c r="A1505">
        <v>1504</v>
      </c>
      <c r="B1505" s="2">
        <v>44427</v>
      </c>
      <c r="C1505" t="s">
        <v>77</v>
      </c>
      <c r="D1505" t="s">
        <v>173</v>
      </c>
      <c r="E1505">
        <v>1</v>
      </c>
      <c r="F1505" t="str">
        <f>VLOOKUP($C1505,VLOOKUP_spp!$A$2:$D$103,4,1)</f>
        <v>Bombus_vagans_sandersoni</v>
      </c>
      <c r="G1505" t="str">
        <f>VLOOKUP($F1505,VLOOKUP_spp!$A$2:$E$102,5,1)</f>
        <v>Hymenoptera</v>
      </c>
      <c r="H1505" t="str">
        <f t="shared" si="23"/>
        <v>Aug</v>
      </c>
      <c r="I1505">
        <v>1</v>
      </c>
    </row>
    <row r="1506" spans="1:9" x14ac:dyDescent="0.35">
      <c r="A1506">
        <v>1505</v>
      </c>
      <c r="B1506" s="2">
        <v>44427</v>
      </c>
      <c r="C1506" t="s">
        <v>85</v>
      </c>
      <c r="D1506" t="s">
        <v>158</v>
      </c>
      <c r="E1506">
        <v>1</v>
      </c>
      <c r="F1506" t="str">
        <f>VLOOKUP($C1506,VLOOKUP_spp!$A$2:$D$103,4,1)</f>
        <v>Ceratina</v>
      </c>
      <c r="G1506" t="str">
        <f>VLOOKUP($F1506,VLOOKUP_spp!$A$2:$E$102,5,1)</f>
        <v>Hymenoptera</v>
      </c>
      <c r="H1506" t="str">
        <f t="shared" si="23"/>
        <v>Aug</v>
      </c>
      <c r="I1506">
        <v>1</v>
      </c>
    </row>
    <row r="1507" spans="1:9" x14ac:dyDescent="0.35">
      <c r="A1507">
        <v>1506</v>
      </c>
      <c r="B1507" s="2">
        <v>44427</v>
      </c>
      <c r="C1507" t="s">
        <v>7</v>
      </c>
      <c r="D1507" t="s">
        <v>157</v>
      </c>
      <c r="E1507">
        <v>1</v>
      </c>
      <c r="F1507" t="str">
        <f>VLOOKUP($C1507,VLOOKUP_spp!$A$2:$D$103,4,1)</f>
        <v>Coleoptera</v>
      </c>
      <c r="G1507" t="str">
        <f>VLOOKUP($F1507,VLOOKUP_spp!$A$2:$E$102,5,1)</f>
        <v>Coleoptera</v>
      </c>
      <c r="H1507" t="str">
        <f t="shared" si="23"/>
        <v>Aug</v>
      </c>
      <c r="I1507">
        <v>1</v>
      </c>
    </row>
    <row r="1508" spans="1:9" x14ac:dyDescent="0.35">
      <c r="A1508">
        <v>1507</v>
      </c>
      <c r="B1508" s="2">
        <v>44427</v>
      </c>
      <c r="C1508" t="s">
        <v>7</v>
      </c>
      <c r="D1508" t="s">
        <v>173</v>
      </c>
      <c r="E1508">
        <v>4</v>
      </c>
      <c r="F1508" t="str">
        <f>VLOOKUP($C1508,VLOOKUP_spp!$A$2:$D$103,4,1)</f>
        <v>Coleoptera</v>
      </c>
      <c r="G1508" t="str">
        <f>VLOOKUP($F1508,VLOOKUP_spp!$A$2:$E$102,5,1)</f>
        <v>Coleoptera</v>
      </c>
      <c r="H1508" t="str">
        <f t="shared" si="23"/>
        <v>Aug</v>
      </c>
      <c r="I1508">
        <v>1</v>
      </c>
    </row>
    <row r="1509" spans="1:9" x14ac:dyDescent="0.35">
      <c r="A1509">
        <v>1508</v>
      </c>
      <c r="B1509" s="2">
        <v>44427</v>
      </c>
      <c r="C1509" t="s">
        <v>7</v>
      </c>
      <c r="D1509" t="s">
        <v>160</v>
      </c>
      <c r="E1509">
        <v>2</v>
      </c>
      <c r="F1509" t="str">
        <f>VLOOKUP($C1509,VLOOKUP_spp!$A$2:$D$103,4,1)</f>
        <v>Coleoptera</v>
      </c>
      <c r="G1509" t="str">
        <f>VLOOKUP($F1509,VLOOKUP_spp!$A$2:$E$102,5,1)</f>
        <v>Coleoptera</v>
      </c>
      <c r="H1509" t="str">
        <f t="shared" si="23"/>
        <v>Aug</v>
      </c>
      <c r="I1509">
        <v>1</v>
      </c>
    </row>
    <row r="1510" spans="1:9" x14ac:dyDescent="0.35">
      <c r="A1510">
        <v>1509</v>
      </c>
      <c r="B1510" s="2">
        <v>44427</v>
      </c>
      <c r="C1510" t="s">
        <v>7</v>
      </c>
      <c r="D1510" t="s">
        <v>170</v>
      </c>
      <c r="E1510">
        <v>3</v>
      </c>
      <c r="F1510" t="str">
        <f>VLOOKUP($C1510,VLOOKUP_spp!$A$2:$D$103,4,1)</f>
        <v>Coleoptera</v>
      </c>
      <c r="G1510" t="str">
        <f>VLOOKUP($F1510,VLOOKUP_spp!$A$2:$E$102,5,1)</f>
        <v>Coleoptera</v>
      </c>
      <c r="H1510" t="str">
        <f t="shared" si="23"/>
        <v>Aug</v>
      </c>
      <c r="I1510">
        <v>1</v>
      </c>
    </row>
    <row r="1511" spans="1:9" x14ac:dyDescent="0.35">
      <c r="A1511">
        <v>1510</v>
      </c>
      <c r="B1511" s="2">
        <v>44427</v>
      </c>
      <c r="C1511" t="s">
        <v>7</v>
      </c>
      <c r="D1511" t="s">
        <v>156</v>
      </c>
      <c r="E1511">
        <v>2</v>
      </c>
      <c r="F1511" t="str">
        <f>VLOOKUP($C1511,VLOOKUP_spp!$A$2:$D$103,4,1)</f>
        <v>Coleoptera</v>
      </c>
      <c r="G1511" t="str">
        <f>VLOOKUP($F1511,VLOOKUP_spp!$A$2:$E$102,5,1)</f>
        <v>Coleoptera</v>
      </c>
      <c r="H1511" t="str">
        <f t="shared" si="23"/>
        <v>Aug</v>
      </c>
      <c r="I1511">
        <v>1</v>
      </c>
    </row>
    <row r="1512" spans="1:9" x14ac:dyDescent="0.35">
      <c r="A1512">
        <v>1511</v>
      </c>
      <c r="B1512" s="2">
        <v>44427</v>
      </c>
      <c r="C1512" t="s">
        <v>6</v>
      </c>
      <c r="D1512" t="s">
        <v>161</v>
      </c>
      <c r="E1512">
        <v>2</v>
      </c>
      <c r="F1512" t="str">
        <f>VLOOKUP($C1512,VLOOKUP_spp!$A$2:$D$103,4,1)</f>
        <v>Diptera</v>
      </c>
      <c r="G1512" t="str">
        <f>VLOOKUP($F1512,VLOOKUP_spp!$A$2:$E$102,5,1)</f>
        <v>Diptera</v>
      </c>
      <c r="H1512" t="str">
        <f t="shared" si="23"/>
        <v>Aug</v>
      </c>
      <c r="I1512">
        <v>1</v>
      </c>
    </row>
    <row r="1513" spans="1:9" x14ac:dyDescent="0.35">
      <c r="A1513">
        <v>1512</v>
      </c>
      <c r="B1513" s="2">
        <v>44427</v>
      </c>
      <c r="C1513" t="s">
        <v>6</v>
      </c>
      <c r="D1513" t="s">
        <v>162</v>
      </c>
      <c r="E1513">
        <v>1</v>
      </c>
      <c r="F1513" t="str">
        <f>VLOOKUP($C1513,VLOOKUP_spp!$A$2:$D$103,4,1)</f>
        <v>Diptera</v>
      </c>
      <c r="G1513" t="str">
        <f>VLOOKUP($F1513,VLOOKUP_spp!$A$2:$E$102,5,1)</f>
        <v>Diptera</v>
      </c>
      <c r="H1513" t="str">
        <f t="shared" si="23"/>
        <v>Aug</v>
      </c>
      <c r="I1513">
        <v>1</v>
      </c>
    </row>
    <row r="1514" spans="1:9" x14ac:dyDescent="0.35">
      <c r="A1514">
        <v>1513</v>
      </c>
      <c r="B1514" s="2">
        <v>44427</v>
      </c>
      <c r="C1514" t="s">
        <v>101</v>
      </c>
      <c r="D1514" t="s">
        <v>161</v>
      </c>
      <c r="E1514">
        <v>2</v>
      </c>
      <c r="F1514" t="str">
        <f>VLOOKUP($C1514,VLOOKUP_spp!$A$2:$D$103,4,1)</f>
        <v>Halictus_tripartitus</v>
      </c>
      <c r="G1514" t="str">
        <f>VLOOKUP($F1514,VLOOKUP_spp!$A$2:$E$102,5,1)</f>
        <v>Hymenoptera</v>
      </c>
      <c r="H1514" t="str">
        <f t="shared" si="23"/>
        <v>Aug</v>
      </c>
      <c r="I1514">
        <v>1</v>
      </c>
    </row>
    <row r="1515" spans="1:9" x14ac:dyDescent="0.35">
      <c r="A1515">
        <v>1514</v>
      </c>
      <c r="B1515" s="2">
        <v>44427</v>
      </c>
      <c r="C1515" t="s">
        <v>104</v>
      </c>
      <c r="D1515" t="s">
        <v>162</v>
      </c>
      <c r="E1515">
        <v>1</v>
      </c>
      <c r="F1515" t="str">
        <f>VLOOKUP($C1515,VLOOKUP_spp!$A$2:$D$103,4,1)</f>
        <v>Hylaeus_leptocephalus</v>
      </c>
      <c r="G1515" t="str">
        <f>VLOOKUP($F1515,VLOOKUP_spp!$A$2:$E$102,5,1)</f>
        <v>Hymenoptera</v>
      </c>
      <c r="H1515" t="str">
        <f t="shared" si="23"/>
        <v>Aug</v>
      </c>
      <c r="I1515">
        <v>1</v>
      </c>
    </row>
    <row r="1516" spans="1:9" x14ac:dyDescent="0.35">
      <c r="A1516">
        <v>1515</v>
      </c>
      <c r="B1516" s="2">
        <v>44427</v>
      </c>
      <c r="C1516" t="s">
        <v>111</v>
      </c>
      <c r="D1516" t="s">
        <v>162</v>
      </c>
      <c r="E1516">
        <v>1</v>
      </c>
      <c r="F1516">
        <f>VLOOKUP($C1516,VLOOKUP_spp!$A$2:$D$103,4,1)</f>
        <v>0</v>
      </c>
      <c r="G1516" t="e">
        <f>VLOOKUP($F1516,VLOOKUP_spp!$A$2:$E$102,5,1)</f>
        <v>#N/A</v>
      </c>
      <c r="H1516" t="str">
        <f t="shared" si="23"/>
        <v>Aug</v>
      </c>
      <c r="I1516">
        <v>1</v>
      </c>
    </row>
    <row r="1517" spans="1:9" x14ac:dyDescent="0.35">
      <c r="A1517">
        <v>1516</v>
      </c>
      <c r="B1517" s="2">
        <v>44427</v>
      </c>
      <c r="C1517" t="s">
        <v>126</v>
      </c>
      <c r="D1517" t="s">
        <v>157</v>
      </c>
      <c r="E1517">
        <v>1</v>
      </c>
      <c r="F1517" t="str">
        <f>VLOOKUP($C1517,VLOOKUP_spp!$A$2:$D$103,4,1)</f>
        <v>Syrphidae</v>
      </c>
      <c r="G1517" t="str">
        <f>VLOOKUP($F1517,VLOOKUP_spp!$A$2:$E$102,5,1)</f>
        <v>Diptera</v>
      </c>
      <c r="H1517" t="str">
        <f t="shared" si="23"/>
        <v>Aug</v>
      </c>
      <c r="I1517">
        <v>1</v>
      </c>
    </row>
    <row r="1518" spans="1:9" x14ac:dyDescent="0.35">
      <c r="A1518">
        <v>1517</v>
      </c>
      <c r="B1518" s="2">
        <v>44427</v>
      </c>
      <c r="C1518" t="s">
        <v>126</v>
      </c>
      <c r="D1518" t="s">
        <v>173</v>
      </c>
      <c r="E1518">
        <v>1</v>
      </c>
      <c r="F1518" t="str">
        <f>VLOOKUP($C1518,VLOOKUP_spp!$A$2:$D$103,4,1)</f>
        <v>Syrphidae</v>
      </c>
      <c r="G1518" t="str">
        <f>VLOOKUP($F1518,VLOOKUP_spp!$A$2:$E$102,5,1)</f>
        <v>Diptera</v>
      </c>
      <c r="H1518" t="str">
        <f t="shared" si="23"/>
        <v>Aug</v>
      </c>
      <c r="I1518">
        <v>1</v>
      </c>
    </row>
    <row r="1519" spans="1:9" x14ac:dyDescent="0.35">
      <c r="A1519">
        <v>1518</v>
      </c>
      <c r="B1519" s="2">
        <v>44427</v>
      </c>
      <c r="C1519" t="s">
        <v>128</v>
      </c>
      <c r="D1519" t="s">
        <v>157</v>
      </c>
      <c r="E1519">
        <v>1</v>
      </c>
      <c r="F1519" t="str">
        <f>VLOOKUP($C1519,VLOOKUP_spp!$A$2:$D$103,4,1)</f>
        <v>Wasp</v>
      </c>
      <c r="G1519" t="str">
        <f>VLOOKUP($F1519,VLOOKUP_spp!$A$2:$E$102,5,1)</f>
        <v>Hymenoptera</v>
      </c>
      <c r="H1519" t="str">
        <f t="shared" si="23"/>
        <v>Aug</v>
      </c>
      <c r="I1519">
        <v>1</v>
      </c>
    </row>
    <row r="1520" spans="1:9" x14ac:dyDescent="0.35">
      <c r="A1520">
        <v>1519</v>
      </c>
      <c r="B1520" s="2">
        <v>44427</v>
      </c>
      <c r="C1520" t="s">
        <v>128</v>
      </c>
      <c r="D1520" t="s">
        <v>158</v>
      </c>
      <c r="E1520">
        <v>1</v>
      </c>
      <c r="F1520" t="str">
        <f>VLOOKUP($C1520,VLOOKUP_spp!$A$2:$D$103,4,1)</f>
        <v>Wasp</v>
      </c>
      <c r="G1520" t="str">
        <f>VLOOKUP($F1520,VLOOKUP_spp!$A$2:$E$102,5,1)</f>
        <v>Hymenoptera</v>
      </c>
      <c r="H1520" t="str">
        <f t="shared" si="23"/>
        <v>Aug</v>
      </c>
      <c r="I1520">
        <v>1</v>
      </c>
    </row>
    <row r="1521" spans="1:9" x14ac:dyDescent="0.35">
      <c r="A1521">
        <v>1520</v>
      </c>
      <c r="B1521" s="2">
        <v>44427</v>
      </c>
      <c r="C1521" t="s">
        <v>128</v>
      </c>
      <c r="D1521" t="s">
        <v>166</v>
      </c>
      <c r="E1521">
        <v>5</v>
      </c>
      <c r="F1521" t="str">
        <f>VLOOKUP($C1521,VLOOKUP_spp!$A$2:$D$103,4,1)</f>
        <v>Wasp</v>
      </c>
      <c r="G1521" t="str">
        <f>VLOOKUP($F1521,VLOOKUP_spp!$A$2:$E$102,5,1)</f>
        <v>Hymenoptera</v>
      </c>
      <c r="H1521" t="str">
        <f t="shared" si="23"/>
        <v>Aug</v>
      </c>
      <c r="I1521">
        <v>1</v>
      </c>
    </row>
    <row r="1522" spans="1:9" x14ac:dyDescent="0.35">
      <c r="A1522">
        <v>1521</v>
      </c>
      <c r="B1522" s="2">
        <v>44427</v>
      </c>
      <c r="C1522" t="s">
        <v>128</v>
      </c>
      <c r="D1522" t="s">
        <v>173</v>
      </c>
      <c r="E1522">
        <v>5</v>
      </c>
      <c r="F1522" t="str">
        <f>VLOOKUP($C1522,VLOOKUP_spp!$A$2:$D$103,4,1)</f>
        <v>Wasp</v>
      </c>
      <c r="G1522" t="str">
        <f>VLOOKUP($F1522,VLOOKUP_spp!$A$2:$E$102,5,1)</f>
        <v>Hymenoptera</v>
      </c>
      <c r="H1522" t="str">
        <f t="shared" si="23"/>
        <v>Aug</v>
      </c>
      <c r="I1522">
        <v>1</v>
      </c>
    </row>
    <row r="1523" spans="1:9" x14ac:dyDescent="0.35">
      <c r="A1523">
        <v>1522</v>
      </c>
      <c r="B1523" s="2">
        <v>44427</v>
      </c>
      <c r="C1523" t="s">
        <v>128</v>
      </c>
      <c r="D1523" t="s">
        <v>161</v>
      </c>
      <c r="E1523">
        <v>3</v>
      </c>
      <c r="F1523" t="str">
        <f>VLOOKUP($C1523,VLOOKUP_spp!$A$2:$D$103,4,1)</f>
        <v>Wasp</v>
      </c>
      <c r="G1523" t="str">
        <f>VLOOKUP($F1523,VLOOKUP_spp!$A$2:$E$102,5,1)</f>
        <v>Hymenoptera</v>
      </c>
      <c r="H1523" t="str">
        <f t="shared" si="23"/>
        <v>Aug</v>
      </c>
      <c r="I1523">
        <v>1</v>
      </c>
    </row>
    <row r="1524" spans="1:9" x14ac:dyDescent="0.35">
      <c r="A1524">
        <v>1523</v>
      </c>
      <c r="B1524" s="2">
        <v>44427</v>
      </c>
      <c r="C1524" t="s">
        <v>128</v>
      </c>
      <c r="D1524" t="s">
        <v>162</v>
      </c>
      <c r="E1524">
        <v>3</v>
      </c>
      <c r="F1524" t="str">
        <f>VLOOKUP($C1524,VLOOKUP_spp!$A$2:$D$103,4,1)</f>
        <v>Wasp</v>
      </c>
      <c r="G1524" t="str">
        <f>VLOOKUP($F1524,VLOOKUP_spp!$A$2:$E$102,5,1)</f>
        <v>Hymenoptera</v>
      </c>
      <c r="H1524" t="str">
        <f t="shared" si="23"/>
        <v>Aug</v>
      </c>
      <c r="I152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75CF3-C681-4128-B02A-A7B8CC6AD6A2}">
  <dimension ref="A1:H17"/>
  <sheetViews>
    <sheetView workbookViewId="0">
      <selection activeCell="G3" sqref="G3"/>
    </sheetView>
  </sheetViews>
  <sheetFormatPr defaultRowHeight="14.5" x14ac:dyDescent="0.35"/>
  <cols>
    <col min="1" max="1" width="12.26953125" bestFit="1" customWidth="1"/>
    <col min="2" max="2" width="6.453125" bestFit="1" customWidth="1"/>
    <col min="4" max="4" width="12.6328125" bestFit="1" customWidth="1"/>
  </cols>
  <sheetData>
    <row r="1" spans="1:8" x14ac:dyDescent="0.35">
      <c r="A1" t="s">
        <v>195</v>
      </c>
      <c r="B1" t="s">
        <v>0</v>
      </c>
      <c r="C1" t="s">
        <v>182</v>
      </c>
      <c r="D1" t="s">
        <v>196</v>
      </c>
      <c r="E1" t="s">
        <v>197</v>
      </c>
      <c r="G1" t="s">
        <v>25</v>
      </c>
    </row>
    <row r="2" spans="1:8" x14ac:dyDescent="0.35">
      <c r="A2" t="s">
        <v>7</v>
      </c>
      <c r="B2" t="s">
        <v>1</v>
      </c>
      <c r="C2">
        <v>1</v>
      </c>
      <c r="D2">
        <v>61</v>
      </c>
      <c r="E2">
        <f>C2/D2</f>
        <v>1.6393442622950821E-2</v>
      </c>
      <c r="G2" t="s">
        <v>213</v>
      </c>
    </row>
    <row r="3" spans="1:8" x14ac:dyDescent="0.35">
      <c r="A3" t="s">
        <v>6</v>
      </c>
      <c r="B3" t="s">
        <v>1</v>
      </c>
      <c r="C3">
        <v>2</v>
      </c>
      <c r="D3">
        <v>61</v>
      </c>
      <c r="E3">
        <f t="shared" ref="E3:E17" si="0">C3/D3</f>
        <v>3.2786885245901641E-2</v>
      </c>
    </row>
    <row r="4" spans="1:8" x14ac:dyDescent="0.35">
      <c r="A4" t="s">
        <v>5</v>
      </c>
      <c r="B4" t="s">
        <v>1</v>
      </c>
      <c r="C4">
        <v>34</v>
      </c>
      <c r="D4">
        <v>61</v>
      </c>
      <c r="E4">
        <f t="shared" si="0"/>
        <v>0.55737704918032782</v>
      </c>
    </row>
    <row r="5" spans="1:8" x14ac:dyDescent="0.35">
      <c r="A5" t="s">
        <v>8</v>
      </c>
      <c r="B5" t="s">
        <v>1</v>
      </c>
      <c r="C5">
        <v>1</v>
      </c>
      <c r="D5">
        <v>61</v>
      </c>
      <c r="E5">
        <f t="shared" si="0"/>
        <v>1.6393442622950821E-2</v>
      </c>
      <c r="G5" t="s">
        <v>211</v>
      </c>
    </row>
    <row r="6" spans="1:8" x14ac:dyDescent="0.35">
      <c r="A6" t="s">
        <v>7</v>
      </c>
      <c r="B6" t="s">
        <v>184</v>
      </c>
      <c r="C6">
        <v>1</v>
      </c>
      <c r="D6">
        <v>61</v>
      </c>
      <c r="E6">
        <f t="shared" si="0"/>
        <v>1.6393442622950821E-2</v>
      </c>
      <c r="G6" t="s">
        <v>212</v>
      </c>
      <c r="H6">
        <v>34</v>
      </c>
    </row>
    <row r="7" spans="1:8" x14ac:dyDescent="0.35">
      <c r="A7" t="s">
        <v>6</v>
      </c>
      <c r="B7" t="s">
        <v>184</v>
      </c>
      <c r="C7">
        <v>2</v>
      </c>
      <c r="D7">
        <v>61</v>
      </c>
      <c r="E7">
        <f t="shared" si="0"/>
        <v>3.2786885245901641E-2</v>
      </c>
      <c r="G7" t="s">
        <v>2</v>
      </c>
      <c r="H7">
        <v>35</v>
      </c>
    </row>
    <row r="8" spans="1:8" x14ac:dyDescent="0.35">
      <c r="A8" t="s">
        <v>5</v>
      </c>
      <c r="B8" t="s">
        <v>184</v>
      </c>
      <c r="C8">
        <v>35</v>
      </c>
      <c r="D8">
        <v>61</v>
      </c>
      <c r="E8">
        <f t="shared" si="0"/>
        <v>0.57377049180327866</v>
      </c>
      <c r="G8" t="s">
        <v>3</v>
      </c>
      <c r="H8">
        <v>36</v>
      </c>
    </row>
    <row r="9" spans="1:8" x14ac:dyDescent="0.35">
      <c r="A9" t="s">
        <v>8</v>
      </c>
      <c r="B9" t="s">
        <v>184</v>
      </c>
      <c r="C9">
        <v>1</v>
      </c>
      <c r="D9">
        <v>61</v>
      </c>
      <c r="E9">
        <f t="shared" si="0"/>
        <v>1.6393442622950821E-2</v>
      </c>
      <c r="G9" t="s">
        <v>4</v>
      </c>
      <c r="H9">
        <v>26</v>
      </c>
    </row>
    <row r="10" spans="1:8" x14ac:dyDescent="0.35">
      <c r="A10" t="s">
        <v>7</v>
      </c>
      <c r="B10" t="s">
        <v>198</v>
      </c>
      <c r="C10">
        <v>1</v>
      </c>
      <c r="D10">
        <v>61</v>
      </c>
      <c r="E10">
        <f t="shared" si="0"/>
        <v>1.6393442622950821E-2</v>
      </c>
    </row>
    <row r="11" spans="1:8" x14ac:dyDescent="0.35">
      <c r="A11" t="s">
        <v>6</v>
      </c>
      <c r="B11" t="s">
        <v>198</v>
      </c>
      <c r="C11">
        <v>2</v>
      </c>
      <c r="D11">
        <v>61</v>
      </c>
      <c r="E11">
        <f t="shared" si="0"/>
        <v>3.2786885245901641E-2</v>
      </c>
    </row>
    <row r="12" spans="1:8" x14ac:dyDescent="0.35">
      <c r="A12" t="s">
        <v>5</v>
      </c>
      <c r="B12" t="s">
        <v>198</v>
      </c>
      <c r="C12">
        <v>36</v>
      </c>
      <c r="D12">
        <v>61</v>
      </c>
      <c r="E12">
        <f t="shared" si="0"/>
        <v>0.5901639344262295</v>
      </c>
    </row>
    <row r="13" spans="1:8" x14ac:dyDescent="0.35">
      <c r="A13" t="s">
        <v>8</v>
      </c>
      <c r="B13" t="s">
        <v>198</v>
      </c>
      <c r="C13">
        <v>1</v>
      </c>
      <c r="D13">
        <v>61</v>
      </c>
      <c r="E13">
        <f t="shared" si="0"/>
        <v>1.6393442622950821E-2</v>
      </c>
    </row>
    <row r="14" spans="1:8" x14ac:dyDescent="0.35">
      <c r="A14" t="s">
        <v>7</v>
      </c>
      <c r="B14" t="s">
        <v>186</v>
      </c>
      <c r="C14">
        <v>1</v>
      </c>
      <c r="D14">
        <v>61</v>
      </c>
      <c r="E14">
        <f t="shared" si="0"/>
        <v>1.6393442622950821E-2</v>
      </c>
    </row>
    <row r="15" spans="1:8" x14ac:dyDescent="0.35">
      <c r="A15" t="s">
        <v>6</v>
      </c>
      <c r="B15" t="s">
        <v>186</v>
      </c>
      <c r="C15">
        <v>1</v>
      </c>
      <c r="D15">
        <v>61</v>
      </c>
      <c r="E15">
        <f t="shared" si="0"/>
        <v>1.6393442622950821E-2</v>
      </c>
    </row>
    <row r="16" spans="1:8" x14ac:dyDescent="0.35">
      <c r="A16" t="s">
        <v>5</v>
      </c>
      <c r="B16" t="s">
        <v>186</v>
      </c>
      <c r="C16">
        <v>26</v>
      </c>
      <c r="D16">
        <v>61</v>
      </c>
      <c r="E16">
        <f t="shared" si="0"/>
        <v>0.42622950819672129</v>
      </c>
    </row>
    <row r="17" spans="1:5" x14ac:dyDescent="0.35">
      <c r="A17" t="s">
        <v>8</v>
      </c>
      <c r="B17" t="s">
        <v>186</v>
      </c>
      <c r="C17">
        <v>1</v>
      </c>
      <c r="D17">
        <v>61</v>
      </c>
      <c r="E17">
        <f t="shared" si="0"/>
        <v>1.6393442622950821E-2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47F98-509E-4D99-917E-ECECC6A0363E}">
  <dimension ref="A1:E44"/>
  <sheetViews>
    <sheetView workbookViewId="0">
      <selection activeCell="H16" sqref="H16"/>
    </sheetView>
  </sheetViews>
  <sheetFormatPr defaultRowHeight="14.5" x14ac:dyDescent="0.35"/>
  <cols>
    <col min="1" max="1" width="21.54296875" bestFit="1" customWidth="1"/>
    <col min="4" max="4" width="12.6328125" bestFit="1" customWidth="1"/>
  </cols>
  <sheetData>
    <row r="1" spans="1:5" x14ac:dyDescent="0.35">
      <c r="A1" t="s">
        <v>195</v>
      </c>
      <c r="B1" t="s">
        <v>0</v>
      </c>
      <c r="C1" t="s">
        <v>182</v>
      </c>
      <c r="D1" t="s">
        <v>196</v>
      </c>
      <c r="E1" t="s">
        <v>197</v>
      </c>
    </row>
    <row r="2" spans="1:5" x14ac:dyDescent="0.35">
      <c r="A2" t="s">
        <v>202</v>
      </c>
      <c r="B2" t="s">
        <v>1</v>
      </c>
      <c r="C2" t="s">
        <v>210</v>
      </c>
    </row>
    <row r="3" spans="1:5" x14ac:dyDescent="0.35">
      <c r="A3" t="s">
        <v>203</v>
      </c>
      <c r="B3" t="s">
        <v>1</v>
      </c>
    </row>
    <row r="4" spans="1:5" x14ac:dyDescent="0.35">
      <c r="A4" t="s">
        <v>128</v>
      </c>
      <c r="B4" t="s">
        <v>1</v>
      </c>
    </row>
    <row r="5" spans="1:5" x14ac:dyDescent="0.35">
      <c r="A5" t="s">
        <v>201</v>
      </c>
      <c r="B5" t="s">
        <v>1</v>
      </c>
    </row>
    <row r="6" spans="1:5" x14ac:dyDescent="0.35">
      <c r="A6" t="s">
        <v>204</v>
      </c>
      <c r="B6" t="s">
        <v>1</v>
      </c>
    </row>
    <row r="7" spans="1:5" x14ac:dyDescent="0.35">
      <c r="A7" t="s">
        <v>205</v>
      </c>
      <c r="B7" t="s">
        <v>1</v>
      </c>
    </row>
    <row r="8" spans="1:5" x14ac:dyDescent="0.35">
      <c r="A8" t="s">
        <v>206</v>
      </c>
      <c r="B8" t="s">
        <v>1</v>
      </c>
    </row>
    <row r="9" spans="1:5" x14ac:dyDescent="0.35">
      <c r="A9" t="s">
        <v>207</v>
      </c>
      <c r="B9" t="s">
        <v>1</v>
      </c>
    </row>
    <row r="10" spans="1:5" x14ac:dyDescent="0.35">
      <c r="A10" t="s">
        <v>208</v>
      </c>
      <c r="B10" t="s">
        <v>1</v>
      </c>
    </row>
    <row r="11" spans="1:5" x14ac:dyDescent="0.35">
      <c r="A11" t="s">
        <v>209</v>
      </c>
      <c r="B11" t="s">
        <v>1</v>
      </c>
    </row>
    <row r="13" spans="1:5" x14ac:dyDescent="0.35">
      <c r="A13" t="s">
        <v>202</v>
      </c>
      <c r="B13" t="s">
        <v>184</v>
      </c>
    </row>
    <row r="14" spans="1:5" x14ac:dyDescent="0.35">
      <c r="A14" t="s">
        <v>203</v>
      </c>
      <c r="B14" t="s">
        <v>184</v>
      </c>
    </row>
    <row r="15" spans="1:5" x14ac:dyDescent="0.35">
      <c r="A15" t="s">
        <v>128</v>
      </c>
      <c r="B15" t="s">
        <v>184</v>
      </c>
    </row>
    <row r="16" spans="1:5" x14ac:dyDescent="0.35">
      <c r="A16" t="s">
        <v>201</v>
      </c>
      <c r="B16" t="s">
        <v>184</v>
      </c>
    </row>
    <row r="17" spans="1:2" x14ac:dyDescent="0.35">
      <c r="A17" t="s">
        <v>204</v>
      </c>
      <c r="B17" t="s">
        <v>184</v>
      </c>
    </row>
    <row r="18" spans="1:2" x14ac:dyDescent="0.35">
      <c r="A18" t="s">
        <v>205</v>
      </c>
      <c r="B18" t="s">
        <v>184</v>
      </c>
    </row>
    <row r="19" spans="1:2" x14ac:dyDescent="0.35">
      <c r="A19" t="s">
        <v>206</v>
      </c>
      <c r="B19" t="s">
        <v>184</v>
      </c>
    </row>
    <row r="20" spans="1:2" x14ac:dyDescent="0.35">
      <c r="A20" t="s">
        <v>207</v>
      </c>
      <c r="B20" t="s">
        <v>184</v>
      </c>
    </row>
    <row r="21" spans="1:2" x14ac:dyDescent="0.35">
      <c r="A21" t="s">
        <v>208</v>
      </c>
      <c r="B21" t="s">
        <v>184</v>
      </c>
    </row>
    <row r="22" spans="1:2" x14ac:dyDescent="0.35">
      <c r="A22" t="s">
        <v>209</v>
      </c>
      <c r="B22" t="s">
        <v>184</v>
      </c>
    </row>
    <row r="24" spans="1:2" x14ac:dyDescent="0.35">
      <c r="A24" t="s">
        <v>202</v>
      </c>
      <c r="B24" t="s">
        <v>198</v>
      </c>
    </row>
    <row r="25" spans="1:2" x14ac:dyDescent="0.35">
      <c r="A25" t="s">
        <v>203</v>
      </c>
      <c r="B25" t="s">
        <v>198</v>
      </c>
    </row>
    <row r="26" spans="1:2" x14ac:dyDescent="0.35">
      <c r="A26" t="s">
        <v>128</v>
      </c>
      <c r="B26" t="s">
        <v>198</v>
      </c>
    </row>
    <row r="27" spans="1:2" x14ac:dyDescent="0.35">
      <c r="A27" t="s">
        <v>201</v>
      </c>
      <c r="B27" t="s">
        <v>198</v>
      </c>
    </row>
    <row r="28" spans="1:2" x14ac:dyDescent="0.35">
      <c r="A28" t="s">
        <v>204</v>
      </c>
      <c r="B28" t="s">
        <v>198</v>
      </c>
    </row>
    <row r="29" spans="1:2" x14ac:dyDescent="0.35">
      <c r="A29" t="s">
        <v>205</v>
      </c>
      <c r="B29" t="s">
        <v>198</v>
      </c>
    </row>
    <row r="30" spans="1:2" x14ac:dyDescent="0.35">
      <c r="A30" t="s">
        <v>206</v>
      </c>
      <c r="B30" t="s">
        <v>198</v>
      </c>
    </row>
    <row r="31" spans="1:2" x14ac:dyDescent="0.35">
      <c r="A31" t="s">
        <v>207</v>
      </c>
      <c r="B31" t="s">
        <v>198</v>
      </c>
    </row>
    <row r="32" spans="1:2" x14ac:dyDescent="0.35">
      <c r="A32" t="s">
        <v>208</v>
      </c>
      <c r="B32" t="s">
        <v>198</v>
      </c>
    </row>
    <row r="33" spans="1:2" x14ac:dyDescent="0.35">
      <c r="A33" t="s">
        <v>209</v>
      </c>
      <c r="B33" t="s">
        <v>198</v>
      </c>
    </row>
    <row r="35" spans="1:2" x14ac:dyDescent="0.35">
      <c r="A35" t="s">
        <v>202</v>
      </c>
      <c r="B35" t="s">
        <v>186</v>
      </c>
    </row>
    <row r="36" spans="1:2" x14ac:dyDescent="0.35">
      <c r="A36" t="s">
        <v>203</v>
      </c>
      <c r="B36" t="s">
        <v>186</v>
      </c>
    </row>
    <row r="37" spans="1:2" x14ac:dyDescent="0.35">
      <c r="A37" t="s">
        <v>128</v>
      </c>
      <c r="B37" t="s">
        <v>186</v>
      </c>
    </row>
    <row r="38" spans="1:2" x14ac:dyDescent="0.35">
      <c r="A38" t="s">
        <v>201</v>
      </c>
      <c r="B38" t="s">
        <v>186</v>
      </c>
    </row>
    <row r="39" spans="1:2" x14ac:dyDescent="0.35">
      <c r="A39" t="s">
        <v>204</v>
      </c>
      <c r="B39" t="s">
        <v>186</v>
      </c>
    </row>
    <row r="40" spans="1:2" x14ac:dyDescent="0.35">
      <c r="A40" t="s">
        <v>205</v>
      </c>
      <c r="B40" t="s">
        <v>186</v>
      </c>
    </row>
    <row r="41" spans="1:2" x14ac:dyDescent="0.35">
      <c r="A41" t="s">
        <v>206</v>
      </c>
      <c r="B41" t="s">
        <v>186</v>
      </c>
    </row>
    <row r="42" spans="1:2" x14ac:dyDescent="0.35">
      <c r="A42" t="s">
        <v>207</v>
      </c>
      <c r="B42" t="s">
        <v>186</v>
      </c>
    </row>
    <row r="43" spans="1:2" x14ac:dyDescent="0.35">
      <c r="A43" t="s">
        <v>208</v>
      </c>
      <c r="B43" t="s">
        <v>186</v>
      </c>
    </row>
    <row r="44" spans="1:2" x14ac:dyDescent="0.35">
      <c r="A44" t="s">
        <v>209</v>
      </c>
      <c r="B44" t="s">
        <v>186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EDF9-8363-44B7-9C9F-746E80720E28}">
  <sheetPr filterMode="1"/>
  <dimension ref="A1:D1525"/>
  <sheetViews>
    <sheetView workbookViewId="0">
      <pane ySplit="1" topLeftCell="A2" activePane="bottomLeft" state="frozen"/>
      <selection pane="bottomLeft" activeCell="D1010" sqref="D1010"/>
    </sheetView>
  </sheetViews>
  <sheetFormatPr defaultRowHeight="14.5" x14ac:dyDescent="0.35"/>
  <cols>
    <col min="1" max="1" width="24.81640625" bestFit="1" customWidth="1"/>
    <col min="2" max="2" width="12.26953125" bestFit="1" customWidth="1"/>
    <col min="3" max="3" width="6.453125" bestFit="1" customWidth="1"/>
  </cols>
  <sheetData>
    <row r="1" spans="1:4" s="1" customFormat="1" x14ac:dyDescent="0.35">
      <c r="A1" s="1" t="s">
        <v>140</v>
      </c>
      <c r="B1" s="1" t="s">
        <v>181</v>
      </c>
      <c r="C1" s="1" t="s">
        <v>0</v>
      </c>
      <c r="D1" s="1" t="s">
        <v>182</v>
      </c>
    </row>
    <row r="2" spans="1:4" hidden="1" x14ac:dyDescent="0.35">
      <c r="A2" t="s">
        <v>7</v>
      </c>
      <c r="B2" t="s">
        <v>7</v>
      </c>
      <c r="C2" t="s">
        <v>184</v>
      </c>
      <c r="D2">
        <v>1</v>
      </c>
    </row>
    <row r="3" spans="1:4" hidden="1" x14ac:dyDescent="0.35">
      <c r="A3" t="s">
        <v>7</v>
      </c>
      <c r="B3" t="s">
        <v>7</v>
      </c>
      <c r="C3" t="s">
        <v>184</v>
      </c>
      <c r="D3">
        <v>1</v>
      </c>
    </row>
    <row r="4" spans="1:4" hidden="1" x14ac:dyDescent="0.35">
      <c r="A4" t="s">
        <v>7</v>
      </c>
      <c r="B4" t="s">
        <v>7</v>
      </c>
      <c r="C4" t="s">
        <v>184</v>
      </c>
      <c r="D4">
        <v>1</v>
      </c>
    </row>
    <row r="5" spans="1:4" hidden="1" x14ac:dyDescent="0.35">
      <c r="A5" t="s">
        <v>7</v>
      </c>
      <c r="B5" t="s">
        <v>7</v>
      </c>
      <c r="C5" t="s">
        <v>184</v>
      </c>
      <c r="D5">
        <v>1</v>
      </c>
    </row>
    <row r="6" spans="1:4" hidden="1" x14ac:dyDescent="0.35">
      <c r="A6" t="s">
        <v>7</v>
      </c>
      <c r="B6" t="s">
        <v>7</v>
      </c>
      <c r="C6" t="s">
        <v>184</v>
      </c>
      <c r="D6">
        <v>1</v>
      </c>
    </row>
    <row r="7" spans="1:4" hidden="1" x14ac:dyDescent="0.35">
      <c r="A7" t="s">
        <v>7</v>
      </c>
      <c r="B7" t="s">
        <v>7</v>
      </c>
      <c r="C7" t="s">
        <v>184</v>
      </c>
      <c r="D7">
        <v>1</v>
      </c>
    </row>
    <row r="8" spans="1:4" hidden="1" x14ac:dyDescent="0.35">
      <c r="A8" t="s">
        <v>7</v>
      </c>
      <c r="B8" t="s">
        <v>7</v>
      </c>
      <c r="C8" t="s">
        <v>184</v>
      </c>
      <c r="D8">
        <v>1</v>
      </c>
    </row>
    <row r="9" spans="1:4" hidden="1" x14ac:dyDescent="0.35">
      <c r="A9" t="s">
        <v>7</v>
      </c>
      <c r="B9" t="s">
        <v>7</v>
      </c>
      <c r="C9" t="s">
        <v>184</v>
      </c>
      <c r="D9">
        <v>1</v>
      </c>
    </row>
    <row r="10" spans="1:4" hidden="1" x14ac:dyDescent="0.35">
      <c r="A10" t="s">
        <v>7</v>
      </c>
      <c r="B10" t="s">
        <v>7</v>
      </c>
      <c r="C10" t="s">
        <v>184</v>
      </c>
      <c r="D10">
        <v>1</v>
      </c>
    </row>
    <row r="11" spans="1:4" hidden="1" x14ac:dyDescent="0.35">
      <c r="A11" t="s">
        <v>7</v>
      </c>
      <c r="B11" t="s">
        <v>7</v>
      </c>
      <c r="C11" t="s">
        <v>184</v>
      </c>
      <c r="D11">
        <v>1</v>
      </c>
    </row>
    <row r="12" spans="1:4" hidden="1" x14ac:dyDescent="0.35">
      <c r="A12" t="s">
        <v>7</v>
      </c>
      <c r="B12" t="s">
        <v>7</v>
      </c>
      <c r="C12" t="s">
        <v>184</v>
      </c>
      <c r="D12">
        <v>1</v>
      </c>
    </row>
    <row r="13" spans="1:4" hidden="1" x14ac:dyDescent="0.35">
      <c r="A13" t="s">
        <v>7</v>
      </c>
      <c r="B13" t="s">
        <v>7</v>
      </c>
      <c r="C13" t="s">
        <v>184</v>
      </c>
      <c r="D13">
        <v>1</v>
      </c>
    </row>
    <row r="14" spans="1:4" hidden="1" x14ac:dyDescent="0.35">
      <c r="A14" t="s">
        <v>7</v>
      </c>
      <c r="B14" t="s">
        <v>7</v>
      </c>
      <c r="C14" t="s">
        <v>184</v>
      </c>
      <c r="D14">
        <v>1</v>
      </c>
    </row>
    <row r="15" spans="1:4" hidden="1" x14ac:dyDescent="0.35">
      <c r="A15" t="s">
        <v>7</v>
      </c>
      <c r="B15" t="s">
        <v>7</v>
      </c>
      <c r="C15" t="s">
        <v>184</v>
      </c>
      <c r="D15">
        <v>1</v>
      </c>
    </row>
    <row r="16" spans="1:4" hidden="1" x14ac:dyDescent="0.35">
      <c r="A16" t="s">
        <v>7</v>
      </c>
      <c r="B16" t="s">
        <v>7</v>
      </c>
      <c r="C16" t="s">
        <v>184</v>
      </c>
      <c r="D16">
        <v>1</v>
      </c>
    </row>
    <row r="17" spans="1:4" hidden="1" x14ac:dyDescent="0.35">
      <c r="A17" t="s">
        <v>7</v>
      </c>
      <c r="B17" t="s">
        <v>7</v>
      </c>
      <c r="C17" t="s">
        <v>184</v>
      </c>
      <c r="D17">
        <v>1</v>
      </c>
    </row>
    <row r="18" spans="1:4" hidden="1" x14ac:dyDescent="0.35">
      <c r="A18" t="s">
        <v>7</v>
      </c>
      <c r="B18" t="s">
        <v>7</v>
      </c>
      <c r="C18" t="s">
        <v>184</v>
      </c>
      <c r="D18">
        <v>1</v>
      </c>
    </row>
    <row r="19" spans="1:4" hidden="1" x14ac:dyDescent="0.35">
      <c r="A19" t="s">
        <v>7</v>
      </c>
      <c r="B19" t="s">
        <v>7</v>
      </c>
      <c r="C19" t="s">
        <v>184</v>
      </c>
      <c r="D19">
        <v>1</v>
      </c>
    </row>
    <row r="20" spans="1:4" hidden="1" x14ac:dyDescent="0.35">
      <c r="A20" t="s">
        <v>7</v>
      </c>
      <c r="B20" t="s">
        <v>7</v>
      </c>
      <c r="C20" t="s">
        <v>184</v>
      </c>
      <c r="D20">
        <v>1</v>
      </c>
    </row>
    <row r="21" spans="1:4" hidden="1" x14ac:dyDescent="0.35">
      <c r="A21" t="s">
        <v>7</v>
      </c>
      <c r="B21" t="s">
        <v>7</v>
      </c>
      <c r="C21" t="s">
        <v>184</v>
      </c>
      <c r="D21">
        <v>1</v>
      </c>
    </row>
    <row r="22" spans="1:4" hidden="1" x14ac:dyDescent="0.35">
      <c r="A22" t="s">
        <v>7</v>
      </c>
      <c r="B22" t="s">
        <v>7</v>
      </c>
      <c r="C22" t="s">
        <v>184</v>
      </c>
      <c r="D22">
        <v>1</v>
      </c>
    </row>
    <row r="23" spans="1:4" hidden="1" x14ac:dyDescent="0.35">
      <c r="A23" t="s">
        <v>7</v>
      </c>
      <c r="B23" t="s">
        <v>7</v>
      </c>
      <c r="C23" t="s">
        <v>184</v>
      </c>
      <c r="D23">
        <v>1</v>
      </c>
    </row>
    <row r="24" spans="1:4" hidden="1" x14ac:dyDescent="0.35">
      <c r="A24" t="s">
        <v>7</v>
      </c>
      <c r="B24" t="s">
        <v>7</v>
      </c>
      <c r="C24" t="s">
        <v>184</v>
      </c>
      <c r="D24">
        <v>1</v>
      </c>
    </row>
    <row r="25" spans="1:4" hidden="1" x14ac:dyDescent="0.35">
      <c r="A25" t="s">
        <v>7</v>
      </c>
      <c r="B25" t="s">
        <v>7</v>
      </c>
      <c r="C25" t="s">
        <v>184</v>
      </c>
      <c r="D25">
        <v>1</v>
      </c>
    </row>
    <row r="26" spans="1:4" hidden="1" x14ac:dyDescent="0.35">
      <c r="A26" t="s">
        <v>7</v>
      </c>
      <c r="B26" t="s">
        <v>7</v>
      </c>
      <c r="C26" t="s">
        <v>184</v>
      </c>
      <c r="D26">
        <v>1</v>
      </c>
    </row>
    <row r="27" spans="1:4" hidden="1" x14ac:dyDescent="0.35">
      <c r="A27" t="s">
        <v>7</v>
      </c>
      <c r="B27" t="s">
        <v>7</v>
      </c>
      <c r="C27" t="s">
        <v>184</v>
      </c>
      <c r="D27">
        <v>1</v>
      </c>
    </row>
    <row r="28" spans="1:4" hidden="1" x14ac:dyDescent="0.35">
      <c r="A28" t="s">
        <v>7</v>
      </c>
      <c r="B28" t="s">
        <v>7</v>
      </c>
      <c r="C28" t="s">
        <v>184</v>
      </c>
      <c r="D28">
        <v>1</v>
      </c>
    </row>
    <row r="29" spans="1:4" hidden="1" x14ac:dyDescent="0.35">
      <c r="A29" t="s">
        <v>7</v>
      </c>
      <c r="B29" t="s">
        <v>7</v>
      </c>
      <c r="C29" t="s">
        <v>184</v>
      </c>
      <c r="D29">
        <v>1</v>
      </c>
    </row>
    <row r="30" spans="1:4" hidden="1" x14ac:dyDescent="0.35">
      <c r="A30" t="s">
        <v>7</v>
      </c>
      <c r="B30" t="s">
        <v>7</v>
      </c>
      <c r="C30" t="s">
        <v>184</v>
      </c>
      <c r="D30">
        <v>1</v>
      </c>
    </row>
    <row r="31" spans="1:4" hidden="1" x14ac:dyDescent="0.35">
      <c r="A31" t="s">
        <v>7</v>
      </c>
      <c r="B31" t="s">
        <v>7</v>
      </c>
      <c r="C31" t="s">
        <v>184</v>
      </c>
      <c r="D31">
        <v>1</v>
      </c>
    </row>
    <row r="32" spans="1:4" hidden="1" x14ac:dyDescent="0.35">
      <c r="A32" t="s">
        <v>7</v>
      </c>
      <c r="B32" t="s">
        <v>7</v>
      </c>
      <c r="C32" t="s">
        <v>184</v>
      </c>
      <c r="D32">
        <v>1</v>
      </c>
    </row>
    <row r="33" spans="1:4" hidden="1" x14ac:dyDescent="0.35">
      <c r="A33" t="s">
        <v>7</v>
      </c>
      <c r="B33" t="s">
        <v>7</v>
      </c>
      <c r="C33" t="s">
        <v>184</v>
      </c>
      <c r="D33">
        <v>1</v>
      </c>
    </row>
    <row r="34" spans="1:4" hidden="1" x14ac:dyDescent="0.35">
      <c r="A34" t="s">
        <v>7</v>
      </c>
      <c r="B34" t="s">
        <v>7</v>
      </c>
      <c r="C34" t="s">
        <v>184</v>
      </c>
      <c r="D34">
        <v>1</v>
      </c>
    </row>
    <row r="35" spans="1:4" hidden="1" x14ac:dyDescent="0.35">
      <c r="A35" t="s">
        <v>7</v>
      </c>
      <c r="B35" t="s">
        <v>7</v>
      </c>
      <c r="C35" t="s">
        <v>184</v>
      </c>
      <c r="D35">
        <v>1</v>
      </c>
    </row>
    <row r="36" spans="1:4" hidden="1" x14ac:dyDescent="0.35">
      <c r="A36" t="s">
        <v>7</v>
      </c>
      <c r="B36" t="s">
        <v>7</v>
      </c>
      <c r="C36" t="s">
        <v>184</v>
      </c>
      <c r="D36">
        <v>1</v>
      </c>
    </row>
    <row r="37" spans="1:4" hidden="1" x14ac:dyDescent="0.35">
      <c r="A37" t="s">
        <v>7</v>
      </c>
      <c r="B37" t="s">
        <v>7</v>
      </c>
      <c r="C37" t="s">
        <v>184</v>
      </c>
      <c r="D37">
        <v>1</v>
      </c>
    </row>
    <row r="38" spans="1:4" hidden="1" x14ac:dyDescent="0.35">
      <c r="A38" t="s">
        <v>7</v>
      </c>
      <c r="B38" t="s">
        <v>7</v>
      </c>
      <c r="C38" t="s">
        <v>184</v>
      </c>
      <c r="D38">
        <v>1</v>
      </c>
    </row>
    <row r="39" spans="1:4" hidden="1" x14ac:dyDescent="0.35">
      <c r="A39" t="s">
        <v>7</v>
      </c>
      <c r="B39" t="s">
        <v>7</v>
      </c>
      <c r="C39" t="s">
        <v>184</v>
      </c>
      <c r="D39">
        <v>1</v>
      </c>
    </row>
    <row r="40" spans="1:4" hidden="1" x14ac:dyDescent="0.35">
      <c r="A40" t="s">
        <v>7</v>
      </c>
      <c r="B40" t="s">
        <v>7</v>
      </c>
      <c r="C40" t="s">
        <v>184</v>
      </c>
      <c r="D40">
        <v>1</v>
      </c>
    </row>
    <row r="41" spans="1:4" hidden="1" x14ac:dyDescent="0.35">
      <c r="A41" t="s">
        <v>7</v>
      </c>
      <c r="B41" t="s">
        <v>7</v>
      </c>
      <c r="C41" t="s">
        <v>184</v>
      </c>
      <c r="D41">
        <v>1</v>
      </c>
    </row>
    <row r="42" spans="1:4" hidden="1" x14ac:dyDescent="0.35">
      <c r="A42" t="s">
        <v>6</v>
      </c>
      <c r="B42" t="s">
        <v>6</v>
      </c>
      <c r="C42" t="s">
        <v>184</v>
      </c>
      <c r="D42">
        <v>1</v>
      </c>
    </row>
    <row r="43" spans="1:4" hidden="1" x14ac:dyDescent="0.35">
      <c r="A43" t="s">
        <v>126</v>
      </c>
      <c r="B43" t="s">
        <v>6</v>
      </c>
      <c r="C43" t="s">
        <v>184</v>
      </c>
      <c r="D43">
        <v>1</v>
      </c>
    </row>
    <row r="44" spans="1:4" hidden="1" x14ac:dyDescent="0.35">
      <c r="A44" t="s">
        <v>126</v>
      </c>
      <c r="B44" t="s">
        <v>6</v>
      </c>
      <c r="C44" t="s">
        <v>184</v>
      </c>
      <c r="D44">
        <v>1</v>
      </c>
    </row>
    <row r="45" spans="1:4" hidden="1" x14ac:dyDescent="0.35">
      <c r="A45" t="s">
        <v>6</v>
      </c>
      <c r="B45" t="s">
        <v>6</v>
      </c>
      <c r="C45" t="s">
        <v>184</v>
      </c>
      <c r="D45">
        <v>1</v>
      </c>
    </row>
    <row r="46" spans="1:4" hidden="1" x14ac:dyDescent="0.35">
      <c r="A46" t="s">
        <v>6</v>
      </c>
      <c r="B46" t="s">
        <v>6</v>
      </c>
      <c r="C46" t="s">
        <v>184</v>
      </c>
      <c r="D46">
        <v>1</v>
      </c>
    </row>
    <row r="47" spans="1:4" hidden="1" x14ac:dyDescent="0.35">
      <c r="A47" t="s">
        <v>126</v>
      </c>
      <c r="B47" t="s">
        <v>6</v>
      </c>
      <c r="C47" t="s">
        <v>184</v>
      </c>
      <c r="D47">
        <v>1</v>
      </c>
    </row>
    <row r="48" spans="1:4" hidden="1" x14ac:dyDescent="0.35">
      <c r="A48" t="s">
        <v>126</v>
      </c>
      <c r="B48" t="s">
        <v>6</v>
      </c>
      <c r="C48" t="s">
        <v>184</v>
      </c>
      <c r="D48">
        <v>1</v>
      </c>
    </row>
    <row r="49" spans="1:4" hidden="1" x14ac:dyDescent="0.35">
      <c r="A49" t="s">
        <v>6</v>
      </c>
      <c r="B49" t="s">
        <v>6</v>
      </c>
      <c r="C49" t="s">
        <v>184</v>
      </c>
      <c r="D49">
        <v>1</v>
      </c>
    </row>
    <row r="50" spans="1:4" hidden="1" x14ac:dyDescent="0.35">
      <c r="A50" t="s">
        <v>126</v>
      </c>
      <c r="B50" t="s">
        <v>6</v>
      </c>
      <c r="C50" t="s">
        <v>184</v>
      </c>
      <c r="D50">
        <v>1</v>
      </c>
    </row>
    <row r="51" spans="1:4" hidden="1" x14ac:dyDescent="0.35">
      <c r="A51" t="s">
        <v>6</v>
      </c>
      <c r="B51" t="s">
        <v>6</v>
      </c>
      <c r="C51" t="s">
        <v>184</v>
      </c>
      <c r="D51">
        <v>1</v>
      </c>
    </row>
    <row r="52" spans="1:4" hidden="1" x14ac:dyDescent="0.35">
      <c r="A52" t="s">
        <v>6</v>
      </c>
      <c r="B52" t="s">
        <v>6</v>
      </c>
      <c r="C52" t="s">
        <v>184</v>
      </c>
      <c r="D52">
        <v>1</v>
      </c>
    </row>
    <row r="53" spans="1:4" hidden="1" x14ac:dyDescent="0.35">
      <c r="A53" t="s">
        <v>6</v>
      </c>
      <c r="B53" t="s">
        <v>6</v>
      </c>
      <c r="C53" t="s">
        <v>184</v>
      </c>
      <c r="D53">
        <v>1</v>
      </c>
    </row>
    <row r="54" spans="1:4" hidden="1" x14ac:dyDescent="0.35">
      <c r="A54" t="s">
        <v>126</v>
      </c>
      <c r="B54" t="s">
        <v>6</v>
      </c>
      <c r="C54" t="s">
        <v>184</v>
      </c>
      <c r="D54">
        <v>1</v>
      </c>
    </row>
    <row r="55" spans="1:4" hidden="1" x14ac:dyDescent="0.35">
      <c r="A55" t="s">
        <v>126</v>
      </c>
      <c r="B55" t="s">
        <v>6</v>
      </c>
      <c r="C55" t="s">
        <v>184</v>
      </c>
      <c r="D55">
        <v>1</v>
      </c>
    </row>
    <row r="56" spans="1:4" hidden="1" x14ac:dyDescent="0.35">
      <c r="A56" t="s">
        <v>6</v>
      </c>
      <c r="B56" t="s">
        <v>6</v>
      </c>
      <c r="C56" t="s">
        <v>184</v>
      </c>
      <c r="D56">
        <v>1</v>
      </c>
    </row>
    <row r="57" spans="1:4" hidden="1" x14ac:dyDescent="0.35">
      <c r="A57" t="s">
        <v>6</v>
      </c>
      <c r="B57" t="s">
        <v>6</v>
      </c>
      <c r="C57" t="s">
        <v>184</v>
      </c>
      <c r="D57">
        <v>1</v>
      </c>
    </row>
    <row r="58" spans="1:4" hidden="1" x14ac:dyDescent="0.35">
      <c r="A58" t="s">
        <v>6</v>
      </c>
      <c r="B58" t="s">
        <v>6</v>
      </c>
      <c r="C58" t="s">
        <v>184</v>
      </c>
      <c r="D58">
        <v>1</v>
      </c>
    </row>
    <row r="59" spans="1:4" hidden="1" x14ac:dyDescent="0.35">
      <c r="A59" t="s">
        <v>6</v>
      </c>
      <c r="B59" t="s">
        <v>6</v>
      </c>
      <c r="C59" t="s">
        <v>184</v>
      </c>
      <c r="D59">
        <v>1</v>
      </c>
    </row>
    <row r="60" spans="1:4" hidden="1" x14ac:dyDescent="0.35">
      <c r="A60" t="s">
        <v>6</v>
      </c>
      <c r="B60" t="s">
        <v>6</v>
      </c>
      <c r="C60" t="s">
        <v>184</v>
      </c>
      <c r="D60">
        <v>1</v>
      </c>
    </row>
    <row r="61" spans="1:4" hidden="1" x14ac:dyDescent="0.35">
      <c r="A61" t="s">
        <v>6</v>
      </c>
      <c r="B61" t="s">
        <v>6</v>
      </c>
      <c r="C61" t="s">
        <v>184</v>
      </c>
      <c r="D61">
        <v>1</v>
      </c>
    </row>
    <row r="62" spans="1:4" hidden="1" x14ac:dyDescent="0.35">
      <c r="A62" t="s">
        <v>6</v>
      </c>
      <c r="B62" t="s">
        <v>6</v>
      </c>
      <c r="C62" t="s">
        <v>184</v>
      </c>
      <c r="D62">
        <v>1</v>
      </c>
    </row>
    <row r="63" spans="1:4" hidden="1" x14ac:dyDescent="0.35">
      <c r="A63" t="s">
        <v>6</v>
      </c>
      <c r="B63" t="s">
        <v>6</v>
      </c>
      <c r="C63" t="s">
        <v>184</v>
      </c>
      <c r="D63">
        <v>1</v>
      </c>
    </row>
    <row r="64" spans="1:4" hidden="1" x14ac:dyDescent="0.35">
      <c r="A64" t="s">
        <v>6</v>
      </c>
      <c r="B64" t="s">
        <v>6</v>
      </c>
      <c r="C64" t="s">
        <v>184</v>
      </c>
      <c r="D64">
        <v>1</v>
      </c>
    </row>
    <row r="65" spans="1:4" hidden="1" x14ac:dyDescent="0.35">
      <c r="A65" t="s">
        <v>6</v>
      </c>
      <c r="B65" t="s">
        <v>6</v>
      </c>
      <c r="C65" t="s">
        <v>184</v>
      </c>
      <c r="D65">
        <v>1</v>
      </c>
    </row>
    <row r="66" spans="1:4" hidden="1" x14ac:dyDescent="0.35">
      <c r="A66" t="s">
        <v>6</v>
      </c>
      <c r="B66" t="s">
        <v>6</v>
      </c>
      <c r="C66" t="s">
        <v>184</v>
      </c>
      <c r="D66">
        <v>1</v>
      </c>
    </row>
    <row r="67" spans="1:4" hidden="1" x14ac:dyDescent="0.35">
      <c r="A67" t="s">
        <v>126</v>
      </c>
      <c r="B67" t="s">
        <v>6</v>
      </c>
      <c r="C67" t="s">
        <v>184</v>
      </c>
      <c r="D67">
        <v>1</v>
      </c>
    </row>
    <row r="68" spans="1:4" hidden="1" x14ac:dyDescent="0.35">
      <c r="A68" t="s">
        <v>126</v>
      </c>
      <c r="B68" t="s">
        <v>6</v>
      </c>
      <c r="C68" t="s">
        <v>184</v>
      </c>
      <c r="D68">
        <v>1</v>
      </c>
    </row>
    <row r="69" spans="1:4" hidden="1" x14ac:dyDescent="0.35">
      <c r="A69" t="s">
        <v>126</v>
      </c>
      <c r="B69" t="s">
        <v>6</v>
      </c>
      <c r="C69" t="s">
        <v>184</v>
      </c>
      <c r="D69">
        <v>1</v>
      </c>
    </row>
    <row r="70" spans="1:4" hidden="1" x14ac:dyDescent="0.35">
      <c r="A70" t="s">
        <v>6</v>
      </c>
      <c r="B70" t="s">
        <v>6</v>
      </c>
      <c r="C70" t="s">
        <v>184</v>
      </c>
      <c r="D70">
        <v>1</v>
      </c>
    </row>
    <row r="71" spans="1:4" hidden="1" x14ac:dyDescent="0.35">
      <c r="A71" t="s">
        <v>6</v>
      </c>
      <c r="B71" t="s">
        <v>6</v>
      </c>
      <c r="C71" t="s">
        <v>184</v>
      </c>
      <c r="D71">
        <v>1</v>
      </c>
    </row>
    <row r="72" spans="1:4" hidden="1" x14ac:dyDescent="0.35">
      <c r="A72" t="s">
        <v>6</v>
      </c>
      <c r="B72" t="s">
        <v>6</v>
      </c>
      <c r="C72" t="s">
        <v>184</v>
      </c>
      <c r="D72">
        <v>1</v>
      </c>
    </row>
    <row r="73" spans="1:4" hidden="1" x14ac:dyDescent="0.35">
      <c r="A73" t="s">
        <v>6</v>
      </c>
      <c r="B73" t="s">
        <v>6</v>
      </c>
      <c r="C73" t="s">
        <v>184</v>
      </c>
      <c r="D73">
        <v>1</v>
      </c>
    </row>
    <row r="74" spans="1:4" hidden="1" x14ac:dyDescent="0.35">
      <c r="A74" t="s">
        <v>6</v>
      </c>
      <c r="B74" t="s">
        <v>6</v>
      </c>
      <c r="C74" t="s">
        <v>184</v>
      </c>
      <c r="D74">
        <v>1</v>
      </c>
    </row>
    <row r="75" spans="1:4" hidden="1" x14ac:dyDescent="0.35">
      <c r="A75" t="s">
        <v>6</v>
      </c>
      <c r="B75" t="s">
        <v>6</v>
      </c>
      <c r="C75" t="s">
        <v>184</v>
      </c>
      <c r="D75">
        <v>1</v>
      </c>
    </row>
    <row r="76" spans="1:4" hidden="1" x14ac:dyDescent="0.35">
      <c r="A76" t="s">
        <v>126</v>
      </c>
      <c r="B76" t="s">
        <v>6</v>
      </c>
      <c r="C76" t="s">
        <v>184</v>
      </c>
      <c r="D76">
        <v>1</v>
      </c>
    </row>
    <row r="77" spans="1:4" hidden="1" x14ac:dyDescent="0.35">
      <c r="A77" t="s">
        <v>6</v>
      </c>
      <c r="B77" t="s">
        <v>6</v>
      </c>
      <c r="C77" t="s">
        <v>184</v>
      </c>
      <c r="D77">
        <v>1</v>
      </c>
    </row>
    <row r="78" spans="1:4" hidden="1" x14ac:dyDescent="0.35">
      <c r="A78" t="s">
        <v>6</v>
      </c>
      <c r="B78" t="s">
        <v>6</v>
      </c>
      <c r="C78" t="s">
        <v>184</v>
      </c>
      <c r="D78">
        <v>1</v>
      </c>
    </row>
    <row r="79" spans="1:4" hidden="1" x14ac:dyDescent="0.35">
      <c r="A79" t="s">
        <v>126</v>
      </c>
      <c r="B79" t="s">
        <v>6</v>
      </c>
      <c r="C79" t="s">
        <v>184</v>
      </c>
      <c r="D79">
        <v>1</v>
      </c>
    </row>
    <row r="80" spans="1:4" hidden="1" x14ac:dyDescent="0.35">
      <c r="A80" t="s">
        <v>126</v>
      </c>
      <c r="B80" t="s">
        <v>6</v>
      </c>
      <c r="C80" t="s">
        <v>184</v>
      </c>
      <c r="D80">
        <v>1</v>
      </c>
    </row>
    <row r="81" spans="1:4" hidden="1" x14ac:dyDescent="0.35">
      <c r="A81" t="s">
        <v>126</v>
      </c>
      <c r="B81" t="s">
        <v>6</v>
      </c>
      <c r="C81" t="s">
        <v>184</v>
      </c>
      <c r="D81">
        <v>1</v>
      </c>
    </row>
    <row r="82" spans="1:4" hidden="1" x14ac:dyDescent="0.35">
      <c r="A82" t="s">
        <v>126</v>
      </c>
      <c r="B82" t="s">
        <v>6</v>
      </c>
      <c r="C82" t="s">
        <v>184</v>
      </c>
      <c r="D82">
        <v>1</v>
      </c>
    </row>
    <row r="83" spans="1:4" hidden="1" x14ac:dyDescent="0.35">
      <c r="A83" t="s">
        <v>6</v>
      </c>
      <c r="B83" t="s">
        <v>6</v>
      </c>
      <c r="C83" t="s">
        <v>184</v>
      </c>
      <c r="D83">
        <v>1</v>
      </c>
    </row>
    <row r="84" spans="1:4" hidden="1" x14ac:dyDescent="0.35">
      <c r="A84" t="s">
        <v>126</v>
      </c>
      <c r="B84" t="s">
        <v>6</v>
      </c>
      <c r="C84" t="s">
        <v>184</v>
      </c>
      <c r="D84">
        <v>1</v>
      </c>
    </row>
    <row r="85" spans="1:4" hidden="1" x14ac:dyDescent="0.35">
      <c r="A85" t="s">
        <v>6</v>
      </c>
      <c r="B85" t="s">
        <v>6</v>
      </c>
      <c r="C85" t="s">
        <v>184</v>
      </c>
      <c r="D85">
        <v>1</v>
      </c>
    </row>
    <row r="86" spans="1:4" hidden="1" x14ac:dyDescent="0.35">
      <c r="A86" t="s">
        <v>6</v>
      </c>
      <c r="B86" t="s">
        <v>6</v>
      </c>
      <c r="C86" t="s">
        <v>184</v>
      </c>
      <c r="D86">
        <v>1</v>
      </c>
    </row>
    <row r="87" spans="1:4" hidden="1" x14ac:dyDescent="0.35">
      <c r="A87" t="s">
        <v>6</v>
      </c>
      <c r="B87" t="s">
        <v>6</v>
      </c>
      <c r="C87" t="s">
        <v>184</v>
      </c>
      <c r="D87">
        <v>1</v>
      </c>
    </row>
    <row r="88" spans="1:4" hidden="1" x14ac:dyDescent="0.35">
      <c r="A88" t="s">
        <v>126</v>
      </c>
      <c r="B88" t="s">
        <v>6</v>
      </c>
      <c r="C88" t="s">
        <v>184</v>
      </c>
      <c r="D88">
        <v>1</v>
      </c>
    </row>
    <row r="89" spans="1:4" hidden="1" x14ac:dyDescent="0.35">
      <c r="A89" t="s">
        <v>126</v>
      </c>
      <c r="B89" t="s">
        <v>6</v>
      </c>
      <c r="C89" t="s">
        <v>184</v>
      </c>
      <c r="D89">
        <v>1</v>
      </c>
    </row>
    <row r="90" spans="1:4" hidden="1" x14ac:dyDescent="0.35">
      <c r="A90" t="s">
        <v>50</v>
      </c>
      <c r="B90" t="s">
        <v>5</v>
      </c>
      <c r="C90" t="s">
        <v>184</v>
      </c>
      <c r="D90">
        <v>1</v>
      </c>
    </row>
    <row r="91" spans="1:4" hidden="1" x14ac:dyDescent="0.35">
      <c r="A91" t="s">
        <v>50</v>
      </c>
      <c r="B91" t="s">
        <v>5</v>
      </c>
      <c r="C91" t="s">
        <v>184</v>
      </c>
      <c r="D91">
        <v>1</v>
      </c>
    </row>
    <row r="92" spans="1:4" hidden="1" x14ac:dyDescent="0.35">
      <c r="A92" t="s">
        <v>50</v>
      </c>
      <c r="B92" t="s">
        <v>5</v>
      </c>
      <c r="C92" t="s">
        <v>184</v>
      </c>
      <c r="D92">
        <v>1</v>
      </c>
    </row>
    <row r="93" spans="1:4" hidden="1" x14ac:dyDescent="0.35">
      <c r="A93" t="s">
        <v>50</v>
      </c>
      <c r="B93" t="s">
        <v>5</v>
      </c>
      <c r="C93" t="s">
        <v>184</v>
      </c>
      <c r="D93">
        <v>1</v>
      </c>
    </row>
    <row r="94" spans="1:4" hidden="1" x14ac:dyDescent="0.35">
      <c r="A94" t="s">
        <v>50</v>
      </c>
      <c r="B94" t="s">
        <v>5</v>
      </c>
      <c r="C94" t="s">
        <v>184</v>
      </c>
      <c r="D94">
        <v>1</v>
      </c>
    </row>
    <row r="95" spans="1:4" hidden="1" x14ac:dyDescent="0.35">
      <c r="A95" t="s">
        <v>128</v>
      </c>
      <c r="B95" t="s">
        <v>5</v>
      </c>
      <c r="C95" t="s">
        <v>184</v>
      </c>
      <c r="D95">
        <v>1</v>
      </c>
    </row>
    <row r="96" spans="1:4" hidden="1" x14ac:dyDescent="0.35">
      <c r="A96" t="s">
        <v>128</v>
      </c>
      <c r="B96" t="s">
        <v>5</v>
      </c>
      <c r="C96" t="s">
        <v>184</v>
      </c>
      <c r="D96">
        <v>1</v>
      </c>
    </row>
    <row r="97" spans="1:4" hidden="1" x14ac:dyDescent="0.35">
      <c r="A97" t="s">
        <v>50</v>
      </c>
      <c r="B97" t="s">
        <v>5</v>
      </c>
      <c r="C97" t="s">
        <v>184</v>
      </c>
      <c r="D97">
        <v>1</v>
      </c>
    </row>
    <row r="98" spans="1:4" hidden="1" x14ac:dyDescent="0.35">
      <c r="A98" t="s">
        <v>50</v>
      </c>
      <c r="B98" t="s">
        <v>5</v>
      </c>
      <c r="C98" t="s">
        <v>184</v>
      </c>
      <c r="D98">
        <v>1</v>
      </c>
    </row>
    <row r="99" spans="1:4" hidden="1" x14ac:dyDescent="0.35">
      <c r="A99" t="s">
        <v>50</v>
      </c>
      <c r="B99" t="s">
        <v>5</v>
      </c>
      <c r="C99" t="s">
        <v>184</v>
      </c>
      <c r="D99">
        <v>1</v>
      </c>
    </row>
    <row r="100" spans="1:4" hidden="1" x14ac:dyDescent="0.35">
      <c r="A100" t="s">
        <v>54</v>
      </c>
      <c r="B100" t="s">
        <v>5</v>
      </c>
      <c r="C100" t="s">
        <v>184</v>
      </c>
      <c r="D100">
        <v>1</v>
      </c>
    </row>
    <row r="101" spans="1:4" hidden="1" x14ac:dyDescent="0.35">
      <c r="A101" t="s">
        <v>57</v>
      </c>
      <c r="B101" t="s">
        <v>5</v>
      </c>
      <c r="C101" t="s">
        <v>184</v>
      </c>
      <c r="D101">
        <v>1</v>
      </c>
    </row>
    <row r="102" spans="1:4" hidden="1" x14ac:dyDescent="0.35">
      <c r="A102" t="s">
        <v>67</v>
      </c>
      <c r="B102" t="s">
        <v>5</v>
      </c>
      <c r="C102" t="s">
        <v>184</v>
      </c>
      <c r="D102">
        <v>1</v>
      </c>
    </row>
    <row r="103" spans="1:4" hidden="1" x14ac:dyDescent="0.35">
      <c r="A103" t="s">
        <v>95</v>
      </c>
      <c r="B103" t="s">
        <v>5</v>
      </c>
      <c r="C103" t="s">
        <v>184</v>
      </c>
      <c r="D103">
        <v>1</v>
      </c>
    </row>
    <row r="104" spans="1:4" hidden="1" x14ac:dyDescent="0.35">
      <c r="A104" t="s">
        <v>106</v>
      </c>
      <c r="B104" t="s">
        <v>5</v>
      </c>
      <c r="C104" t="s">
        <v>184</v>
      </c>
      <c r="D104">
        <v>1</v>
      </c>
    </row>
    <row r="105" spans="1:4" hidden="1" x14ac:dyDescent="0.35">
      <c r="A105" t="s">
        <v>128</v>
      </c>
      <c r="B105" t="s">
        <v>5</v>
      </c>
      <c r="C105" t="s">
        <v>184</v>
      </c>
      <c r="D105">
        <v>1</v>
      </c>
    </row>
    <row r="106" spans="1:4" hidden="1" x14ac:dyDescent="0.35">
      <c r="A106" t="s">
        <v>128</v>
      </c>
      <c r="B106" t="s">
        <v>5</v>
      </c>
      <c r="C106" t="s">
        <v>184</v>
      </c>
      <c r="D106">
        <v>1</v>
      </c>
    </row>
    <row r="107" spans="1:4" hidden="1" x14ac:dyDescent="0.35">
      <c r="A107" t="s">
        <v>129</v>
      </c>
      <c r="B107" t="s">
        <v>5</v>
      </c>
      <c r="C107" t="s">
        <v>184</v>
      </c>
      <c r="D107">
        <v>1</v>
      </c>
    </row>
    <row r="108" spans="1:4" hidden="1" x14ac:dyDescent="0.35">
      <c r="A108" t="s">
        <v>50</v>
      </c>
      <c r="B108" t="s">
        <v>5</v>
      </c>
      <c r="C108" t="s">
        <v>184</v>
      </c>
      <c r="D108">
        <v>1</v>
      </c>
    </row>
    <row r="109" spans="1:4" hidden="1" x14ac:dyDescent="0.35">
      <c r="A109" t="s">
        <v>97</v>
      </c>
      <c r="B109" t="s">
        <v>5</v>
      </c>
      <c r="C109" t="s">
        <v>184</v>
      </c>
      <c r="D109">
        <v>1</v>
      </c>
    </row>
    <row r="110" spans="1:4" hidden="1" x14ac:dyDescent="0.35">
      <c r="A110" t="s">
        <v>128</v>
      </c>
      <c r="B110" t="s">
        <v>5</v>
      </c>
      <c r="C110" t="s">
        <v>184</v>
      </c>
      <c r="D110">
        <v>1</v>
      </c>
    </row>
    <row r="111" spans="1:4" hidden="1" x14ac:dyDescent="0.35">
      <c r="A111" t="s">
        <v>141</v>
      </c>
      <c r="B111" t="s">
        <v>5</v>
      </c>
      <c r="C111" t="s">
        <v>184</v>
      </c>
      <c r="D111">
        <v>1</v>
      </c>
    </row>
    <row r="112" spans="1:4" hidden="1" x14ac:dyDescent="0.35">
      <c r="A112" t="s">
        <v>50</v>
      </c>
      <c r="B112" t="s">
        <v>5</v>
      </c>
      <c r="C112" t="s">
        <v>184</v>
      </c>
      <c r="D112">
        <v>1</v>
      </c>
    </row>
    <row r="113" spans="1:4" hidden="1" x14ac:dyDescent="0.35">
      <c r="A113" t="s">
        <v>50</v>
      </c>
      <c r="B113" t="s">
        <v>5</v>
      </c>
      <c r="C113" t="s">
        <v>184</v>
      </c>
      <c r="D113">
        <v>1</v>
      </c>
    </row>
    <row r="114" spans="1:4" hidden="1" x14ac:dyDescent="0.35">
      <c r="A114" t="s">
        <v>50</v>
      </c>
      <c r="B114" t="s">
        <v>5</v>
      </c>
      <c r="C114" t="s">
        <v>184</v>
      </c>
      <c r="D114">
        <v>1</v>
      </c>
    </row>
    <row r="115" spans="1:4" hidden="1" x14ac:dyDescent="0.35">
      <c r="A115" t="s">
        <v>50</v>
      </c>
      <c r="B115" t="s">
        <v>5</v>
      </c>
      <c r="C115" t="s">
        <v>184</v>
      </c>
      <c r="D115">
        <v>1</v>
      </c>
    </row>
    <row r="116" spans="1:4" hidden="1" x14ac:dyDescent="0.35">
      <c r="A116" t="s">
        <v>50</v>
      </c>
      <c r="B116" t="s">
        <v>5</v>
      </c>
      <c r="C116" t="s">
        <v>184</v>
      </c>
      <c r="D116">
        <v>1</v>
      </c>
    </row>
    <row r="117" spans="1:4" hidden="1" x14ac:dyDescent="0.35">
      <c r="A117" t="s">
        <v>50</v>
      </c>
      <c r="B117" t="s">
        <v>5</v>
      </c>
      <c r="C117" t="s">
        <v>184</v>
      </c>
      <c r="D117">
        <v>1</v>
      </c>
    </row>
    <row r="118" spans="1:4" hidden="1" x14ac:dyDescent="0.35">
      <c r="A118" t="s">
        <v>50</v>
      </c>
      <c r="B118" t="s">
        <v>5</v>
      </c>
      <c r="C118" t="s">
        <v>184</v>
      </c>
      <c r="D118">
        <v>1</v>
      </c>
    </row>
    <row r="119" spans="1:4" hidden="1" x14ac:dyDescent="0.35">
      <c r="A119" t="s">
        <v>50</v>
      </c>
      <c r="B119" t="s">
        <v>5</v>
      </c>
      <c r="C119" t="s">
        <v>184</v>
      </c>
      <c r="D119">
        <v>1</v>
      </c>
    </row>
    <row r="120" spans="1:4" hidden="1" x14ac:dyDescent="0.35">
      <c r="A120" t="s">
        <v>53</v>
      </c>
      <c r="B120" t="s">
        <v>5</v>
      </c>
      <c r="C120" t="s">
        <v>184</v>
      </c>
      <c r="D120">
        <v>1</v>
      </c>
    </row>
    <row r="121" spans="1:4" hidden="1" x14ac:dyDescent="0.35">
      <c r="A121" t="s">
        <v>54</v>
      </c>
      <c r="B121" t="s">
        <v>5</v>
      </c>
      <c r="C121" t="s">
        <v>184</v>
      </c>
      <c r="D121">
        <v>1</v>
      </c>
    </row>
    <row r="122" spans="1:4" hidden="1" x14ac:dyDescent="0.35">
      <c r="A122" t="s">
        <v>57</v>
      </c>
      <c r="B122" t="s">
        <v>5</v>
      </c>
      <c r="C122" t="s">
        <v>184</v>
      </c>
      <c r="D122">
        <v>1</v>
      </c>
    </row>
    <row r="123" spans="1:4" hidden="1" x14ac:dyDescent="0.35">
      <c r="A123" t="s">
        <v>57</v>
      </c>
      <c r="B123" t="s">
        <v>5</v>
      </c>
      <c r="C123" t="s">
        <v>184</v>
      </c>
      <c r="D123">
        <v>1</v>
      </c>
    </row>
    <row r="124" spans="1:4" hidden="1" x14ac:dyDescent="0.35">
      <c r="A124" t="s">
        <v>65</v>
      </c>
      <c r="B124" t="s">
        <v>5</v>
      </c>
      <c r="C124" t="s">
        <v>184</v>
      </c>
      <c r="D124">
        <v>1</v>
      </c>
    </row>
    <row r="125" spans="1:4" hidden="1" x14ac:dyDescent="0.35">
      <c r="A125" t="s">
        <v>67</v>
      </c>
      <c r="B125" t="s">
        <v>5</v>
      </c>
      <c r="C125" t="s">
        <v>184</v>
      </c>
      <c r="D125">
        <v>1</v>
      </c>
    </row>
    <row r="126" spans="1:4" hidden="1" x14ac:dyDescent="0.35">
      <c r="A126" t="s">
        <v>67</v>
      </c>
      <c r="B126" t="s">
        <v>5</v>
      </c>
      <c r="C126" t="s">
        <v>184</v>
      </c>
      <c r="D126">
        <v>1</v>
      </c>
    </row>
    <row r="127" spans="1:4" hidden="1" x14ac:dyDescent="0.35">
      <c r="A127" t="s">
        <v>67</v>
      </c>
      <c r="B127" t="s">
        <v>5</v>
      </c>
      <c r="C127" t="s">
        <v>184</v>
      </c>
      <c r="D127">
        <v>1</v>
      </c>
    </row>
    <row r="128" spans="1:4" hidden="1" x14ac:dyDescent="0.35">
      <c r="A128" t="s">
        <v>67</v>
      </c>
      <c r="B128" t="s">
        <v>5</v>
      </c>
      <c r="C128" t="s">
        <v>184</v>
      </c>
      <c r="D128">
        <v>1</v>
      </c>
    </row>
    <row r="129" spans="1:4" hidden="1" x14ac:dyDescent="0.35">
      <c r="A129" t="s">
        <v>67</v>
      </c>
      <c r="B129" t="s">
        <v>5</v>
      </c>
      <c r="C129" t="s">
        <v>184</v>
      </c>
      <c r="D129">
        <v>1</v>
      </c>
    </row>
    <row r="130" spans="1:4" hidden="1" x14ac:dyDescent="0.35">
      <c r="A130" t="s">
        <v>67</v>
      </c>
      <c r="B130" t="s">
        <v>5</v>
      </c>
      <c r="C130" t="s">
        <v>184</v>
      </c>
      <c r="D130">
        <v>1</v>
      </c>
    </row>
    <row r="131" spans="1:4" hidden="1" x14ac:dyDescent="0.35">
      <c r="A131" t="s">
        <v>67</v>
      </c>
      <c r="B131" t="s">
        <v>5</v>
      </c>
      <c r="C131" t="s">
        <v>184</v>
      </c>
      <c r="D131">
        <v>1</v>
      </c>
    </row>
    <row r="132" spans="1:4" hidden="1" x14ac:dyDescent="0.35">
      <c r="A132" t="s">
        <v>67</v>
      </c>
      <c r="B132" t="s">
        <v>5</v>
      </c>
      <c r="C132" t="s">
        <v>184</v>
      </c>
      <c r="D132">
        <v>1</v>
      </c>
    </row>
    <row r="133" spans="1:4" hidden="1" x14ac:dyDescent="0.35">
      <c r="A133" t="s">
        <v>67</v>
      </c>
      <c r="B133" t="s">
        <v>5</v>
      </c>
      <c r="C133" t="s">
        <v>184</v>
      </c>
      <c r="D133">
        <v>1</v>
      </c>
    </row>
    <row r="134" spans="1:4" hidden="1" x14ac:dyDescent="0.35">
      <c r="A134" t="s">
        <v>76</v>
      </c>
      <c r="B134" t="s">
        <v>5</v>
      </c>
      <c r="C134" t="s">
        <v>184</v>
      </c>
      <c r="D134">
        <v>1</v>
      </c>
    </row>
    <row r="135" spans="1:4" hidden="1" x14ac:dyDescent="0.35">
      <c r="A135" t="s">
        <v>128</v>
      </c>
      <c r="B135" t="s">
        <v>5</v>
      </c>
      <c r="C135" t="s">
        <v>184</v>
      </c>
      <c r="D135">
        <v>1</v>
      </c>
    </row>
    <row r="136" spans="1:4" hidden="1" x14ac:dyDescent="0.35">
      <c r="A136" t="s">
        <v>128</v>
      </c>
      <c r="B136" t="s">
        <v>5</v>
      </c>
      <c r="C136" t="s">
        <v>184</v>
      </c>
      <c r="D136">
        <v>1</v>
      </c>
    </row>
    <row r="137" spans="1:4" hidden="1" x14ac:dyDescent="0.35">
      <c r="A137" t="s">
        <v>128</v>
      </c>
      <c r="B137" t="s">
        <v>5</v>
      </c>
      <c r="C137" t="s">
        <v>184</v>
      </c>
      <c r="D137">
        <v>1</v>
      </c>
    </row>
    <row r="138" spans="1:4" hidden="1" x14ac:dyDescent="0.35">
      <c r="A138" t="s">
        <v>128</v>
      </c>
      <c r="B138" t="s">
        <v>5</v>
      </c>
      <c r="C138" t="s">
        <v>184</v>
      </c>
      <c r="D138">
        <v>1</v>
      </c>
    </row>
    <row r="139" spans="1:4" hidden="1" x14ac:dyDescent="0.35">
      <c r="A139" t="s">
        <v>128</v>
      </c>
      <c r="B139" t="s">
        <v>5</v>
      </c>
      <c r="C139" t="s">
        <v>184</v>
      </c>
      <c r="D139">
        <v>1</v>
      </c>
    </row>
    <row r="140" spans="1:4" hidden="1" x14ac:dyDescent="0.35">
      <c r="A140" t="s">
        <v>50</v>
      </c>
      <c r="B140" t="s">
        <v>5</v>
      </c>
      <c r="C140" t="s">
        <v>184</v>
      </c>
      <c r="D140">
        <v>1</v>
      </c>
    </row>
    <row r="141" spans="1:4" hidden="1" x14ac:dyDescent="0.35">
      <c r="A141" t="s">
        <v>50</v>
      </c>
      <c r="B141" t="s">
        <v>5</v>
      </c>
      <c r="C141" t="s">
        <v>184</v>
      </c>
      <c r="D141">
        <v>1</v>
      </c>
    </row>
    <row r="142" spans="1:4" hidden="1" x14ac:dyDescent="0.35">
      <c r="A142" t="s">
        <v>50</v>
      </c>
      <c r="B142" t="s">
        <v>5</v>
      </c>
      <c r="C142" t="s">
        <v>184</v>
      </c>
      <c r="D142">
        <v>1</v>
      </c>
    </row>
    <row r="143" spans="1:4" hidden="1" x14ac:dyDescent="0.35">
      <c r="A143" t="s">
        <v>50</v>
      </c>
      <c r="B143" t="s">
        <v>5</v>
      </c>
      <c r="C143" t="s">
        <v>184</v>
      </c>
      <c r="D143">
        <v>1</v>
      </c>
    </row>
    <row r="144" spans="1:4" hidden="1" x14ac:dyDescent="0.35">
      <c r="A144" t="s">
        <v>50</v>
      </c>
      <c r="B144" t="s">
        <v>5</v>
      </c>
      <c r="C144" t="s">
        <v>184</v>
      </c>
      <c r="D144">
        <v>1</v>
      </c>
    </row>
    <row r="145" spans="1:4" hidden="1" x14ac:dyDescent="0.35">
      <c r="A145" t="s">
        <v>57</v>
      </c>
      <c r="B145" t="s">
        <v>5</v>
      </c>
      <c r="C145" t="s">
        <v>184</v>
      </c>
      <c r="D145">
        <v>1</v>
      </c>
    </row>
    <row r="146" spans="1:4" hidden="1" x14ac:dyDescent="0.35">
      <c r="A146" t="s">
        <v>67</v>
      </c>
      <c r="B146" t="s">
        <v>5</v>
      </c>
      <c r="C146" t="s">
        <v>184</v>
      </c>
      <c r="D146">
        <v>1</v>
      </c>
    </row>
    <row r="147" spans="1:4" hidden="1" x14ac:dyDescent="0.35">
      <c r="A147" t="s">
        <v>67</v>
      </c>
      <c r="B147" t="s">
        <v>5</v>
      </c>
      <c r="C147" t="s">
        <v>184</v>
      </c>
      <c r="D147">
        <v>1</v>
      </c>
    </row>
    <row r="148" spans="1:4" hidden="1" x14ac:dyDescent="0.35">
      <c r="A148" t="s">
        <v>67</v>
      </c>
      <c r="B148" t="s">
        <v>5</v>
      </c>
      <c r="C148" t="s">
        <v>184</v>
      </c>
      <c r="D148">
        <v>1</v>
      </c>
    </row>
    <row r="149" spans="1:4" hidden="1" x14ac:dyDescent="0.35">
      <c r="A149" t="s">
        <v>67</v>
      </c>
      <c r="B149" t="s">
        <v>5</v>
      </c>
      <c r="C149" t="s">
        <v>184</v>
      </c>
      <c r="D149">
        <v>1</v>
      </c>
    </row>
    <row r="150" spans="1:4" hidden="1" x14ac:dyDescent="0.35">
      <c r="A150" t="s">
        <v>67</v>
      </c>
      <c r="B150" t="s">
        <v>5</v>
      </c>
      <c r="C150" t="s">
        <v>184</v>
      </c>
      <c r="D150">
        <v>1</v>
      </c>
    </row>
    <row r="151" spans="1:4" hidden="1" x14ac:dyDescent="0.35">
      <c r="A151" t="s">
        <v>97</v>
      </c>
      <c r="B151" t="s">
        <v>5</v>
      </c>
      <c r="C151" t="s">
        <v>184</v>
      </c>
      <c r="D151">
        <v>1</v>
      </c>
    </row>
    <row r="152" spans="1:4" hidden="1" x14ac:dyDescent="0.35">
      <c r="A152" t="s">
        <v>101</v>
      </c>
      <c r="B152" t="s">
        <v>5</v>
      </c>
      <c r="C152" t="s">
        <v>184</v>
      </c>
      <c r="D152">
        <v>1</v>
      </c>
    </row>
    <row r="153" spans="1:4" hidden="1" x14ac:dyDescent="0.35">
      <c r="A153" t="s">
        <v>121</v>
      </c>
      <c r="B153" t="s">
        <v>5</v>
      </c>
      <c r="C153" t="s">
        <v>184</v>
      </c>
      <c r="D153">
        <v>1</v>
      </c>
    </row>
    <row r="154" spans="1:4" hidden="1" x14ac:dyDescent="0.35">
      <c r="A154" t="s">
        <v>128</v>
      </c>
      <c r="B154" t="s">
        <v>5</v>
      </c>
      <c r="C154" t="s">
        <v>184</v>
      </c>
      <c r="D154">
        <v>1</v>
      </c>
    </row>
    <row r="155" spans="1:4" hidden="1" x14ac:dyDescent="0.35">
      <c r="A155" t="s">
        <v>128</v>
      </c>
      <c r="B155" t="s">
        <v>5</v>
      </c>
      <c r="C155" t="s">
        <v>184</v>
      </c>
      <c r="D155">
        <v>1</v>
      </c>
    </row>
    <row r="156" spans="1:4" hidden="1" x14ac:dyDescent="0.35">
      <c r="A156" t="s">
        <v>128</v>
      </c>
      <c r="B156" t="s">
        <v>5</v>
      </c>
      <c r="C156" t="s">
        <v>184</v>
      </c>
      <c r="D156">
        <v>1</v>
      </c>
    </row>
    <row r="157" spans="1:4" hidden="1" x14ac:dyDescent="0.35">
      <c r="A157" t="s">
        <v>128</v>
      </c>
      <c r="B157" t="s">
        <v>5</v>
      </c>
      <c r="C157" t="s">
        <v>184</v>
      </c>
      <c r="D157">
        <v>1</v>
      </c>
    </row>
    <row r="158" spans="1:4" hidden="1" x14ac:dyDescent="0.35">
      <c r="A158" t="s">
        <v>43</v>
      </c>
      <c r="B158" t="s">
        <v>5</v>
      </c>
      <c r="C158" t="s">
        <v>184</v>
      </c>
      <c r="D158">
        <v>1</v>
      </c>
    </row>
    <row r="159" spans="1:4" hidden="1" x14ac:dyDescent="0.35">
      <c r="A159" t="s">
        <v>50</v>
      </c>
      <c r="B159" t="s">
        <v>5</v>
      </c>
      <c r="C159" t="s">
        <v>184</v>
      </c>
      <c r="D159">
        <v>1</v>
      </c>
    </row>
    <row r="160" spans="1:4" hidden="1" x14ac:dyDescent="0.35">
      <c r="A160" t="s">
        <v>50</v>
      </c>
      <c r="B160" t="s">
        <v>5</v>
      </c>
      <c r="C160" t="s">
        <v>184</v>
      </c>
      <c r="D160">
        <v>1</v>
      </c>
    </row>
    <row r="161" spans="1:4" hidden="1" x14ac:dyDescent="0.35">
      <c r="A161" t="s">
        <v>50</v>
      </c>
      <c r="B161" t="s">
        <v>5</v>
      </c>
      <c r="C161" t="s">
        <v>184</v>
      </c>
      <c r="D161">
        <v>1</v>
      </c>
    </row>
    <row r="162" spans="1:4" hidden="1" x14ac:dyDescent="0.35">
      <c r="A162" t="s">
        <v>50</v>
      </c>
      <c r="B162" t="s">
        <v>5</v>
      </c>
      <c r="C162" t="s">
        <v>184</v>
      </c>
      <c r="D162">
        <v>1</v>
      </c>
    </row>
    <row r="163" spans="1:4" hidden="1" x14ac:dyDescent="0.35">
      <c r="A163" t="s">
        <v>50</v>
      </c>
      <c r="B163" t="s">
        <v>5</v>
      </c>
      <c r="C163" t="s">
        <v>184</v>
      </c>
      <c r="D163">
        <v>1</v>
      </c>
    </row>
    <row r="164" spans="1:4" hidden="1" x14ac:dyDescent="0.35">
      <c r="A164" t="s">
        <v>50</v>
      </c>
      <c r="B164" t="s">
        <v>5</v>
      </c>
      <c r="C164" t="s">
        <v>184</v>
      </c>
      <c r="D164">
        <v>1</v>
      </c>
    </row>
    <row r="165" spans="1:4" hidden="1" x14ac:dyDescent="0.35">
      <c r="A165" t="s">
        <v>50</v>
      </c>
      <c r="B165" t="s">
        <v>5</v>
      </c>
      <c r="C165" t="s">
        <v>184</v>
      </c>
      <c r="D165">
        <v>1</v>
      </c>
    </row>
    <row r="166" spans="1:4" hidden="1" x14ac:dyDescent="0.35">
      <c r="A166" t="s">
        <v>50</v>
      </c>
      <c r="B166" t="s">
        <v>5</v>
      </c>
      <c r="C166" t="s">
        <v>184</v>
      </c>
      <c r="D166">
        <v>1</v>
      </c>
    </row>
    <row r="167" spans="1:4" hidden="1" x14ac:dyDescent="0.35">
      <c r="A167" t="s">
        <v>57</v>
      </c>
      <c r="B167" t="s">
        <v>5</v>
      </c>
      <c r="C167" t="s">
        <v>184</v>
      </c>
      <c r="D167">
        <v>1</v>
      </c>
    </row>
    <row r="168" spans="1:4" hidden="1" x14ac:dyDescent="0.35">
      <c r="A168" t="s">
        <v>57</v>
      </c>
      <c r="B168" t="s">
        <v>5</v>
      </c>
      <c r="C168" t="s">
        <v>184</v>
      </c>
      <c r="D168">
        <v>1</v>
      </c>
    </row>
    <row r="169" spans="1:4" hidden="1" x14ac:dyDescent="0.35">
      <c r="A169" t="s">
        <v>67</v>
      </c>
      <c r="B169" t="s">
        <v>5</v>
      </c>
      <c r="C169" t="s">
        <v>184</v>
      </c>
      <c r="D169">
        <v>1</v>
      </c>
    </row>
    <row r="170" spans="1:4" hidden="1" x14ac:dyDescent="0.35">
      <c r="A170" t="s">
        <v>67</v>
      </c>
      <c r="B170" t="s">
        <v>5</v>
      </c>
      <c r="C170" t="s">
        <v>184</v>
      </c>
      <c r="D170">
        <v>1</v>
      </c>
    </row>
    <row r="171" spans="1:4" hidden="1" x14ac:dyDescent="0.35">
      <c r="A171" t="s">
        <v>67</v>
      </c>
      <c r="B171" t="s">
        <v>5</v>
      </c>
      <c r="C171" t="s">
        <v>184</v>
      </c>
      <c r="D171">
        <v>1</v>
      </c>
    </row>
    <row r="172" spans="1:4" hidden="1" x14ac:dyDescent="0.35">
      <c r="A172" t="s">
        <v>67</v>
      </c>
      <c r="B172" t="s">
        <v>5</v>
      </c>
      <c r="C172" t="s">
        <v>184</v>
      </c>
      <c r="D172">
        <v>1</v>
      </c>
    </row>
    <row r="173" spans="1:4" hidden="1" x14ac:dyDescent="0.35">
      <c r="A173" t="s">
        <v>67</v>
      </c>
      <c r="B173" t="s">
        <v>5</v>
      </c>
      <c r="C173" t="s">
        <v>184</v>
      </c>
      <c r="D173">
        <v>1</v>
      </c>
    </row>
    <row r="174" spans="1:4" hidden="1" x14ac:dyDescent="0.35">
      <c r="A174" t="s">
        <v>67</v>
      </c>
      <c r="B174" t="s">
        <v>5</v>
      </c>
      <c r="C174" t="s">
        <v>184</v>
      </c>
      <c r="D174">
        <v>1</v>
      </c>
    </row>
    <row r="175" spans="1:4" hidden="1" x14ac:dyDescent="0.35">
      <c r="A175" t="s">
        <v>67</v>
      </c>
      <c r="B175" t="s">
        <v>5</v>
      </c>
      <c r="C175" t="s">
        <v>184</v>
      </c>
      <c r="D175">
        <v>1</v>
      </c>
    </row>
    <row r="176" spans="1:4" hidden="1" x14ac:dyDescent="0.35">
      <c r="A176" t="s">
        <v>67</v>
      </c>
      <c r="B176" t="s">
        <v>5</v>
      </c>
      <c r="C176" t="s">
        <v>184</v>
      </c>
      <c r="D176">
        <v>1</v>
      </c>
    </row>
    <row r="177" spans="1:4" hidden="1" x14ac:dyDescent="0.35">
      <c r="A177" t="s">
        <v>67</v>
      </c>
      <c r="B177" t="s">
        <v>5</v>
      </c>
      <c r="C177" t="s">
        <v>184</v>
      </c>
      <c r="D177">
        <v>1</v>
      </c>
    </row>
    <row r="178" spans="1:4" hidden="1" x14ac:dyDescent="0.35">
      <c r="A178" t="s">
        <v>116</v>
      </c>
      <c r="B178" t="s">
        <v>5</v>
      </c>
      <c r="C178" t="s">
        <v>184</v>
      </c>
      <c r="D178">
        <v>1</v>
      </c>
    </row>
    <row r="179" spans="1:4" hidden="1" x14ac:dyDescent="0.35">
      <c r="A179" t="s">
        <v>128</v>
      </c>
      <c r="B179" t="s">
        <v>5</v>
      </c>
      <c r="C179" t="s">
        <v>184</v>
      </c>
      <c r="D179">
        <v>1</v>
      </c>
    </row>
    <row r="180" spans="1:4" hidden="1" x14ac:dyDescent="0.35">
      <c r="A180" t="s">
        <v>128</v>
      </c>
      <c r="B180" t="s">
        <v>5</v>
      </c>
      <c r="C180" t="s">
        <v>184</v>
      </c>
      <c r="D180">
        <v>1</v>
      </c>
    </row>
    <row r="181" spans="1:4" hidden="1" x14ac:dyDescent="0.35">
      <c r="A181" t="s">
        <v>128</v>
      </c>
      <c r="B181" t="s">
        <v>5</v>
      </c>
      <c r="C181" t="s">
        <v>184</v>
      </c>
      <c r="D181">
        <v>1</v>
      </c>
    </row>
    <row r="182" spans="1:4" hidden="1" x14ac:dyDescent="0.35">
      <c r="A182" t="s">
        <v>128</v>
      </c>
      <c r="B182" t="s">
        <v>5</v>
      </c>
      <c r="C182" t="s">
        <v>184</v>
      </c>
      <c r="D182">
        <v>1</v>
      </c>
    </row>
    <row r="183" spans="1:4" hidden="1" x14ac:dyDescent="0.35">
      <c r="A183" t="s">
        <v>128</v>
      </c>
      <c r="B183" t="s">
        <v>5</v>
      </c>
      <c r="C183" t="s">
        <v>184</v>
      </c>
      <c r="D183">
        <v>1</v>
      </c>
    </row>
    <row r="184" spans="1:4" hidden="1" x14ac:dyDescent="0.35">
      <c r="A184" t="s">
        <v>50</v>
      </c>
      <c r="B184" t="s">
        <v>5</v>
      </c>
      <c r="C184" t="s">
        <v>184</v>
      </c>
      <c r="D184">
        <v>1</v>
      </c>
    </row>
    <row r="185" spans="1:4" hidden="1" x14ac:dyDescent="0.35">
      <c r="A185" t="s">
        <v>50</v>
      </c>
      <c r="B185" t="s">
        <v>5</v>
      </c>
      <c r="C185" t="s">
        <v>184</v>
      </c>
      <c r="D185">
        <v>1</v>
      </c>
    </row>
    <row r="186" spans="1:4" hidden="1" x14ac:dyDescent="0.35">
      <c r="A186" t="s">
        <v>50</v>
      </c>
      <c r="B186" t="s">
        <v>5</v>
      </c>
      <c r="C186" t="s">
        <v>184</v>
      </c>
      <c r="D186">
        <v>1</v>
      </c>
    </row>
    <row r="187" spans="1:4" hidden="1" x14ac:dyDescent="0.35">
      <c r="A187" t="s">
        <v>65</v>
      </c>
      <c r="B187" t="s">
        <v>5</v>
      </c>
      <c r="C187" t="s">
        <v>184</v>
      </c>
      <c r="D187">
        <v>1</v>
      </c>
    </row>
    <row r="188" spans="1:4" hidden="1" x14ac:dyDescent="0.35">
      <c r="A188" t="s">
        <v>67</v>
      </c>
      <c r="B188" t="s">
        <v>5</v>
      </c>
      <c r="C188" t="s">
        <v>184</v>
      </c>
      <c r="D188">
        <v>1</v>
      </c>
    </row>
    <row r="189" spans="1:4" hidden="1" x14ac:dyDescent="0.35">
      <c r="A189" t="s">
        <v>67</v>
      </c>
      <c r="B189" t="s">
        <v>5</v>
      </c>
      <c r="C189" t="s">
        <v>184</v>
      </c>
      <c r="D189">
        <v>1</v>
      </c>
    </row>
    <row r="190" spans="1:4" hidden="1" x14ac:dyDescent="0.35">
      <c r="A190" t="s">
        <v>67</v>
      </c>
      <c r="B190" t="s">
        <v>5</v>
      </c>
      <c r="C190" t="s">
        <v>184</v>
      </c>
      <c r="D190">
        <v>1</v>
      </c>
    </row>
    <row r="191" spans="1:4" hidden="1" x14ac:dyDescent="0.35">
      <c r="A191" t="s">
        <v>76</v>
      </c>
      <c r="B191" t="s">
        <v>5</v>
      </c>
      <c r="C191" t="s">
        <v>184</v>
      </c>
      <c r="D191">
        <v>1</v>
      </c>
    </row>
    <row r="192" spans="1:4" hidden="1" x14ac:dyDescent="0.35">
      <c r="A192" t="s">
        <v>115</v>
      </c>
      <c r="B192" t="s">
        <v>5</v>
      </c>
      <c r="C192" t="s">
        <v>184</v>
      </c>
      <c r="D192">
        <v>1</v>
      </c>
    </row>
    <row r="193" spans="1:4" hidden="1" x14ac:dyDescent="0.35">
      <c r="A193" t="s">
        <v>128</v>
      </c>
      <c r="B193" t="s">
        <v>5</v>
      </c>
      <c r="C193" t="s">
        <v>184</v>
      </c>
      <c r="D193">
        <v>1</v>
      </c>
    </row>
    <row r="194" spans="1:4" hidden="1" x14ac:dyDescent="0.35">
      <c r="A194" t="s">
        <v>128</v>
      </c>
      <c r="B194" t="s">
        <v>5</v>
      </c>
      <c r="C194" t="s">
        <v>184</v>
      </c>
      <c r="D194">
        <v>1</v>
      </c>
    </row>
    <row r="195" spans="1:4" hidden="1" x14ac:dyDescent="0.35">
      <c r="A195" t="s">
        <v>128</v>
      </c>
      <c r="B195" t="s">
        <v>5</v>
      </c>
      <c r="C195" t="s">
        <v>184</v>
      </c>
      <c r="D195">
        <v>1</v>
      </c>
    </row>
    <row r="196" spans="1:4" hidden="1" x14ac:dyDescent="0.35">
      <c r="A196" t="s">
        <v>50</v>
      </c>
      <c r="B196" t="s">
        <v>5</v>
      </c>
      <c r="C196" t="s">
        <v>184</v>
      </c>
      <c r="D196">
        <v>1</v>
      </c>
    </row>
    <row r="197" spans="1:4" hidden="1" x14ac:dyDescent="0.35">
      <c r="A197" t="s">
        <v>50</v>
      </c>
      <c r="B197" t="s">
        <v>5</v>
      </c>
      <c r="C197" t="s">
        <v>184</v>
      </c>
      <c r="D197">
        <v>1</v>
      </c>
    </row>
    <row r="198" spans="1:4" hidden="1" x14ac:dyDescent="0.35">
      <c r="A198" t="s">
        <v>50</v>
      </c>
      <c r="B198" t="s">
        <v>5</v>
      </c>
      <c r="C198" t="s">
        <v>184</v>
      </c>
      <c r="D198">
        <v>1</v>
      </c>
    </row>
    <row r="199" spans="1:4" hidden="1" x14ac:dyDescent="0.35">
      <c r="A199" t="s">
        <v>50</v>
      </c>
      <c r="B199" t="s">
        <v>5</v>
      </c>
      <c r="C199" t="s">
        <v>184</v>
      </c>
      <c r="D199">
        <v>1</v>
      </c>
    </row>
    <row r="200" spans="1:4" hidden="1" x14ac:dyDescent="0.35">
      <c r="A200" t="s">
        <v>50</v>
      </c>
      <c r="B200" t="s">
        <v>5</v>
      </c>
      <c r="C200" t="s">
        <v>184</v>
      </c>
      <c r="D200">
        <v>1</v>
      </c>
    </row>
    <row r="201" spans="1:4" hidden="1" x14ac:dyDescent="0.35">
      <c r="A201" t="s">
        <v>50</v>
      </c>
      <c r="B201" t="s">
        <v>5</v>
      </c>
      <c r="C201" t="s">
        <v>184</v>
      </c>
      <c r="D201">
        <v>1</v>
      </c>
    </row>
    <row r="202" spans="1:4" hidden="1" x14ac:dyDescent="0.35">
      <c r="A202" t="s">
        <v>50</v>
      </c>
      <c r="B202" t="s">
        <v>5</v>
      </c>
      <c r="C202" t="s">
        <v>184</v>
      </c>
      <c r="D202">
        <v>1</v>
      </c>
    </row>
    <row r="203" spans="1:4" hidden="1" x14ac:dyDescent="0.35">
      <c r="A203" t="s">
        <v>50</v>
      </c>
      <c r="B203" t="s">
        <v>5</v>
      </c>
      <c r="C203" t="s">
        <v>184</v>
      </c>
      <c r="D203">
        <v>1</v>
      </c>
    </row>
    <row r="204" spans="1:4" hidden="1" x14ac:dyDescent="0.35">
      <c r="A204" t="s">
        <v>50</v>
      </c>
      <c r="B204" t="s">
        <v>5</v>
      </c>
      <c r="C204" t="s">
        <v>184</v>
      </c>
      <c r="D204">
        <v>1</v>
      </c>
    </row>
    <row r="205" spans="1:4" hidden="1" x14ac:dyDescent="0.35">
      <c r="A205" t="s">
        <v>50</v>
      </c>
      <c r="B205" t="s">
        <v>5</v>
      </c>
      <c r="C205" t="s">
        <v>184</v>
      </c>
      <c r="D205">
        <v>1</v>
      </c>
    </row>
    <row r="206" spans="1:4" hidden="1" x14ac:dyDescent="0.35">
      <c r="A206" t="s">
        <v>50</v>
      </c>
      <c r="B206" t="s">
        <v>5</v>
      </c>
      <c r="C206" t="s">
        <v>184</v>
      </c>
      <c r="D206">
        <v>1</v>
      </c>
    </row>
    <row r="207" spans="1:4" hidden="1" x14ac:dyDescent="0.35">
      <c r="A207" t="s">
        <v>50</v>
      </c>
      <c r="B207" t="s">
        <v>5</v>
      </c>
      <c r="C207" t="s">
        <v>184</v>
      </c>
      <c r="D207">
        <v>1</v>
      </c>
    </row>
    <row r="208" spans="1:4" hidden="1" x14ac:dyDescent="0.35">
      <c r="A208" t="s">
        <v>50</v>
      </c>
      <c r="B208" t="s">
        <v>5</v>
      </c>
      <c r="C208" t="s">
        <v>184</v>
      </c>
      <c r="D208">
        <v>1</v>
      </c>
    </row>
    <row r="209" spans="1:4" hidden="1" x14ac:dyDescent="0.35">
      <c r="A209" t="s">
        <v>50</v>
      </c>
      <c r="B209" t="s">
        <v>5</v>
      </c>
      <c r="C209" t="s">
        <v>184</v>
      </c>
      <c r="D209">
        <v>1</v>
      </c>
    </row>
    <row r="210" spans="1:4" hidden="1" x14ac:dyDescent="0.35">
      <c r="A210" t="s">
        <v>67</v>
      </c>
      <c r="B210" t="s">
        <v>5</v>
      </c>
      <c r="C210" t="s">
        <v>184</v>
      </c>
      <c r="D210">
        <v>1</v>
      </c>
    </row>
    <row r="211" spans="1:4" hidden="1" x14ac:dyDescent="0.35">
      <c r="A211" t="s">
        <v>67</v>
      </c>
      <c r="B211" t="s">
        <v>5</v>
      </c>
      <c r="C211" t="s">
        <v>184</v>
      </c>
      <c r="D211">
        <v>1</v>
      </c>
    </row>
    <row r="212" spans="1:4" hidden="1" x14ac:dyDescent="0.35">
      <c r="A212" t="s">
        <v>73</v>
      </c>
      <c r="B212" t="s">
        <v>5</v>
      </c>
      <c r="C212" t="s">
        <v>184</v>
      </c>
      <c r="D212">
        <v>1</v>
      </c>
    </row>
    <row r="213" spans="1:4" hidden="1" x14ac:dyDescent="0.35">
      <c r="A213" t="s">
        <v>85</v>
      </c>
      <c r="B213" t="s">
        <v>5</v>
      </c>
      <c r="C213" t="s">
        <v>184</v>
      </c>
      <c r="D213">
        <v>1</v>
      </c>
    </row>
    <row r="214" spans="1:4" hidden="1" x14ac:dyDescent="0.35">
      <c r="A214" t="s">
        <v>97</v>
      </c>
      <c r="B214" t="s">
        <v>5</v>
      </c>
      <c r="C214" t="s">
        <v>184</v>
      </c>
      <c r="D214">
        <v>1</v>
      </c>
    </row>
    <row r="215" spans="1:4" hidden="1" x14ac:dyDescent="0.35">
      <c r="A215" t="s">
        <v>101</v>
      </c>
      <c r="B215" t="s">
        <v>5</v>
      </c>
      <c r="C215" t="s">
        <v>184</v>
      </c>
      <c r="D215">
        <v>1</v>
      </c>
    </row>
    <row r="216" spans="1:4" hidden="1" x14ac:dyDescent="0.35">
      <c r="A216" t="s">
        <v>103</v>
      </c>
      <c r="B216" t="s">
        <v>5</v>
      </c>
      <c r="C216" t="s">
        <v>184</v>
      </c>
      <c r="D216">
        <v>1</v>
      </c>
    </row>
    <row r="217" spans="1:4" hidden="1" x14ac:dyDescent="0.35">
      <c r="A217" t="s">
        <v>103</v>
      </c>
      <c r="B217" t="s">
        <v>5</v>
      </c>
      <c r="C217" t="s">
        <v>184</v>
      </c>
      <c r="D217">
        <v>1</v>
      </c>
    </row>
    <row r="218" spans="1:4" hidden="1" x14ac:dyDescent="0.35">
      <c r="A218" t="s">
        <v>104</v>
      </c>
      <c r="B218" t="s">
        <v>5</v>
      </c>
      <c r="C218" t="s">
        <v>184</v>
      </c>
      <c r="D218">
        <v>1</v>
      </c>
    </row>
    <row r="219" spans="1:4" hidden="1" x14ac:dyDescent="0.35">
      <c r="A219" t="s">
        <v>104</v>
      </c>
      <c r="B219" t="s">
        <v>5</v>
      </c>
      <c r="C219" t="s">
        <v>184</v>
      </c>
      <c r="D219">
        <v>1</v>
      </c>
    </row>
    <row r="220" spans="1:4" hidden="1" x14ac:dyDescent="0.35">
      <c r="A220" t="s">
        <v>104</v>
      </c>
      <c r="B220" t="s">
        <v>5</v>
      </c>
      <c r="C220" t="s">
        <v>184</v>
      </c>
      <c r="D220">
        <v>1</v>
      </c>
    </row>
    <row r="221" spans="1:4" hidden="1" x14ac:dyDescent="0.35">
      <c r="A221" t="s">
        <v>105</v>
      </c>
      <c r="B221" t="s">
        <v>5</v>
      </c>
      <c r="C221" t="s">
        <v>184</v>
      </c>
      <c r="D221">
        <v>1</v>
      </c>
    </row>
    <row r="222" spans="1:4" hidden="1" x14ac:dyDescent="0.35">
      <c r="A222" t="s">
        <v>106</v>
      </c>
      <c r="B222" t="s">
        <v>5</v>
      </c>
      <c r="C222" t="s">
        <v>184</v>
      </c>
      <c r="D222">
        <v>1</v>
      </c>
    </row>
    <row r="223" spans="1:4" hidden="1" x14ac:dyDescent="0.35">
      <c r="A223" t="s">
        <v>124</v>
      </c>
      <c r="B223" t="s">
        <v>5</v>
      </c>
      <c r="C223" t="s">
        <v>184</v>
      </c>
      <c r="D223">
        <v>1</v>
      </c>
    </row>
    <row r="224" spans="1:4" hidden="1" x14ac:dyDescent="0.35">
      <c r="A224" t="s">
        <v>128</v>
      </c>
      <c r="B224" t="s">
        <v>5</v>
      </c>
      <c r="C224" t="s">
        <v>184</v>
      </c>
      <c r="D224">
        <v>1</v>
      </c>
    </row>
    <row r="225" spans="1:4" hidden="1" x14ac:dyDescent="0.35">
      <c r="A225" t="s">
        <v>128</v>
      </c>
      <c r="B225" t="s">
        <v>5</v>
      </c>
      <c r="C225" t="s">
        <v>184</v>
      </c>
      <c r="D225">
        <v>1</v>
      </c>
    </row>
    <row r="226" spans="1:4" hidden="1" x14ac:dyDescent="0.35">
      <c r="A226" t="s">
        <v>128</v>
      </c>
      <c r="B226" t="s">
        <v>5</v>
      </c>
      <c r="C226" t="s">
        <v>184</v>
      </c>
      <c r="D226">
        <v>1</v>
      </c>
    </row>
    <row r="227" spans="1:4" hidden="1" x14ac:dyDescent="0.35">
      <c r="A227" t="s">
        <v>138</v>
      </c>
      <c r="B227" t="s">
        <v>5</v>
      </c>
      <c r="C227" t="s">
        <v>184</v>
      </c>
      <c r="D227">
        <v>1</v>
      </c>
    </row>
    <row r="228" spans="1:4" hidden="1" x14ac:dyDescent="0.35">
      <c r="A228" t="s">
        <v>50</v>
      </c>
      <c r="B228" t="s">
        <v>5</v>
      </c>
      <c r="C228" t="s">
        <v>184</v>
      </c>
      <c r="D228">
        <v>1</v>
      </c>
    </row>
    <row r="229" spans="1:4" hidden="1" x14ac:dyDescent="0.35">
      <c r="A229" t="s">
        <v>50</v>
      </c>
      <c r="B229" t="s">
        <v>5</v>
      </c>
      <c r="C229" t="s">
        <v>184</v>
      </c>
      <c r="D229">
        <v>1</v>
      </c>
    </row>
    <row r="230" spans="1:4" hidden="1" x14ac:dyDescent="0.35">
      <c r="A230" t="s">
        <v>50</v>
      </c>
      <c r="B230" t="s">
        <v>5</v>
      </c>
      <c r="C230" t="s">
        <v>184</v>
      </c>
      <c r="D230">
        <v>1</v>
      </c>
    </row>
    <row r="231" spans="1:4" hidden="1" x14ac:dyDescent="0.35">
      <c r="A231" t="s">
        <v>50</v>
      </c>
      <c r="B231" t="s">
        <v>5</v>
      </c>
      <c r="C231" t="s">
        <v>184</v>
      </c>
      <c r="D231">
        <v>1</v>
      </c>
    </row>
    <row r="232" spans="1:4" hidden="1" x14ac:dyDescent="0.35">
      <c r="A232" t="s">
        <v>50</v>
      </c>
      <c r="B232" t="s">
        <v>5</v>
      </c>
      <c r="C232" t="s">
        <v>184</v>
      </c>
      <c r="D232">
        <v>1</v>
      </c>
    </row>
    <row r="233" spans="1:4" hidden="1" x14ac:dyDescent="0.35">
      <c r="A233" t="s">
        <v>50</v>
      </c>
      <c r="B233" t="s">
        <v>5</v>
      </c>
      <c r="C233" t="s">
        <v>184</v>
      </c>
      <c r="D233">
        <v>1</v>
      </c>
    </row>
    <row r="234" spans="1:4" hidden="1" x14ac:dyDescent="0.35">
      <c r="A234" t="s">
        <v>50</v>
      </c>
      <c r="B234" t="s">
        <v>5</v>
      </c>
      <c r="C234" t="s">
        <v>184</v>
      </c>
      <c r="D234">
        <v>1</v>
      </c>
    </row>
    <row r="235" spans="1:4" hidden="1" x14ac:dyDescent="0.35">
      <c r="A235" t="s">
        <v>50</v>
      </c>
      <c r="B235" t="s">
        <v>5</v>
      </c>
      <c r="C235" t="s">
        <v>184</v>
      </c>
      <c r="D235">
        <v>1</v>
      </c>
    </row>
    <row r="236" spans="1:4" hidden="1" x14ac:dyDescent="0.35">
      <c r="A236" t="s">
        <v>50</v>
      </c>
      <c r="B236" t="s">
        <v>5</v>
      </c>
      <c r="C236" t="s">
        <v>184</v>
      </c>
      <c r="D236">
        <v>1</v>
      </c>
    </row>
    <row r="237" spans="1:4" hidden="1" x14ac:dyDescent="0.35">
      <c r="A237" t="s">
        <v>50</v>
      </c>
      <c r="B237" t="s">
        <v>5</v>
      </c>
      <c r="C237" t="s">
        <v>184</v>
      </c>
      <c r="D237">
        <v>1</v>
      </c>
    </row>
    <row r="238" spans="1:4" hidden="1" x14ac:dyDescent="0.35">
      <c r="A238" t="s">
        <v>50</v>
      </c>
      <c r="B238" t="s">
        <v>5</v>
      </c>
      <c r="C238" t="s">
        <v>184</v>
      </c>
      <c r="D238">
        <v>1</v>
      </c>
    </row>
    <row r="239" spans="1:4" hidden="1" x14ac:dyDescent="0.35">
      <c r="A239" t="s">
        <v>50</v>
      </c>
      <c r="B239" t="s">
        <v>5</v>
      </c>
      <c r="C239" t="s">
        <v>184</v>
      </c>
      <c r="D239">
        <v>1</v>
      </c>
    </row>
    <row r="240" spans="1:4" hidden="1" x14ac:dyDescent="0.35">
      <c r="A240" t="s">
        <v>50</v>
      </c>
      <c r="B240" t="s">
        <v>5</v>
      </c>
      <c r="C240" t="s">
        <v>184</v>
      </c>
      <c r="D240">
        <v>1</v>
      </c>
    </row>
    <row r="241" spans="1:4" hidden="1" x14ac:dyDescent="0.35">
      <c r="A241" t="s">
        <v>50</v>
      </c>
      <c r="B241" t="s">
        <v>5</v>
      </c>
      <c r="C241" t="s">
        <v>184</v>
      </c>
      <c r="D241">
        <v>1</v>
      </c>
    </row>
    <row r="242" spans="1:4" hidden="1" x14ac:dyDescent="0.35">
      <c r="A242" t="s">
        <v>67</v>
      </c>
      <c r="B242" t="s">
        <v>5</v>
      </c>
      <c r="C242" t="s">
        <v>184</v>
      </c>
      <c r="D242">
        <v>1</v>
      </c>
    </row>
    <row r="243" spans="1:4" hidden="1" x14ac:dyDescent="0.35">
      <c r="A243" t="s">
        <v>67</v>
      </c>
      <c r="B243" t="s">
        <v>5</v>
      </c>
      <c r="C243" t="s">
        <v>184</v>
      </c>
      <c r="D243">
        <v>1</v>
      </c>
    </row>
    <row r="244" spans="1:4" hidden="1" x14ac:dyDescent="0.35">
      <c r="A244" t="s">
        <v>85</v>
      </c>
      <c r="B244" t="s">
        <v>5</v>
      </c>
      <c r="C244" t="s">
        <v>184</v>
      </c>
      <c r="D244">
        <v>1</v>
      </c>
    </row>
    <row r="245" spans="1:4" hidden="1" x14ac:dyDescent="0.35">
      <c r="A245" t="s">
        <v>101</v>
      </c>
      <c r="B245" t="s">
        <v>5</v>
      </c>
      <c r="C245" t="s">
        <v>184</v>
      </c>
      <c r="D245">
        <v>1</v>
      </c>
    </row>
    <row r="246" spans="1:4" hidden="1" x14ac:dyDescent="0.35">
      <c r="A246" t="s">
        <v>103</v>
      </c>
      <c r="B246" t="s">
        <v>5</v>
      </c>
      <c r="C246" t="s">
        <v>184</v>
      </c>
      <c r="D246">
        <v>1</v>
      </c>
    </row>
    <row r="247" spans="1:4" hidden="1" x14ac:dyDescent="0.35">
      <c r="A247" t="s">
        <v>103</v>
      </c>
      <c r="B247" t="s">
        <v>5</v>
      </c>
      <c r="C247" t="s">
        <v>184</v>
      </c>
      <c r="D247">
        <v>1</v>
      </c>
    </row>
    <row r="248" spans="1:4" hidden="1" x14ac:dyDescent="0.35">
      <c r="A248" t="s">
        <v>103</v>
      </c>
      <c r="B248" t="s">
        <v>5</v>
      </c>
      <c r="C248" t="s">
        <v>184</v>
      </c>
      <c r="D248">
        <v>1</v>
      </c>
    </row>
    <row r="249" spans="1:4" hidden="1" x14ac:dyDescent="0.35">
      <c r="A249" t="s">
        <v>105</v>
      </c>
      <c r="B249" t="s">
        <v>5</v>
      </c>
      <c r="C249" t="s">
        <v>184</v>
      </c>
      <c r="D249">
        <v>1</v>
      </c>
    </row>
    <row r="250" spans="1:4" hidden="1" x14ac:dyDescent="0.35">
      <c r="A250" t="s">
        <v>115</v>
      </c>
      <c r="B250" t="s">
        <v>5</v>
      </c>
      <c r="C250" t="s">
        <v>184</v>
      </c>
      <c r="D250">
        <v>1</v>
      </c>
    </row>
    <row r="251" spans="1:4" hidden="1" x14ac:dyDescent="0.35">
      <c r="A251" t="s">
        <v>128</v>
      </c>
      <c r="B251" t="s">
        <v>5</v>
      </c>
      <c r="C251" t="s">
        <v>184</v>
      </c>
      <c r="D251">
        <v>1</v>
      </c>
    </row>
    <row r="252" spans="1:4" hidden="1" x14ac:dyDescent="0.35">
      <c r="A252" t="s">
        <v>128</v>
      </c>
      <c r="B252" t="s">
        <v>5</v>
      </c>
      <c r="C252" t="s">
        <v>184</v>
      </c>
      <c r="D252">
        <v>1</v>
      </c>
    </row>
    <row r="253" spans="1:4" hidden="1" x14ac:dyDescent="0.35">
      <c r="A253" t="s">
        <v>128</v>
      </c>
      <c r="B253" t="s">
        <v>5</v>
      </c>
      <c r="C253" t="s">
        <v>184</v>
      </c>
      <c r="D253">
        <v>1</v>
      </c>
    </row>
    <row r="254" spans="1:4" hidden="1" x14ac:dyDescent="0.35">
      <c r="A254" t="s">
        <v>128</v>
      </c>
      <c r="B254" t="s">
        <v>5</v>
      </c>
      <c r="C254" t="s">
        <v>184</v>
      </c>
      <c r="D254">
        <v>1</v>
      </c>
    </row>
    <row r="255" spans="1:4" hidden="1" x14ac:dyDescent="0.35">
      <c r="A255" t="s">
        <v>128</v>
      </c>
      <c r="B255" t="s">
        <v>5</v>
      </c>
      <c r="C255" t="s">
        <v>184</v>
      </c>
      <c r="D255">
        <v>1</v>
      </c>
    </row>
    <row r="256" spans="1:4" hidden="1" x14ac:dyDescent="0.35">
      <c r="A256" t="s">
        <v>128</v>
      </c>
      <c r="B256" t="s">
        <v>5</v>
      </c>
      <c r="C256" t="s">
        <v>184</v>
      </c>
      <c r="D256">
        <v>1</v>
      </c>
    </row>
    <row r="257" spans="1:4" hidden="1" x14ac:dyDescent="0.35">
      <c r="A257" t="s">
        <v>128</v>
      </c>
      <c r="B257" t="s">
        <v>5</v>
      </c>
      <c r="C257" t="s">
        <v>184</v>
      </c>
      <c r="D257">
        <v>1</v>
      </c>
    </row>
    <row r="258" spans="1:4" hidden="1" x14ac:dyDescent="0.35">
      <c r="A258" t="s">
        <v>50</v>
      </c>
      <c r="B258" t="s">
        <v>5</v>
      </c>
      <c r="C258" t="s">
        <v>184</v>
      </c>
      <c r="D258">
        <v>1</v>
      </c>
    </row>
    <row r="259" spans="1:4" hidden="1" x14ac:dyDescent="0.35">
      <c r="A259" t="s">
        <v>50</v>
      </c>
      <c r="B259" t="s">
        <v>5</v>
      </c>
      <c r="C259" t="s">
        <v>184</v>
      </c>
      <c r="D259">
        <v>1</v>
      </c>
    </row>
    <row r="260" spans="1:4" hidden="1" x14ac:dyDescent="0.35">
      <c r="A260" t="s">
        <v>85</v>
      </c>
      <c r="B260" t="s">
        <v>5</v>
      </c>
      <c r="C260" t="s">
        <v>184</v>
      </c>
      <c r="D260">
        <v>1</v>
      </c>
    </row>
    <row r="261" spans="1:4" hidden="1" x14ac:dyDescent="0.35">
      <c r="A261" t="s">
        <v>98</v>
      </c>
      <c r="B261" t="s">
        <v>5</v>
      </c>
      <c r="C261" t="s">
        <v>184</v>
      </c>
      <c r="D261">
        <v>1</v>
      </c>
    </row>
    <row r="262" spans="1:4" hidden="1" x14ac:dyDescent="0.35">
      <c r="A262" t="s">
        <v>101</v>
      </c>
      <c r="B262" t="s">
        <v>5</v>
      </c>
      <c r="C262" t="s">
        <v>184</v>
      </c>
      <c r="D262">
        <v>1</v>
      </c>
    </row>
    <row r="263" spans="1:4" hidden="1" x14ac:dyDescent="0.35">
      <c r="A263" t="s">
        <v>103</v>
      </c>
      <c r="B263" t="s">
        <v>5</v>
      </c>
      <c r="C263" t="s">
        <v>184</v>
      </c>
      <c r="D263">
        <v>1</v>
      </c>
    </row>
    <row r="264" spans="1:4" hidden="1" x14ac:dyDescent="0.35">
      <c r="A264" t="s">
        <v>106</v>
      </c>
      <c r="B264" t="s">
        <v>5</v>
      </c>
      <c r="C264" t="s">
        <v>184</v>
      </c>
      <c r="D264">
        <v>1</v>
      </c>
    </row>
    <row r="265" spans="1:4" hidden="1" x14ac:dyDescent="0.35">
      <c r="A265" t="s">
        <v>50</v>
      </c>
      <c r="B265" t="s">
        <v>5</v>
      </c>
      <c r="C265" t="s">
        <v>184</v>
      </c>
      <c r="D265">
        <v>1</v>
      </c>
    </row>
    <row r="266" spans="1:4" hidden="1" x14ac:dyDescent="0.35">
      <c r="A266" t="s">
        <v>50</v>
      </c>
      <c r="B266" t="s">
        <v>5</v>
      </c>
      <c r="C266" t="s">
        <v>184</v>
      </c>
      <c r="D266">
        <v>1</v>
      </c>
    </row>
    <row r="267" spans="1:4" hidden="1" x14ac:dyDescent="0.35">
      <c r="A267" t="s">
        <v>50</v>
      </c>
      <c r="B267" t="s">
        <v>5</v>
      </c>
      <c r="C267" t="s">
        <v>184</v>
      </c>
      <c r="D267">
        <v>1</v>
      </c>
    </row>
    <row r="268" spans="1:4" hidden="1" x14ac:dyDescent="0.35">
      <c r="A268" t="s">
        <v>50</v>
      </c>
      <c r="B268" t="s">
        <v>5</v>
      </c>
      <c r="C268" t="s">
        <v>184</v>
      </c>
      <c r="D268">
        <v>1</v>
      </c>
    </row>
    <row r="269" spans="1:4" hidden="1" x14ac:dyDescent="0.35">
      <c r="A269" t="s">
        <v>50</v>
      </c>
      <c r="B269" t="s">
        <v>5</v>
      </c>
      <c r="C269" t="s">
        <v>184</v>
      </c>
      <c r="D269">
        <v>1</v>
      </c>
    </row>
    <row r="270" spans="1:4" hidden="1" x14ac:dyDescent="0.35">
      <c r="A270" t="s">
        <v>50</v>
      </c>
      <c r="B270" t="s">
        <v>5</v>
      </c>
      <c r="C270" t="s">
        <v>184</v>
      </c>
      <c r="D270">
        <v>1</v>
      </c>
    </row>
    <row r="271" spans="1:4" hidden="1" x14ac:dyDescent="0.35">
      <c r="A271" t="s">
        <v>50</v>
      </c>
      <c r="B271" t="s">
        <v>5</v>
      </c>
      <c r="C271" t="s">
        <v>184</v>
      </c>
      <c r="D271">
        <v>1</v>
      </c>
    </row>
    <row r="272" spans="1:4" hidden="1" x14ac:dyDescent="0.35">
      <c r="A272" t="s">
        <v>50</v>
      </c>
      <c r="B272" t="s">
        <v>5</v>
      </c>
      <c r="C272" t="s">
        <v>184</v>
      </c>
      <c r="D272">
        <v>1</v>
      </c>
    </row>
    <row r="273" spans="1:4" hidden="1" x14ac:dyDescent="0.35">
      <c r="A273" t="s">
        <v>50</v>
      </c>
      <c r="B273" t="s">
        <v>5</v>
      </c>
      <c r="C273" t="s">
        <v>184</v>
      </c>
      <c r="D273">
        <v>1</v>
      </c>
    </row>
    <row r="274" spans="1:4" hidden="1" x14ac:dyDescent="0.35">
      <c r="A274" t="s">
        <v>50</v>
      </c>
      <c r="B274" t="s">
        <v>5</v>
      </c>
      <c r="C274" t="s">
        <v>184</v>
      </c>
      <c r="D274">
        <v>1</v>
      </c>
    </row>
    <row r="275" spans="1:4" hidden="1" x14ac:dyDescent="0.35">
      <c r="A275" t="s">
        <v>50</v>
      </c>
      <c r="B275" t="s">
        <v>5</v>
      </c>
      <c r="C275" t="s">
        <v>184</v>
      </c>
      <c r="D275">
        <v>1</v>
      </c>
    </row>
    <row r="276" spans="1:4" hidden="1" x14ac:dyDescent="0.35">
      <c r="A276" t="s">
        <v>50</v>
      </c>
      <c r="B276" t="s">
        <v>5</v>
      </c>
      <c r="C276" t="s">
        <v>184</v>
      </c>
      <c r="D276">
        <v>1</v>
      </c>
    </row>
    <row r="277" spans="1:4" hidden="1" x14ac:dyDescent="0.35">
      <c r="A277" t="s">
        <v>50</v>
      </c>
      <c r="B277" t="s">
        <v>5</v>
      </c>
      <c r="C277" t="s">
        <v>184</v>
      </c>
      <c r="D277">
        <v>1</v>
      </c>
    </row>
    <row r="278" spans="1:4" hidden="1" x14ac:dyDescent="0.35">
      <c r="A278" t="s">
        <v>50</v>
      </c>
      <c r="B278" t="s">
        <v>5</v>
      </c>
      <c r="C278" t="s">
        <v>184</v>
      </c>
      <c r="D278">
        <v>1</v>
      </c>
    </row>
    <row r="279" spans="1:4" hidden="1" x14ac:dyDescent="0.35">
      <c r="A279" t="s">
        <v>50</v>
      </c>
      <c r="B279" t="s">
        <v>5</v>
      </c>
      <c r="C279" t="s">
        <v>184</v>
      </c>
      <c r="D279">
        <v>1</v>
      </c>
    </row>
    <row r="280" spans="1:4" hidden="1" x14ac:dyDescent="0.35">
      <c r="A280" t="s">
        <v>58</v>
      </c>
      <c r="B280" t="s">
        <v>5</v>
      </c>
      <c r="C280" t="s">
        <v>184</v>
      </c>
      <c r="D280">
        <v>1</v>
      </c>
    </row>
    <row r="281" spans="1:4" hidden="1" x14ac:dyDescent="0.35">
      <c r="A281" t="s">
        <v>67</v>
      </c>
      <c r="B281" t="s">
        <v>5</v>
      </c>
      <c r="C281" t="s">
        <v>184</v>
      </c>
      <c r="D281">
        <v>1</v>
      </c>
    </row>
    <row r="282" spans="1:4" hidden="1" x14ac:dyDescent="0.35">
      <c r="A282" t="s">
        <v>67</v>
      </c>
      <c r="B282" t="s">
        <v>5</v>
      </c>
      <c r="C282" t="s">
        <v>184</v>
      </c>
      <c r="D282">
        <v>1</v>
      </c>
    </row>
    <row r="283" spans="1:4" hidden="1" x14ac:dyDescent="0.35">
      <c r="A283" t="s">
        <v>67</v>
      </c>
      <c r="B283" t="s">
        <v>5</v>
      </c>
      <c r="C283" t="s">
        <v>184</v>
      </c>
      <c r="D283">
        <v>1</v>
      </c>
    </row>
    <row r="284" spans="1:4" hidden="1" x14ac:dyDescent="0.35">
      <c r="A284" t="s">
        <v>67</v>
      </c>
      <c r="B284" t="s">
        <v>5</v>
      </c>
      <c r="C284" t="s">
        <v>184</v>
      </c>
      <c r="D284">
        <v>1</v>
      </c>
    </row>
    <row r="285" spans="1:4" hidden="1" x14ac:dyDescent="0.35">
      <c r="A285" t="s">
        <v>67</v>
      </c>
      <c r="B285" t="s">
        <v>5</v>
      </c>
      <c r="C285" t="s">
        <v>184</v>
      </c>
      <c r="D285">
        <v>1</v>
      </c>
    </row>
    <row r="286" spans="1:4" hidden="1" x14ac:dyDescent="0.35">
      <c r="A286" t="s">
        <v>77</v>
      </c>
      <c r="B286" t="s">
        <v>5</v>
      </c>
      <c r="C286" t="s">
        <v>184</v>
      </c>
      <c r="D286">
        <v>1</v>
      </c>
    </row>
    <row r="287" spans="1:4" hidden="1" x14ac:dyDescent="0.35">
      <c r="A287" t="s">
        <v>97</v>
      </c>
      <c r="B287" t="s">
        <v>5</v>
      </c>
      <c r="C287" t="s">
        <v>184</v>
      </c>
      <c r="D287">
        <v>1</v>
      </c>
    </row>
    <row r="288" spans="1:4" hidden="1" x14ac:dyDescent="0.35">
      <c r="A288" t="s">
        <v>103</v>
      </c>
      <c r="B288" t="s">
        <v>5</v>
      </c>
      <c r="C288" t="s">
        <v>184</v>
      </c>
      <c r="D288">
        <v>1</v>
      </c>
    </row>
    <row r="289" spans="1:4" hidden="1" x14ac:dyDescent="0.35">
      <c r="A289" t="s">
        <v>104</v>
      </c>
      <c r="B289" t="s">
        <v>5</v>
      </c>
      <c r="C289" t="s">
        <v>184</v>
      </c>
      <c r="D289">
        <v>1</v>
      </c>
    </row>
    <row r="290" spans="1:4" hidden="1" x14ac:dyDescent="0.35">
      <c r="A290" t="s">
        <v>106</v>
      </c>
      <c r="B290" t="s">
        <v>5</v>
      </c>
      <c r="C290" t="s">
        <v>184</v>
      </c>
      <c r="D290">
        <v>1</v>
      </c>
    </row>
    <row r="291" spans="1:4" hidden="1" x14ac:dyDescent="0.35">
      <c r="A291" t="s">
        <v>106</v>
      </c>
      <c r="B291" t="s">
        <v>5</v>
      </c>
      <c r="C291" t="s">
        <v>184</v>
      </c>
      <c r="D291">
        <v>1</v>
      </c>
    </row>
    <row r="292" spans="1:4" hidden="1" x14ac:dyDescent="0.35">
      <c r="A292" t="s">
        <v>106</v>
      </c>
      <c r="B292" t="s">
        <v>5</v>
      </c>
      <c r="C292" t="s">
        <v>184</v>
      </c>
      <c r="D292">
        <v>1</v>
      </c>
    </row>
    <row r="293" spans="1:4" hidden="1" x14ac:dyDescent="0.35">
      <c r="A293" t="s">
        <v>113</v>
      </c>
      <c r="B293" t="s">
        <v>5</v>
      </c>
      <c r="C293" t="s">
        <v>184</v>
      </c>
      <c r="D293">
        <v>1</v>
      </c>
    </row>
    <row r="294" spans="1:4" hidden="1" x14ac:dyDescent="0.35">
      <c r="A294" t="s">
        <v>121</v>
      </c>
      <c r="B294" t="s">
        <v>5</v>
      </c>
      <c r="C294" t="s">
        <v>184</v>
      </c>
      <c r="D294">
        <v>1</v>
      </c>
    </row>
    <row r="295" spans="1:4" hidden="1" x14ac:dyDescent="0.35">
      <c r="A295" t="s">
        <v>128</v>
      </c>
      <c r="B295" t="s">
        <v>5</v>
      </c>
      <c r="C295" t="s">
        <v>184</v>
      </c>
      <c r="D295">
        <v>1</v>
      </c>
    </row>
    <row r="296" spans="1:4" hidden="1" x14ac:dyDescent="0.35">
      <c r="A296" t="s">
        <v>128</v>
      </c>
      <c r="B296" t="s">
        <v>5</v>
      </c>
      <c r="C296" t="s">
        <v>184</v>
      </c>
      <c r="D296">
        <v>1</v>
      </c>
    </row>
    <row r="297" spans="1:4" hidden="1" x14ac:dyDescent="0.35">
      <c r="A297" t="s">
        <v>128</v>
      </c>
      <c r="B297" t="s">
        <v>5</v>
      </c>
      <c r="C297" t="s">
        <v>184</v>
      </c>
      <c r="D297">
        <v>1</v>
      </c>
    </row>
    <row r="298" spans="1:4" hidden="1" x14ac:dyDescent="0.35">
      <c r="A298" t="s">
        <v>128</v>
      </c>
      <c r="B298" t="s">
        <v>5</v>
      </c>
      <c r="C298" t="s">
        <v>184</v>
      </c>
      <c r="D298">
        <v>1</v>
      </c>
    </row>
    <row r="299" spans="1:4" hidden="1" x14ac:dyDescent="0.35">
      <c r="A299" t="s">
        <v>128</v>
      </c>
      <c r="B299" t="s">
        <v>5</v>
      </c>
      <c r="C299" t="s">
        <v>184</v>
      </c>
      <c r="D299">
        <v>1</v>
      </c>
    </row>
    <row r="300" spans="1:4" hidden="1" x14ac:dyDescent="0.35">
      <c r="A300" t="s">
        <v>128</v>
      </c>
      <c r="B300" t="s">
        <v>5</v>
      </c>
      <c r="C300" t="s">
        <v>184</v>
      </c>
      <c r="D300">
        <v>1</v>
      </c>
    </row>
    <row r="301" spans="1:4" hidden="1" x14ac:dyDescent="0.35">
      <c r="A301" t="s">
        <v>50</v>
      </c>
      <c r="B301" t="s">
        <v>5</v>
      </c>
      <c r="C301" t="s">
        <v>184</v>
      </c>
      <c r="D301">
        <v>1</v>
      </c>
    </row>
    <row r="302" spans="1:4" hidden="1" x14ac:dyDescent="0.35">
      <c r="A302" t="s">
        <v>50</v>
      </c>
      <c r="B302" t="s">
        <v>5</v>
      </c>
      <c r="C302" t="s">
        <v>184</v>
      </c>
      <c r="D302">
        <v>1</v>
      </c>
    </row>
    <row r="303" spans="1:4" hidden="1" x14ac:dyDescent="0.35">
      <c r="A303" t="s">
        <v>50</v>
      </c>
      <c r="B303" t="s">
        <v>5</v>
      </c>
      <c r="C303" t="s">
        <v>184</v>
      </c>
      <c r="D303">
        <v>1</v>
      </c>
    </row>
    <row r="304" spans="1:4" hidden="1" x14ac:dyDescent="0.35">
      <c r="A304" t="s">
        <v>50</v>
      </c>
      <c r="B304" t="s">
        <v>5</v>
      </c>
      <c r="C304" t="s">
        <v>184</v>
      </c>
      <c r="D304">
        <v>1</v>
      </c>
    </row>
    <row r="305" spans="1:4" hidden="1" x14ac:dyDescent="0.35">
      <c r="A305" t="s">
        <v>50</v>
      </c>
      <c r="B305" t="s">
        <v>5</v>
      </c>
      <c r="C305" t="s">
        <v>184</v>
      </c>
      <c r="D305">
        <v>1</v>
      </c>
    </row>
    <row r="306" spans="1:4" hidden="1" x14ac:dyDescent="0.35">
      <c r="A306" t="s">
        <v>50</v>
      </c>
      <c r="B306" t="s">
        <v>5</v>
      </c>
      <c r="C306" t="s">
        <v>184</v>
      </c>
      <c r="D306">
        <v>1</v>
      </c>
    </row>
    <row r="307" spans="1:4" hidden="1" x14ac:dyDescent="0.35">
      <c r="A307" t="s">
        <v>50</v>
      </c>
      <c r="B307" t="s">
        <v>5</v>
      </c>
      <c r="C307" t="s">
        <v>184</v>
      </c>
      <c r="D307">
        <v>1</v>
      </c>
    </row>
    <row r="308" spans="1:4" hidden="1" x14ac:dyDescent="0.35">
      <c r="A308" t="s">
        <v>50</v>
      </c>
      <c r="B308" t="s">
        <v>5</v>
      </c>
      <c r="C308" t="s">
        <v>184</v>
      </c>
      <c r="D308">
        <v>1</v>
      </c>
    </row>
    <row r="309" spans="1:4" hidden="1" x14ac:dyDescent="0.35">
      <c r="A309" t="s">
        <v>50</v>
      </c>
      <c r="B309" t="s">
        <v>5</v>
      </c>
      <c r="C309" t="s">
        <v>184</v>
      </c>
      <c r="D309">
        <v>1</v>
      </c>
    </row>
    <row r="310" spans="1:4" hidden="1" x14ac:dyDescent="0.35">
      <c r="A310" t="s">
        <v>50</v>
      </c>
      <c r="B310" t="s">
        <v>5</v>
      </c>
      <c r="C310" t="s">
        <v>184</v>
      </c>
      <c r="D310">
        <v>1</v>
      </c>
    </row>
    <row r="311" spans="1:4" hidden="1" x14ac:dyDescent="0.35">
      <c r="A311" t="s">
        <v>50</v>
      </c>
      <c r="B311" t="s">
        <v>5</v>
      </c>
      <c r="C311" t="s">
        <v>184</v>
      </c>
      <c r="D311">
        <v>1</v>
      </c>
    </row>
    <row r="312" spans="1:4" hidden="1" x14ac:dyDescent="0.35">
      <c r="A312" t="s">
        <v>50</v>
      </c>
      <c r="B312" t="s">
        <v>5</v>
      </c>
      <c r="C312" t="s">
        <v>184</v>
      </c>
      <c r="D312">
        <v>1</v>
      </c>
    </row>
    <row r="313" spans="1:4" hidden="1" x14ac:dyDescent="0.35">
      <c r="A313" t="s">
        <v>50</v>
      </c>
      <c r="B313" t="s">
        <v>5</v>
      </c>
      <c r="C313" t="s">
        <v>184</v>
      </c>
      <c r="D313">
        <v>1</v>
      </c>
    </row>
    <row r="314" spans="1:4" hidden="1" x14ac:dyDescent="0.35">
      <c r="A314" t="s">
        <v>50</v>
      </c>
      <c r="B314" t="s">
        <v>5</v>
      </c>
      <c r="C314" t="s">
        <v>184</v>
      </c>
      <c r="D314">
        <v>1</v>
      </c>
    </row>
    <row r="315" spans="1:4" hidden="1" x14ac:dyDescent="0.35">
      <c r="A315" t="s">
        <v>50</v>
      </c>
      <c r="B315" t="s">
        <v>5</v>
      </c>
      <c r="C315" t="s">
        <v>184</v>
      </c>
      <c r="D315">
        <v>1</v>
      </c>
    </row>
    <row r="316" spans="1:4" hidden="1" x14ac:dyDescent="0.35">
      <c r="A316" t="s">
        <v>50</v>
      </c>
      <c r="B316" t="s">
        <v>5</v>
      </c>
      <c r="C316" t="s">
        <v>184</v>
      </c>
      <c r="D316">
        <v>1</v>
      </c>
    </row>
    <row r="317" spans="1:4" hidden="1" x14ac:dyDescent="0.35">
      <c r="A317" t="s">
        <v>50</v>
      </c>
      <c r="B317" t="s">
        <v>5</v>
      </c>
      <c r="C317" t="s">
        <v>184</v>
      </c>
      <c r="D317">
        <v>1</v>
      </c>
    </row>
    <row r="318" spans="1:4" hidden="1" x14ac:dyDescent="0.35">
      <c r="A318" t="s">
        <v>50</v>
      </c>
      <c r="B318" t="s">
        <v>5</v>
      </c>
      <c r="C318" t="s">
        <v>184</v>
      </c>
      <c r="D318">
        <v>1</v>
      </c>
    </row>
    <row r="319" spans="1:4" hidden="1" x14ac:dyDescent="0.35">
      <c r="A319" t="s">
        <v>50</v>
      </c>
      <c r="B319" t="s">
        <v>5</v>
      </c>
      <c r="C319" t="s">
        <v>184</v>
      </c>
      <c r="D319">
        <v>1</v>
      </c>
    </row>
    <row r="320" spans="1:4" hidden="1" x14ac:dyDescent="0.35">
      <c r="A320" t="s">
        <v>50</v>
      </c>
      <c r="B320" t="s">
        <v>5</v>
      </c>
      <c r="C320" t="s">
        <v>184</v>
      </c>
      <c r="D320">
        <v>1</v>
      </c>
    </row>
    <row r="321" spans="1:4" hidden="1" x14ac:dyDescent="0.35">
      <c r="A321" t="s">
        <v>50</v>
      </c>
      <c r="B321" t="s">
        <v>5</v>
      </c>
      <c r="C321" t="s">
        <v>184</v>
      </c>
      <c r="D321">
        <v>1</v>
      </c>
    </row>
    <row r="322" spans="1:4" hidden="1" x14ac:dyDescent="0.35">
      <c r="A322" t="s">
        <v>57</v>
      </c>
      <c r="B322" t="s">
        <v>5</v>
      </c>
      <c r="C322" t="s">
        <v>184</v>
      </c>
      <c r="D322">
        <v>1</v>
      </c>
    </row>
    <row r="323" spans="1:4" hidden="1" x14ac:dyDescent="0.35">
      <c r="A323" t="s">
        <v>58</v>
      </c>
      <c r="B323" t="s">
        <v>5</v>
      </c>
      <c r="C323" t="s">
        <v>184</v>
      </c>
      <c r="D323">
        <v>1</v>
      </c>
    </row>
    <row r="324" spans="1:4" hidden="1" x14ac:dyDescent="0.35">
      <c r="A324" t="s">
        <v>65</v>
      </c>
      <c r="B324" t="s">
        <v>5</v>
      </c>
      <c r="C324" t="s">
        <v>184</v>
      </c>
      <c r="D324">
        <v>1</v>
      </c>
    </row>
    <row r="325" spans="1:4" hidden="1" x14ac:dyDescent="0.35">
      <c r="A325" t="s">
        <v>67</v>
      </c>
      <c r="B325" t="s">
        <v>5</v>
      </c>
      <c r="C325" t="s">
        <v>184</v>
      </c>
      <c r="D325">
        <v>1</v>
      </c>
    </row>
    <row r="326" spans="1:4" hidden="1" x14ac:dyDescent="0.35">
      <c r="A326" t="s">
        <v>67</v>
      </c>
      <c r="B326" t="s">
        <v>5</v>
      </c>
      <c r="C326" t="s">
        <v>184</v>
      </c>
      <c r="D326">
        <v>1</v>
      </c>
    </row>
    <row r="327" spans="1:4" hidden="1" x14ac:dyDescent="0.35">
      <c r="A327" t="s">
        <v>67</v>
      </c>
      <c r="B327" t="s">
        <v>5</v>
      </c>
      <c r="C327" t="s">
        <v>184</v>
      </c>
      <c r="D327">
        <v>1</v>
      </c>
    </row>
    <row r="328" spans="1:4" hidden="1" x14ac:dyDescent="0.35">
      <c r="A328" t="s">
        <v>67</v>
      </c>
      <c r="B328" t="s">
        <v>5</v>
      </c>
      <c r="C328" t="s">
        <v>184</v>
      </c>
      <c r="D328">
        <v>1</v>
      </c>
    </row>
    <row r="329" spans="1:4" hidden="1" x14ac:dyDescent="0.35">
      <c r="A329" t="s">
        <v>67</v>
      </c>
      <c r="B329" t="s">
        <v>5</v>
      </c>
      <c r="C329" t="s">
        <v>184</v>
      </c>
      <c r="D329">
        <v>1</v>
      </c>
    </row>
    <row r="330" spans="1:4" hidden="1" x14ac:dyDescent="0.35">
      <c r="A330" t="s">
        <v>67</v>
      </c>
      <c r="B330" t="s">
        <v>5</v>
      </c>
      <c r="C330" t="s">
        <v>184</v>
      </c>
      <c r="D330">
        <v>1</v>
      </c>
    </row>
    <row r="331" spans="1:4" hidden="1" x14ac:dyDescent="0.35">
      <c r="A331" t="s">
        <v>67</v>
      </c>
      <c r="B331" t="s">
        <v>5</v>
      </c>
      <c r="C331" t="s">
        <v>184</v>
      </c>
      <c r="D331">
        <v>1</v>
      </c>
    </row>
    <row r="332" spans="1:4" hidden="1" x14ac:dyDescent="0.35">
      <c r="A332" t="s">
        <v>67</v>
      </c>
      <c r="B332" t="s">
        <v>5</v>
      </c>
      <c r="C332" t="s">
        <v>184</v>
      </c>
      <c r="D332">
        <v>1</v>
      </c>
    </row>
    <row r="333" spans="1:4" hidden="1" x14ac:dyDescent="0.35">
      <c r="A333" t="s">
        <v>67</v>
      </c>
      <c r="B333" t="s">
        <v>5</v>
      </c>
      <c r="C333" t="s">
        <v>184</v>
      </c>
      <c r="D333">
        <v>1</v>
      </c>
    </row>
    <row r="334" spans="1:4" hidden="1" x14ac:dyDescent="0.35">
      <c r="A334" t="s">
        <v>142</v>
      </c>
      <c r="B334" t="s">
        <v>5</v>
      </c>
      <c r="C334" t="s">
        <v>184</v>
      </c>
      <c r="D334">
        <v>1</v>
      </c>
    </row>
    <row r="335" spans="1:4" hidden="1" x14ac:dyDescent="0.35">
      <c r="A335" t="s">
        <v>77</v>
      </c>
      <c r="B335" t="s">
        <v>5</v>
      </c>
      <c r="C335" t="s">
        <v>184</v>
      </c>
      <c r="D335">
        <v>1</v>
      </c>
    </row>
    <row r="336" spans="1:4" hidden="1" x14ac:dyDescent="0.35">
      <c r="A336" t="s">
        <v>103</v>
      </c>
      <c r="B336" t="s">
        <v>5</v>
      </c>
      <c r="C336" t="s">
        <v>184</v>
      </c>
      <c r="D336">
        <v>1</v>
      </c>
    </row>
    <row r="337" spans="1:4" hidden="1" x14ac:dyDescent="0.35">
      <c r="A337" t="s">
        <v>103</v>
      </c>
      <c r="B337" t="s">
        <v>5</v>
      </c>
      <c r="C337" t="s">
        <v>184</v>
      </c>
      <c r="D337">
        <v>1</v>
      </c>
    </row>
    <row r="338" spans="1:4" hidden="1" x14ac:dyDescent="0.35">
      <c r="A338" t="s">
        <v>106</v>
      </c>
      <c r="B338" t="s">
        <v>5</v>
      </c>
      <c r="C338" t="s">
        <v>184</v>
      </c>
      <c r="D338">
        <v>1</v>
      </c>
    </row>
    <row r="339" spans="1:4" hidden="1" x14ac:dyDescent="0.35">
      <c r="A339" t="s">
        <v>125</v>
      </c>
      <c r="B339" t="s">
        <v>5</v>
      </c>
      <c r="C339" t="s">
        <v>184</v>
      </c>
      <c r="D339">
        <v>1</v>
      </c>
    </row>
    <row r="340" spans="1:4" hidden="1" x14ac:dyDescent="0.35">
      <c r="A340" t="s">
        <v>128</v>
      </c>
      <c r="B340" t="s">
        <v>5</v>
      </c>
      <c r="C340" t="s">
        <v>184</v>
      </c>
      <c r="D340">
        <v>1</v>
      </c>
    </row>
    <row r="341" spans="1:4" hidden="1" x14ac:dyDescent="0.35">
      <c r="A341" t="s">
        <v>128</v>
      </c>
      <c r="B341" t="s">
        <v>5</v>
      </c>
      <c r="C341" t="s">
        <v>184</v>
      </c>
      <c r="D341">
        <v>1</v>
      </c>
    </row>
    <row r="342" spans="1:4" hidden="1" x14ac:dyDescent="0.35">
      <c r="A342" t="s">
        <v>128</v>
      </c>
      <c r="B342" t="s">
        <v>5</v>
      </c>
      <c r="C342" t="s">
        <v>184</v>
      </c>
      <c r="D342">
        <v>1</v>
      </c>
    </row>
    <row r="343" spans="1:4" hidden="1" x14ac:dyDescent="0.35">
      <c r="A343" t="s">
        <v>128</v>
      </c>
      <c r="B343" t="s">
        <v>5</v>
      </c>
      <c r="C343" t="s">
        <v>184</v>
      </c>
      <c r="D343">
        <v>1</v>
      </c>
    </row>
    <row r="344" spans="1:4" hidden="1" x14ac:dyDescent="0.35">
      <c r="A344" t="s">
        <v>128</v>
      </c>
      <c r="B344" t="s">
        <v>5</v>
      </c>
      <c r="C344" t="s">
        <v>184</v>
      </c>
      <c r="D344">
        <v>1</v>
      </c>
    </row>
    <row r="345" spans="1:4" hidden="1" x14ac:dyDescent="0.35">
      <c r="A345" t="s">
        <v>128</v>
      </c>
      <c r="B345" t="s">
        <v>5</v>
      </c>
      <c r="C345" t="s">
        <v>184</v>
      </c>
      <c r="D345">
        <v>1</v>
      </c>
    </row>
    <row r="346" spans="1:4" hidden="1" x14ac:dyDescent="0.35">
      <c r="A346" t="s">
        <v>128</v>
      </c>
      <c r="B346" t="s">
        <v>5</v>
      </c>
      <c r="C346" t="s">
        <v>184</v>
      </c>
      <c r="D346">
        <v>1</v>
      </c>
    </row>
    <row r="347" spans="1:4" hidden="1" x14ac:dyDescent="0.35">
      <c r="A347" t="s">
        <v>128</v>
      </c>
      <c r="B347" t="s">
        <v>5</v>
      </c>
      <c r="C347" t="s">
        <v>184</v>
      </c>
      <c r="D347">
        <v>1</v>
      </c>
    </row>
    <row r="348" spans="1:4" hidden="1" x14ac:dyDescent="0.35">
      <c r="A348" t="s">
        <v>128</v>
      </c>
      <c r="B348" t="s">
        <v>5</v>
      </c>
      <c r="C348" t="s">
        <v>184</v>
      </c>
      <c r="D348">
        <v>1</v>
      </c>
    </row>
    <row r="349" spans="1:4" hidden="1" x14ac:dyDescent="0.35">
      <c r="A349" t="s">
        <v>128</v>
      </c>
      <c r="B349" t="s">
        <v>5</v>
      </c>
      <c r="C349" t="s">
        <v>184</v>
      </c>
      <c r="D349">
        <v>1</v>
      </c>
    </row>
    <row r="350" spans="1:4" hidden="1" x14ac:dyDescent="0.35">
      <c r="A350" t="s">
        <v>128</v>
      </c>
      <c r="B350" t="s">
        <v>5</v>
      </c>
      <c r="C350" t="s">
        <v>184</v>
      </c>
      <c r="D350">
        <v>1</v>
      </c>
    </row>
    <row r="351" spans="1:4" hidden="1" x14ac:dyDescent="0.35">
      <c r="A351" t="s">
        <v>128</v>
      </c>
      <c r="B351" t="s">
        <v>5</v>
      </c>
      <c r="C351" t="s">
        <v>184</v>
      </c>
      <c r="D351">
        <v>1</v>
      </c>
    </row>
    <row r="352" spans="1:4" hidden="1" x14ac:dyDescent="0.35">
      <c r="A352" t="s">
        <v>50</v>
      </c>
      <c r="B352" t="s">
        <v>5</v>
      </c>
      <c r="C352" t="s">
        <v>184</v>
      </c>
      <c r="D352">
        <v>1</v>
      </c>
    </row>
    <row r="353" spans="1:4" hidden="1" x14ac:dyDescent="0.35">
      <c r="A353" t="s">
        <v>50</v>
      </c>
      <c r="B353" t="s">
        <v>5</v>
      </c>
      <c r="C353" t="s">
        <v>184</v>
      </c>
      <c r="D353">
        <v>1</v>
      </c>
    </row>
    <row r="354" spans="1:4" hidden="1" x14ac:dyDescent="0.35">
      <c r="A354" t="s">
        <v>50</v>
      </c>
      <c r="B354" t="s">
        <v>5</v>
      </c>
      <c r="C354" t="s">
        <v>184</v>
      </c>
      <c r="D354">
        <v>1</v>
      </c>
    </row>
    <row r="355" spans="1:4" hidden="1" x14ac:dyDescent="0.35">
      <c r="A355" t="s">
        <v>50</v>
      </c>
      <c r="B355" t="s">
        <v>5</v>
      </c>
      <c r="C355" t="s">
        <v>184</v>
      </c>
      <c r="D355">
        <v>1</v>
      </c>
    </row>
    <row r="356" spans="1:4" hidden="1" x14ac:dyDescent="0.35">
      <c r="A356" t="s">
        <v>97</v>
      </c>
      <c r="B356" t="s">
        <v>5</v>
      </c>
      <c r="C356" t="s">
        <v>184</v>
      </c>
      <c r="D356">
        <v>1</v>
      </c>
    </row>
    <row r="357" spans="1:4" hidden="1" x14ac:dyDescent="0.35">
      <c r="A357" t="s">
        <v>103</v>
      </c>
      <c r="B357" t="s">
        <v>5</v>
      </c>
      <c r="C357" t="s">
        <v>184</v>
      </c>
      <c r="D357">
        <v>1</v>
      </c>
    </row>
    <row r="358" spans="1:4" hidden="1" x14ac:dyDescent="0.35">
      <c r="A358" t="s">
        <v>128</v>
      </c>
      <c r="B358" t="s">
        <v>5</v>
      </c>
      <c r="C358" t="s">
        <v>184</v>
      </c>
      <c r="D358">
        <v>1</v>
      </c>
    </row>
    <row r="359" spans="1:4" hidden="1" x14ac:dyDescent="0.35">
      <c r="A359" t="s">
        <v>128</v>
      </c>
      <c r="B359" t="s">
        <v>5</v>
      </c>
      <c r="C359" t="s">
        <v>184</v>
      </c>
      <c r="D359">
        <v>1</v>
      </c>
    </row>
    <row r="360" spans="1:4" hidden="1" x14ac:dyDescent="0.35">
      <c r="A360" t="s">
        <v>128</v>
      </c>
      <c r="B360" t="s">
        <v>5</v>
      </c>
      <c r="C360" t="s">
        <v>184</v>
      </c>
      <c r="D360">
        <v>1</v>
      </c>
    </row>
    <row r="361" spans="1:4" hidden="1" x14ac:dyDescent="0.35">
      <c r="A361" t="s">
        <v>128</v>
      </c>
      <c r="B361" t="s">
        <v>5</v>
      </c>
      <c r="C361" t="s">
        <v>184</v>
      </c>
      <c r="D361">
        <v>1</v>
      </c>
    </row>
    <row r="362" spans="1:4" hidden="1" x14ac:dyDescent="0.35">
      <c r="A362" t="s">
        <v>128</v>
      </c>
      <c r="B362" t="s">
        <v>5</v>
      </c>
      <c r="C362" t="s">
        <v>184</v>
      </c>
      <c r="D362">
        <v>1</v>
      </c>
    </row>
    <row r="363" spans="1:4" hidden="1" x14ac:dyDescent="0.35">
      <c r="A363" t="s">
        <v>128</v>
      </c>
      <c r="B363" t="s">
        <v>5</v>
      </c>
      <c r="C363" t="s">
        <v>184</v>
      </c>
      <c r="D363">
        <v>1</v>
      </c>
    </row>
    <row r="364" spans="1:4" hidden="1" x14ac:dyDescent="0.35">
      <c r="A364" t="s">
        <v>50</v>
      </c>
      <c r="B364" t="s">
        <v>5</v>
      </c>
      <c r="C364" t="s">
        <v>184</v>
      </c>
      <c r="D364">
        <v>1</v>
      </c>
    </row>
    <row r="365" spans="1:4" hidden="1" x14ac:dyDescent="0.35">
      <c r="A365" t="s">
        <v>50</v>
      </c>
      <c r="B365" t="s">
        <v>5</v>
      </c>
      <c r="C365" t="s">
        <v>184</v>
      </c>
      <c r="D365">
        <v>1</v>
      </c>
    </row>
    <row r="366" spans="1:4" hidden="1" x14ac:dyDescent="0.35">
      <c r="A366" t="s">
        <v>50</v>
      </c>
      <c r="B366" t="s">
        <v>5</v>
      </c>
      <c r="C366" t="s">
        <v>184</v>
      </c>
      <c r="D366">
        <v>1</v>
      </c>
    </row>
    <row r="367" spans="1:4" hidden="1" x14ac:dyDescent="0.35">
      <c r="A367" t="s">
        <v>50</v>
      </c>
      <c r="B367" t="s">
        <v>5</v>
      </c>
      <c r="C367" t="s">
        <v>184</v>
      </c>
      <c r="D367">
        <v>1</v>
      </c>
    </row>
    <row r="368" spans="1:4" hidden="1" x14ac:dyDescent="0.35">
      <c r="A368" t="s">
        <v>54</v>
      </c>
      <c r="B368" t="s">
        <v>5</v>
      </c>
      <c r="C368" t="s">
        <v>184</v>
      </c>
      <c r="D368">
        <v>1</v>
      </c>
    </row>
    <row r="369" spans="1:4" hidden="1" x14ac:dyDescent="0.35">
      <c r="A369" t="s">
        <v>54</v>
      </c>
      <c r="B369" t="s">
        <v>5</v>
      </c>
      <c r="C369" t="s">
        <v>184</v>
      </c>
      <c r="D369">
        <v>1</v>
      </c>
    </row>
    <row r="370" spans="1:4" hidden="1" x14ac:dyDescent="0.35">
      <c r="A370" t="s">
        <v>58</v>
      </c>
      <c r="B370" t="s">
        <v>5</v>
      </c>
      <c r="C370" t="s">
        <v>184</v>
      </c>
      <c r="D370">
        <v>1</v>
      </c>
    </row>
    <row r="371" spans="1:4" hidden="1" x14ac:dyDescent="0.35">
      <c r="A371" t="s">
        <v>67</v>
      </c>
      <c r="B371" t="s">
        <v>5</v>
      </c>
      <c r="C371" t="s">
        <v>184</v>
      </c>
      <c r="D371">
        <v>1</v>
      </c>
    </row>
    <row r="372" spans="1:4" hidden="1" x14ac:dyDescent="0.35">
      <c r="A372" t="s">
        <v>67</v>
      </c>
      <c r="B372" t="s">
        <v>5</v>
      </c>
      <c r="C372" t="s">
        <v>184</v>
      </c>
      <c r="D372">
        <v>1</v>
      </c>
    </row>
    <row r="373" spans="1:4" hidden="1" x14ac:dyDescent="0.35">
      <c r="A373" t="s">
        <v>142</v>
      </c>
      <c r="B373" t="s">
        <v>5</v>
      </c>
      <c r="C373" t="s">
        <v>184</v>
      </c>
      <c r="D373">
        <v>1</v>
      </c>
    </row>
    <row r="374" spans="1:4" hidden="1" x14ac:dyDescent="0.35">
      <c r="A374" t="s">
        <v>103</v>
      </c>
      <c r="B374" t="s">
        <v>5</v>
      </c>
      <c r="C374" t="s">
        <v>184</v>
      </c>
      <c r="D374">
        <v>1</v>
      </c>
    </row>
    <row r="375" spans="1:4" hidden="1" x14ac:dyDescent="0.35">
      <c r="A375" t="s">
        <v>115</v>
      </c>
      <c r="B375" t="s">
        <v>5</v>
      </c>
      <c r="C375" t="s">
        <v>184</v>
      </c>
      <c r="D375">
        <v>1</v>
      </c>
    </row>
    <row r="376" spans="1:4" hidden="1" x14ac:dyDescent="0.35">
      <c r="A376" t="s">
        <v>119</v>
      </c>
      <c r="B376" t="s">
        <v>5</v>
      </c>
      <c r="C376" t="s">
        <v>184</v>
      </c>
      <c r="D376">
        <v>1</v>
      </c>
    </row>
    <row r="377" spans="1:4" hidden="1" x14ac:dyDescent="0.35">
      <c r="A377" t="s">
        <v>128</v>
      </c>
      <c r="B377" t="s">
        <v>5</v>
      </c>
      <c r="C377" t="s">
        <v>184</v>
      </c>
      <c r="D377">
        <v>1</v>
      </c>
    </row>
    <row r="378" spans="1:4" hidden="1" x14ac:dyDescent="0.35">
      <c r="A378" t="s">
        <v>50</v>
      </c>
      <c r="B378" t="s">
        <v>5</v>
      </c>
      <c r="C378" t="s">
        <v>184</v>
      </c>
      <c r="D378">
        <v>1</v>
      </c>
    </row>
    <row r="379" spans="1:4" hidden="1" x14ac:dyDescent="0.35">
      <c r="A379" t="s">
        <v>50</v>
      </c>
      <c r="B379" t="s">
        <v>5</v>
      </c>
      <c r="C379" t="s">
        <v>184</v>
      </c>
      <c r="D379">
        <v>1</v>
      </c>
    </row>
    <row r="380" spans="1:4" hidden="1" x14ac:dyDescent="0.35">
      <c r="A380" t="s">
        <v>50</v>
      </c>
      <c r="B380" t="s">
        <v>5</v>
      </c>
      <c r="C380" t="s">
        <v>184</v>
      </c>
      <c r="D380">
        <v>1</v>
      </c>
    </row>
    <row r="381" spans="1:4" hidden="1" x14ac:dyDescent="0.35">
      <c r="A381" t="s">
        <v>50</v>
      </c>
      <c r="B381" t="s">
        <v>5</v>
      </c>
      <c r="C381" t="s">
        <v>184</v>
      </c>
      <c r="D381">
        <v>1</v>
      </c>
    </row>
    <row r="382" spans="1:4" hidden="1" x14ac:dyDescent="0.35">
      <c r="A382" t="s">
        <v>50</v>
      </c>
      <c r="B382" t="s">
        <v>5</v>
      </c>
      <c r="C382" t="s">
        <v>184</v>
      </c>
      <c r="D382">
        <v>1</v>
      </c>
    </row>
    <row r="383" spans="1:4" hidden="1" x14ac:dyDescent="0.35">
      <c r="A383" t="s">
        <v>50</v>
      </c>
      <c r="B383" t="s">
        <v>5</v>
      </c>
      <c r="C383" t="s">
        <v>184</v>
      </c>
      <c r="D383">
        <v>1</v>
      </c>
    </row>
    <row r="384" spans="1:4" hidden="1" x14ac:dyDescent="0.35">
      <c r="A384" t="s">
        <v>50</v>
      </c>
      <c r="B384" t="s">
        <v>5</v>
      </c>
      <c r="C384" t="s">
        <v>184</v>
      </c>
      <c r="D384">
        <v>1</v>
      </c>
    </row>
    <row r="385" spans="1:4" hidden="1" x14ac:dyDescent="0.35">
      <c r="A385" t="s">
        <v>50</v>
      </c>
      <c r="B385" t="s">
        <v>5</v>
      </c>
      <c r="C385" t="s">
        <v>184</v>
      </c>
      <c r="D385">
        <v>1</v>
      </c>
    </row>
    <row r="386" spans="1:4" hidden="1" x14ac:dyDescent="0.35">
      <c r="A386" t="s">
        <v>54</v>
      </c>
      <c r="B386" t="s">
        <v>5</v>
      </c>
      <c r="C386" t="s">
        <v>184</v>
      </c>
      <c r="D386">
        <v>1</v>
      </c>
    </row>
    <row r="387" spans="1:4" hidden="1" x14ac:dyDescent="0.35">
      <c r="A387" t="s">
        <v>142</v>
      </c>
      <c r="B387" t="s">
        <v>5</v>
      </c>
      <c r="C387" t="s">
        <v>184</v>
      </c>
      <c r="D387">
        <v>1</v>
      </c>
    </row>
    <row r="388" spans="1:4" hidden="1" x14ac:dyDescent="0.35">
      <c r="A388" t="s">
        <v>57</v>
      </c>
      <c r="B388" t="s">
        <v>5</v>
      </c>
      <c r="C388" t="s">
        <v>184</v>
      </c>
      <c r="D388">
        <v>1</v>
      </c>
    </row>
    <row r="389" spans="1:4" hidden="1" x14ac:dyDescent="0.35">
      <c r="A389" t="s">
        <v>57</v>
      </c>
      <c r="B389" t="s">
        <v>5</v>
      </c>
      <c r="C389" t="s">
        <v>184</v>
      </c>
      <c r="D389">
        <v>1</v>
      </c>
    </row>
    <row r="390" spans="1:4" hidden="1" x14ac:dyDescent="0.35">
      <c r="A390" t="s">
        <v>57</v>
      </c>
      <c r="B390" t="s">
        <v>5</v>
      </c>
      <c r="C390" t="s">
        <v>184</v>
      </c>
      <c r="D390">
        <v>1</v>
      </c>
    </row>
    <row r="391" spans="1:4" hidden="1" x14ac:dyDescent="0.35">
      <c r="A391" t="s">
        <v>58</v>
      </c>
      <c r="B391" t="s">
        <v>5</v>
      </c>
      <c r="C391" t="s">
        <v>184</v>
      </c>
      <c r="D391">
        <v>1</v>
      </c>
    </row>
    <row r="392" spans="1:4" hidden="1" x14ac:dyDescent="0.35">
      <c r="A392" t="s">
        <v>67</v>
      </c>
      <c r="B392" t="s">
        <v>5</v>
      </c>
      <c r="C392" t="s">
        <v>184</v>
      </c>
      <c r="D392">
        <v>1</v>
      </c>
    </row>
    <row r="393" spans="1:4" hidden="1" x14ac:dyDescent="0.35">
      <c r="A393" t="s">
        <v>67</v>
      </c>
      <c r="B393" t="s">
        <v>5</v>
      </c>
      <c r="C393" t="s">
        <v>184</v>
      </c>
      <c r="D393">
        <v>1</v>
      </c>
    </row>
    <row r="394" spans="1:4" hidden="1" x14ac:dyDescent="0.35">
      <c r="A394" t="s">
        <v>67</v>
      </c>
      <c r="B394" t="s">
        <v>5</v>
      </c>
      <c r="C394" t="s">
        <v>184</v>
      </c>
      <c r="D394">
        <v>1</v>
      </c>
    </row>
    <row r="395" spans="1:4" hidden="1" x14ac:dyDescent="0.35">
      <c r="A395" t="s">
        <v>67</v>
      </c>
      <c r="B395" t="s">
        <v>5</v>
      </c>
      <c r="C395" t="s">
        <v>184</v>
      </c>
      <c r="D395">
        <v>1</v>
      </c>
    </row>
    <row r="396" spans="1:4" hidden="1" x14ac:dyDescent="0.35">
      <c r="A396" t="s">
        <v>67</v>
      </c>
      <c r="B396" t="s">
        <v>5</v>
      </c>
      <c r="C396" t="s">
        <v>184</v>
      </c>
      <c r="D396">
        <v>1</v>
      </c>
    </row>
    <row r="397" spans="1:4" hidden="1" x14ac:dyDescent="0.35">
      <c r="A397" t="s">
        <v>67</v>
      </c>
      <c r="B397" t="s">
        <v>5</v>
      </c>
      <c r="C397" t="s">
        <v>184</v>
      </c>
      <c r="D397">
        <v>1</v>
      </c>
    </row>
    <row r="398" spans="1:4" hidden="1" x14ac:dyDescent="0.35">
      <c r="A398" t="s">
        <v>85</v>
      </c>
      <c r="B398" t="s">
        <v>5</v>
      </c>
      <c r="C398" t="s">
        <v>184</v>
      </c>
      <c r="D398">
        <v>1</v>
      </c>
    </row>
    <row r="399" spans="1:4" hidden="1" x14ac:dyDescent="0.35">
      <c r="A399" t="s">
        <v>87</v>
      </c>
      <c r="B399" t="s">
        <v>5</v>
      </c>
      <c r="C399" t="s">
        <v>184</v>
      </c>
      <c r="D399">
        <v>1</v>
      </c>
    </row>
    <row r="400" spans="1:4" hidden="1" x14ac:dyDescent="0.35">
      <c r="A400" t="s">
        <v>103</v>
      </c>
      <c r="B400" t="s">
        <v>5</v>
      </c>
      <c r="C400" t="s">
        <v>184</v>
      </c>
      <c r="D400">
        <v>1</v>
      </c>
    </row>
    <row r="401" spans="1:4" hidden="1" x14ac:dyDescent="0.35">
      <c r="A401" t="s">
        <v>103</v>
      </c>
      <c r="B401" t="s">
        <v>5</v>
      </c>
      <c r="C401" t="s">
        <v>184</v>
      </c>
      <c r="D401">
        <v>1</v>
      </c>
    </row>
    <row r="402" spans="1:4" hidden="1" x14ac:dyDescent="0.35">
      <c r="A402" t="s">
        <v>104</v>
      </c>
      <c r="B402" t="s">
        <v>5</v>
      </c>
      <c r="C402" t="s">
        <v>184</v>
      </c>
      <c r="D402">
        <v>1</v>
      </c>
    </row>
    <row r="403" spans="1:4" hidden="1" x14ac:dyDescent="0.35">
      <c r="A403" t="s">
        <v>105</v>
      </c>
      <c r="B403" t="s">
        <v>5</v>
      </c>
      <c r="C403" t="s">
        <v>184</v>
      </c>
      <c r="D403">
        <v>1</v>
      </c>
    </row>
    <row r="404" spans="1:4" hidden="1" x14ac:dyDescent="0.35">
      <c r="A404" t="s">
        <v>119</v>
      </c>
      <c r="B404" t="s">
        <v>5</v>
      </c>
      <c r="C404" t="s">
        <v>184</v>
      </c>
      <c r="D404">
        <v>1</v>
      </c>
    </row>
    <row r="405" spans="1:4" hidden="1" x14ac:dyDescent="0.35">
      <c r="A405" t="s">
        <v>128</v>
      </c>
      <c r="B405" t="s">
        <v>5</v>
      </c>
      <c r="C405" t="s">
        <v>184</v>
      </c>
      <c r="D405">
        <v>1</v>
      </c>
    </row>
    <row r="406" spans="1:4" hidden="1" x14ac:dyDescent="0.35">
      <c r="A406" t="s">
        <v>128</v>
      </c>
      <c r="B406" t="s">
        <v>5</v>
      </c>
      <c r="C406" t="s">
        <v>184</v>
      </c>
      <c r="D406">
        <v>1</v>
      </c>
    </row>
    <row r="407" spans="1:4" hidden="1" x14ac:dyDescent="0.35">
      <c r="A407" t="s">
        <v>128</v>
      </c>
      <c r="B407" t="s">
        <v>5</v>
      </c>
      <c r="C407" t="s">
        <v>184</v>
      </c>
      <c r="D407">
        <v>1</v>
      </c>
    </row>
    <row r="408" spans="1:4" hidden="1" x14ac:dyDescent="0.35">
      <c r="A408" t="s">
        <v>128</v>
      </c>
      <c r="B408" t="s">
        <v>5</v>
      </c>
      <c r="C408" t="s">
        <v>184</v>
      </c>
      <c r="D408">
        <v>1</v>
      </c>
    </row>
    <row r="409" spans="1:4" hidden="1" x14ac:dyDescent="0.35">
      <c r="A409" t="s">
        <v>50</v>
      </c>
      <c r="B409" t="s">
        <v>5</v>
      </c>
      <c r="C409" t="s">
        <v>184</v>
      </c>
      <c r="D409">
        <v>1</v>
      </c>
    </row>
    <row r="410" spans="1:4" hidden="1" x14ac:dyDescent="0.35">
      <c r="A410" t="s">
        <v>50</v>
      </c>
      <c r="B410" t="s">
        <v>5</v>
      </c>
      <c r="C410" t="s">
        <v>184</v>
      </c>
      <c r="D410">
        <v>1</v>
      </c>
    </row>
    <row r="411" spans="1:4" hidden="1" x14ac:dyDescent="0.35">
      <c r="A411" t="s">
        <v>50</v>
      </c>
      <c r="B411" t="s">
        <v>5</v>
      </c>
      <c r="C411" t="s">
        <v>184</v>
      </c>
      <c r="D411">
        <v>1</v>
      </c>
    </row>
    <row r="412" spans="1:4" hidden="1" x14ac:dyDescent="0.35">
      <c r="A412" t="s">
        <v>50</v>
      </c>
      <c r="B412" t="s">
        <v>5</v>
      </c>
      <c r="C412" t="s">
        <v>184</v>
      </c>
      <c r="D412">
        <v>1</v>
      </c>
    </row>
    <row r="413" spans="1:4" hidden="1" x14ac:dyDescent="0.35">
      <c r="A413" t="s">
        <v>50</v>
      </c>
      <c r="B413" t="s">
        <v>5</v>
      </c>
      <c r="C413" t="s">
        <v>184</v>
      </c>
      <c r="D413">
        <v>1</v>
      </c>
    </row>
    <row r="414" spans="1:4" hidden="1" x14ac:dyDescent="0.35">
      <c r="A414" t="s">
        <v>50</v>
      </c>
      <c r="B414" t="s">
        <v>5</v>
      </c>
      <c r="C414" t="s">
        <v>184</v>
      </c>
      <c r="D414">
        <v>1</v>
      </c>
    </row>
    <row r="415" spans="1:4" hidden="1" x14ac:dyDescent="0.35">
      <c r="A415" t="s">
        <v>50</v>
      </c>
      <c r="B415" t="s">
        <v>5</v>
      </c>
      <c r="C415" t="s">
        <v>184</v>
      </c>
      <c r="D415">
        <v>1</v>
      </c>
    </row>
    <row r="416" spans="1:4" hidden="1" x14ac:dyDescent="0.35">
      <c r="A416" t="s">
        <v>50</v>
      </c>
      <c r="B416" t="s">
        <v>5</v>
      </c>
      <c r="C416" t="s">
        <v>184</v>
      </c>
      <c r="D416">
        <v>1</v>
      </c>
    </row>
    <row r="417" spans="1:4" hidden="1" x14ac:dyDescent="0.35">
      <c r="A417" t="s">
        <v>50</v>
      </c>
      <c r="B417" t="s">
        <v>5</v>
      </c>
      <c r="C417" t="s">
        <v>184</v>
      </c>
      <c r="D417">
        <v>1</v>
      </c>
    </row>
    <row r="418" spans="1:4" hidden="1" x14ac:dyDescent="0.35">
      <c r="A418" t="s">
        <v>50</v>
      </c>
      <c r="B418" t="s">
        <v>5</v>
      </c>
      <c r="C418" t="s">
        <v>184</v>
      </c>
      <c r="D418">
        <v>1</v>
      </c>
    </row>
    <row r="419" spans="1:4" hidden="1" x14ac:dyDescent="0.35">
      <c r="A419" t="s">
        <v>53</v>
      </c>
      <c r="B419" t="s">
        <v>5</v>
      </c>
      <c r="C419" t="s">
        <v>184</v>
      </c>
      <c r="D419">
        <v>1</v>
      </c>
    </row>
    <row r="420" spans="1:4" hidden="1" x14ac:dyDescent="0.35">
      <c r="A420" t="s">
        <v>57</v>
      </c>
      <c r="B420" t="s">
        <v>5</v>
      </c>
      <c r="C420" t="s">
        <v>184</v>
      </c>
      <c r="D420">
        <v>1</v>
      </c>
    </row>
    <row r="421" spans="1:4" hidden="1" x14ac:dyDescent="0.35">
      <c r="A421" t="s">
        <v>65</v>
      </c>
      <c r="B421" t="s">
        <v>5</v>
      </c>
      <c r="C421" t="s">
        <v>184</v>
      </c>
      <c r="D421">
        <v>1</v>
      </c>
    </row>
    <row r="422" spans="1:4" hidden="1" x14ac:dyDescent="0.35">
      <c r="A422" t="s">
        <v>65</v>
      </c>
      <c r="B422" t="s">
        <v>5</v>
      </c>
      <c r="C422" t="s">
        <v>184</v>
      </c>
      <c r="D422">
        <v>1</v>
      </c>
    </row>
    <row r="423" spans="1:4" hidden="1" x14ac:dyDescent="0.35">
      <c r="A423" t="s">
        <v>67</v>
      </c>
      <c r="B423" t="s">
        <v>5</v>
      </c>
      <c r="C423" t="s">
        <v>184</v>
      </c>
      <c r="D423">
        <v>1</v>
      </c>
    </row>
    <row r="424" spans="1:4" hidden="1" x14ac:dyDescent="0.35">
      <c r="A424" t="s">
        <v>67</v>
      </c>
      <c r="B424" t="s">
        <v>5</v>
      </c>
      <c r="C424" t="s">
        <v>184</v>
      </c>
      <c r="D424">
        <v>1</v>
      </c>
    </row>
    <row r="425" spans="1:4" hidden="1" x14ac:dyDescent="0.35">
      <c r="A425" t="s">
        <v>67</v>
      </c>
      <c r="B425" t="s">
        <v>5</v>
      </c>
      <c r="C425" t="s">
        <v>184</v>
      </c>
      <c r="D425">
        <v>1</v>
      </c>
    </row>
    <row r="426" spans="1:4" hidden="1" x14ac:dyDescent="0.35">
      <c r="A426" t="s">
        <v>67</v>
      </c>
      <c r="B426" t="s">
        <v>5</v>
      </c>
      <c r="C426" t="s">
        <v>184</v>
      </c>
      <c r="D426">
        <v>1</v>
      </c>
    </row>
    <row r="427" spans="1:4" hidden="1" x14ac:dyDescent="0.35">
      <c r="A427" t="s">
        <v>67</v>
      </c>
      <c r="B427" t="s">
        <v>5</v>
      </c>
      <c r="C427" t="s">
        <v>184</v>
      </c>
      <c r="D427">
        <v>1</v>
      </c>
    </row>
    <row r="428" spans="1:4" hidden="1" x14ac:dyDescent="0.35">
      <c r="A428" t="s">
        <v>67</v>
      </c>
      <c r="B428" t="s">
        <v>5</v>
      </c>
      <c r="C428" t="s">
        <v>184</v>
      </c>
      <c r="D428">
        <v>1</v>
      </c>
    </row>
    <row r="429" spans="1:4" hidden="1" x14ac:dyDescent="0.35">
      <c r="A429" t="s">
        <v>67</v>
      </c>
      <c r="B429" t="s">
        <v>5</v>
      </c>
      <c r="C429" t="s">
        <v>184</v>
      </c>
      <c r="D429">
        <v>1</v>
      </c>
    </row>
    <row r="430" spans="1:4" hidden="1" x14ac:dyDescent="0.35">
      <c r="A430" t="s">
        <v>142</v>
      </c>
      <c r="B430" t="s">
        <v>5</v>
      </c>
      <c r="C430" t="s">
        <v>184</v>
      </c>
      <c r="D430">
        <v>1</v>
      </c>
    </row>
    <row r="431" spans="1:4" hidden="1" x14ac:dyDescent="0.35">
      <c r="A431" t="s">
        <v>103</v>
      </c>
      <c r="B431" t="s">
        <v>5</v>
      </c>
      <c r="C431" t="s">
        <v>184</v>
      </c>
      <c r="D431">
        <v>1</v>
      </c>
    </row>
    <row r="432" spans="1:4" hidden="1" x14ac:dyDescent="0.35">
      <c r="A432" t="s">
        <v>105</v>
      </c>
      <c r="B432" t="s">
        <v>5</v>
      </c>
      <c r="C432" t="s">
        <v>184</v>
      </c>
      <c r="D432">
        <v>1</v>
      </c>
    </row>
    <row r="433" spans="1:4" hidden="1" x14ac:dyDescent="0.35">
      <c r="A433" t="s">
        <v>105</v>
      </c>
      <c r="B433" t="s">
        <v>5</v>
      </c>
      <c r="C433" t="s">
        <v>184</v>
      </c>
      <c r="D433">
        <v>1</v>
      </c>
    </row>
    <row r="434" spans="1:4" hidden="1" x14ac:dyDescent="0.35">
      <c r="A434" t="s">
        <v>106</v>
      </c>
      <c r="B434" t="s">
        <v>5</v>
      </c>
      <c r="C434" t="s">
        <v>184</v>
      </c>
      <c r="D434">
        <v>1</v>
      </c>
    </row>
    <row r="435" spans="1:4" hidden="1" x14ac:dyDescent="0.35">
      <c r="A435" t="s">
        <v>128</v>
      </c>
      <c r="B435" t="s">
        <v>5</v>
      </c>
      <c r="C435" t="s">
        <v>184</v>
      </c>
      <c r="D435">
        <v>1</v>
      </c>
    </row>
    <row r="436" spans="1:4" hidden="1" x14ac:dyDescent="0.35">
      <c r="A436" t="s">
        <v>128</v>
      </c>
      <c r="B436" t="s">
        <v>5</v>
      </c>
      <c r="C436" t="s">
        <v>184</v>
      </c>
      <c r="D436">
        <v>1</v>
      </c>
    </row>
    <row r="437" spans="1:4" hidden="1" x14ac:dyDescent="0.35">
      <c r="A437" t="s">
        <v>128</v>
      </c>
      <c r="B437" t="s">
        <v>5</v>
      </c>
      <c r="C437" t="s">
        <v>184</v>
      </c>
      <c r="D437">
        <v>1</v>
      </c>
    </row>
    <row r="438" spans="1:4" hidden="1" x14ac:dyDescent="0.35">
      <c r="A438" t="s">
        <v>128</v>
      </c>
      <c r="B438" t="s">
        <v>5</v>
      </c>
      <c r="C438" t="s">
        <v>184</v>
      </c>
      <c r="D438">
        <v>1</v>
      </c>
    </row>
    <row r="439" spans="1:4" hidden="1" x14ac:dyDescent="0.35">
      <c r="A439" t="s">
        <v>128</v>
      </c>
      <c r="B439" t="s">
        <v>5</v>
      </c>
      <c r="C439" t="s">
        <v>184</v>
      </c>
      <c r="D439">
        <v>1</v>
      </c>
    </row>
    <row r="440" spans="1:4" hidden="1" x14ac:dyDescent="0.35">
      <c r="A440" t="s">
        <v>128</v>
      </c>
      <c r="B440" t="s">
        <v>5</v>
      </c>
      <c r="C440" t="s">
        <v>184</v>
      </c>
      <c r="D440">
        <v>1</v>
      </c>
    </row>
    <row r="441" spans="1:4" hidden="1" x14ac:dyDescent="0.35">
      <c r="A441" t="s">
        <v>50</v>
      </c>
      <c r="B441" t="s">
        <v>5</v>
      </c>
      <c r="C441" t="s">
        <v>184</v>
      </c>
      <c r="D441">
        <v>1</v>
      </c>
    </row>
    <row r="442" spans="1:4" hidden="1" x14ac:dyDescent="0.35">
      <c r="A442" t="s">
        <v>50</v>
      </c>
      <c r="B442" t="s">
        <v>5</v>
      </c>
      <c r="C442" t="s">
        <v>184</v>
      </c>
      <c r="D442">
        <v>1</v>
      </c>
    </row>
    <row r="443" spans="1:4" hidden="1" x14ac:dyDescent="0.35">
      <c r="A443" t="s">
        <v>50</v>
      </c>
      <c r="B443" t="s">
        <v>5</v>
      </c>
      <c r="C443" t="s">
        <v>184</v>
      </c>
      <c r="D443">
        <v>1</v>
      </c>
    </row>
    <row r="444" spans="1:4" hidden="1" x14ac:dyDescent="0.35">
      <c r="A444" t="s">
        <v>50</v>
      </c>
      <c r="B444" t="s">
        <v>5</v>
      </c>
      <c r="C444" t="s">
        <v>184</v>
      </c>
      <c r="D444">
        <v>1</v>
      </c>
    </row>
    <row r="445" spans="1:4" hidden="1" x14ac:dyDescent="0.35">
      <c r="A445" t="s">
        <v>50</v>
      </c>
      <c r="B445" t="s">
        <v>5</v>
      </c>
      <c r="C445" t="s">
        <v>184</v>
      </c>
      <c r="D445">
        <v>1</v>
      </c>
    </row>
    <row r="446" spans="1:4" hidden="1" x14ac:dyDescent="0.35">
      <c r="A446" t="s">
        <v>54</v>
      </c>
      <c r="B446" t="s">
        <v>5</v>
      </c>
      <c r="C446" t="s">
        <v>184</v>
      </c>
      <c r="D446">
        <v>1</v>
      </c>
    </row>
    <row r="447" spans="1:4" hidden="1" x14ac:dyDescent="0.35">
      <c r="A447" t="s">
        <v>54</v>
      </c>
      <c r="B447" t="s">
        <v>5</v>
      </c>
      <c r="C447" t="s">
        <v>184</v>
      </c>
      <c r="D447">
        <v>1</v>
      </c>
    </row>
    <row r="448" spans="1:4" hidden="1" x14ac:dyDescent="0.35">
      <c r="A448" t="s">
        <v>54</v>
      </c>
      <c r="B448" t="s">
        <v>5</v>
      </c>
      <c r="C448" t="s">
        <v>184</v>
      </c>
      <c r="D448">
        <v>1</v>
      </c>
    </row>
    <row r="449" spans="1:4" hidden="1" x14ac:dyDescent="0.35">
      <c r="A449" t="s">
        <v>57</v>
      </c>
      <c r="B449" t="s">
        <v>5</v>
      </c>
      <c r="C449" t="s">
        <v>184</v>
      </c>
      <c r="D449">
        <v>1</v>
      </c>
    </row>
    <row r="450" spans="1:4" hidden="1" x14ac:dyDescent="0.35">
      <c r="A450" t="s">
        <v>57</v>
      </c>
      <c r="B450" t="s">
        <v>5</v>
      </c>
      <c r="C450" t="s">
        <v>184</v>
      </c>
      <c r="D450">
        <v>1</v>
      </c>
    </row>
    <row r="451" spans="1:4" hidden="1" x14ac:dyDescent="0.35">
      <c r="A451" t="s">
        <v>67</v>
      </c>
      <c r="B451" t="s">
        <v>5</v>
      </c>
      <c r="C451" t="s">
        <v>184</v>
      </c>
      <c r="D451">
        <v>1</v>
      </c>
    </row>
    <row r="452" spans="1:4" hidden="1" x14ac:dyDescent="0.35">
      <c r="A452" t="s">
        <v>67</v>
      </c>
      <c r="B452" t="s">
        <v>5</v>
      </c>
      <c r="C452" t="s">
        <v>184</v>
      </c>
      <c r="D452">
        <v>1</v>
      </c>
    </row>
    <row r="453" spans="1:4" hidden="1" x14ac:dyDescent="0.35">
      <c r="A453" t="s">
        <v>67</v>
      </c>
      <c r="B453" t="s">
        <v>5</v>
      </c>
      <c r="C453" t="s">
        <v>184</v>
      </c>
      <c r="D453">
        <v>1</v>
      </c>
    </row>
    <row r="454" spans="1:4" hidden="1" x14ac:dyDescent="0.35">
      <c r="A454" t="s">
        <v>67</v>
      </c>
      <c r="B454" t="s">
        <v>5</v>
      </c>
      <c r="C454" t="s">
        <v>184</v>
      </c>
      <c r="D454">
        <v>1</v>
      </c>
    </row>
    <row r="455" spans="1:4" hidden="1" x14ac:dyDescent="0.35">
      <c r="A455" t="s">
        <v>67</v>
      </c>
      <c r="B455" t="s">
        <v>5</v>
      </c>
      <c r="C455" t="s">
        <v>184</v>
      </c>
      <c r="D455">
        <v>1</v>
      </c>
    </row>
    <row r="456" spans="1:4" hidden="1" x14ac:dyDescent="0.35">
      <c r="A456" t="s">
        <v>67</v>
      </c>
      <c r="B456" t="s">
        <v>5</v>
      </c>
      <c r="C456" t="s">
        <v>184</v>
      </c>
      <c r="D456">
        <v>1</v>
      </c>
    </row>
    <row r="457" spans="1:4" hidden="1" x14ac:dyDescent="0.35">
      <c r="A457" t="s">
        <v>67</v>
      </c>
      <c r="B457" t="s">
        <v>5</v>
      </c>
      <c r="C457" t="s">
        <v>184</v>
      </c>
      <c r="D457">
        <v>1</v>
      </c>
    </row>
    <row r="458" spans="1:4" hidden="1" x14ac:dyDescent="0.35">
      <c r="A458" t="s">
        <v>67</v>
      </c>
      <c r="B458" t="s">
        <v>5</v>
      </c>
      <c r="C458" t="s">
        <v>184</v>
      </c>
      <c r="D458">
        <v>1</v>
      </c>
    </row>
    <row r="459" spans="1:4" hidden="1" x14ac:dyDescent="0.35">
      <c r="A459" t="s">
        <v>103</v>
      </c>
      <c r="B459" t="s">
        <v>5</v>
      </c>
      <c r="C459" t="s">
        <v>184</v>
      </c>
      <c r="D459">
        <v>1</v>
      </c>
    </row>
    <row r="460" spans="1:4" hidden="1" x14ac:dyDescent="0.35">
      <c r="A460" t="s">
        <v>128</v>
      </c>
      <c r="B460" t="s">
        <v>5</v>
      </c>
      <c r="C460" t="s">
        <v>184</v>
      </c>
      <c r="D460">
        <v>1</v>
      </c>
    </row>
    <row r="461" spans="1:4" hidden="1" x14ac:dyDescent="0.35">
      <c r="A461" t="s">
        <v>128</v>
      </c>
      <c r="B461" t="s">
        <v>5</v>
      </c>
      <c r="C461" t="s">
        <v>184</v>
      </c>
      <c r="D461">
        <v>1</v>
      </c>
    </row>
    <row r="462" spans="1:4" hidden="1" x14ac:dyDescent="0.35">
      <c r="A462" t="s">
        <v>128</v>
      </c>
      <c r="B462" t="s">
        <v>5</v>
      </c>
      <c r="C462" t="s">
        <v>184</v>
      </c>
      <c r="D462">
        <v>1</v>
      </c>
    </row>
    <row r="463" spans="1:4" hidden="1" x14ac:dyDescent="0.35">
      <c r="A463" t="s">
        <v>128</v>
      </c>
      <c r="B463" t="s">
        <v>5</v>
      </c>
      <c r="C463" t="s">
        <v>184</v>
      </c>
      <c r="D463">
        <v>1</v>
      </c>
    </row>
    <row r="464" spans="1:4" hidden="1" x14ac:dyDescent="0.35">
      <c r="A464" t="s">
        <v>128</v>
      </c>
      <c r="B464" t="s">
        <v>5</v>
      </c>
      <c r="C464" t="s">
        <v>184</v>
      </c>
      <c r="D464">
        <v>1</v>
      </c>
    </row>
    <row r="465" spans="1:4" hidden="1" x14ac:dyDescent="0.35">
      <c r="A465" t="s">
        <v>128</v>
      </c>
      <c r="B465" t="s">
        <v>5</v>
      </c>
      <c r="C465" t="s">
        <v>184</v>
      </c>
      <c r="D465">
        <v>1</v>
      </c>
    </row>
    <row r="466" spans="1:4" hidden="1" x14ac:dyDescent="0.35">
      <c r="A466" t="s">
        <v>128</v>
      </c>
      <c r="B466" t="s">
        <v>5</v>
      </c>
      <c r="C466" t="s">
        <v>184</v>
      </c>
      <c r="D466">
        <v>1</v>
      </c>
    </row>
    <row r="467" spans="1:4" hidden="1" x14ac:dyDescent="0.35">
      <c r="A467" t="s">
        <v>128</v>
      </c>
      <c r="B467" t="s">
        <v>5</v>
      </c>
      <c r="C467" t="s">
        <v>184</v>
      </c>
      <c r="D467">
        <v>1</v>
      </c>
    </row>
    <row r="468" spans="1:4" hidden="1" x14ac:dyDescent="0.35">
      <c r="A468" t="s">
        <v>128</v>
      </c>
      <c r="B468" t="s">
        <v>5</v>
      </c>
      <c r="C468" t="s">
        <v>184</v>
      </c>
      <c r="D468">
        <v>1</v>
      </c>
    </row>
    <row r="469" spans="1:4" hidden="1" x14ac:dyDescent="0.35">
      <c r="A469" t="s">
        <v>128</v>
      </c>
      <c r="B469" t="s">
        <v>5</v>
      </c>
      <c r="C469" t="s">
        <v>184</v>
      </c>
      <c r="D469">
        <v>1</v>
      </c>
    </row>
    <row r="470" spans="1:4" hidden="1" x14ac:dyDescent="0.35">
      <c r="A470" t="s">
        <v>128</v>
      </c>
      <c r="B470" t="s">
        <v>5</v>
      </c>
      <c r="C470" t="s">
        <v>184</v>
      </c>
      <c r="D470">
        <v>1</v>
      </c>
    </row>
    <row r="471" spans="1:4" hidden="1" x14ac:dyDescent="0.35">
      <c r="A471" t="s">
        <v>138</v>
      </c>
      <c r="B471" t="s">
        <v>5</v>
      </c>
      <c r="C471" t="s">
        <v>184</v>
      </c>
      <c r="D471">
        <v>1</v>
      </c>
    </row>
    <row r="472" spans="1:4" hidden="1" x14ac:dyDescent="0.35">
      <c r="A472" t="s">
        <v>138</v>
      </c>
      <c r="B472" t="s">
        <v>5</v>
      </c>
      <c r="C472" t="s">
        <v>184</v>
      </c>
      <c r="D472">
        <v>1</v>
      </c>
    </row>
    <row r="473" spans="1:4" hidden="1" x14ac:dyDescent="0.35">
      <c r="A473" t="s">
        <v>50</v>
      </c>
      <c r="B473" t="s">
        <v>5</v>
      </c>
      <c r="C473" t="s">
        <v>184</v>
      </c>
      <c r="D473">
        <v>1</v>
      </c>
    </row>
    <row r="474" spans="1:4" hidden="1" x14ac:dyDescent="0.35">
      <c r="A474" t="s">
        <v>50</v>
      </c>
      <c r="B474" t="s">
        <v>5</v>
      </c>
      <c r="C474" t="s">
        <v>184</v>
      </c>
      <c r="D474">
        <v>1</v>
      </c>
    </row>
    <row r="475" spans="1:4" hidden="1" x14ac:dyDescent="0.35">
      <c r="A475" t="s">
        <v>50</v>
      </c>
      <c r="B475" t="s">
        <v>5</v>
      </c>
      <c r="C475" t="s">
        <v>184</v>
      </c>
      <c r="D475">
        <v>1</v>
      </c>
    </row>
    <row r="476" spans="1:4" hidden="1" x14ac:dyDescent="0.35">
      <c r="A476" t="s">
        <v>50</v>
      </c>
      <c r="B476" t="s">
        <v>5</v>
      </c>
      <c r="C476" t="s">
        <v>184</v>
      </c>
      <c r="D476">
        <v>1</v>
      </c>
    </row>
    <row r="477" spans="1:4" hidden="1" x14ac:dyDescent="0.35">
      <c r="A477" t="s">
        <v>50</v>
      </c>
      <c r="B477" t="s">
        <v>5</v>
      </c>
      <c r="C477" t="s">
        <v>184</v>
      </c>
      <c r="D477">
        <v>1</v>
      </c>
    </row>
    <row r="478" spans="1:4" hidden="1" x14ac:dyDescent="0.35">
      <c r="A478" t="s">
        <v>50</v>
      </c>
      <c r="B478" t="s">
        <v>5</v>
      </c>
      <c r="C478" t="s">
        <v>184</v>
      </c>
      <c r="D478">
        <v>1</v>
      </c>
    </row>
    <row r="479" spans="1:4" hidden="1" x14ac:dyDescent="0.35">
      <c r="A479" t="s">
        <v>50</v>
      </c>
      <c r="B479" t="s">
        <v>5</v>
      </c>
      <c r="C479" t="s">
        <v>184</v>
      </c>
      <c r="D479">
        <v>1</v>
      </c>
    </row>
    <row r="480" spans="1:4" hidden="1" x14ac:dyDescent="0.35">
      <c r="A480" t="s">
        <v>54</v>
      </c>
      <c r="B480" t="s">
        <v>5</v>
      </c>
      <c r="C480" t="s">
        <v>184</v>
      </c>
      <c r="D480">
        <v>1</v>
      </c>
    </row>
    <row r="481" spans="1:4" hidden="1" x14ac:dyDescent="0.35">
      <c r="A481" t="s">
        <v>58</v>
      </c>
      <c r="B481" t="s">
        <v>5</v>
      </c>
      <c r="C481" t="s">
        <v>184</v>
      </c>
      <c r="D481">
        <v>1</v>
      </c>
    </row>
    <row r="482" spans="1:4" hidden="1" x14ac:dyDescent="0.35">
      <c r="A482" t="s">
        <v>142</v>
      </c>
      <c r="B482" t="s">
        <v>5</v>
      </c>
      <c r="C482" t="s">
        <v>184</v>
      </c>
      <c r="D482">
        <v>1</v>
      </c>
    </row>
    <row r="483" spans="1:4" hidden="1" x14ac:dyDescent="0.35">
      <c r="A483" t="s">
        <v>67</v>
      </c>
      <c r="B483" t="s">
        <v>5</v>
      </c>
      <c r="C483" t="s">
        <v>184</v>
      </c>
      <c r="D483">
        <v>1</v>
      </c>
    </row>
    <row r="484" spans="1:4" hidden="1" x14ac:dyDescent="0.35">
      <c r="A484" t="s">
        <v>67</v>
      </c>
      <c r="B484" t="s">
        <v>5</v>
      </c>
      <c r="C484" t="s">
        <v>184</v>
      </c>
      <c r="D484">
        <v>1</v>
      </c>
    </row>
    <row r="485" spans="1:4" hidden="1" x14ac:dyDescent="0.35">
      <c r="A485" t="s">
        <v>67</v>
      </c>
      <c r="B485" t="s">
        <v>5</v>
      </c>
      <c r="C485" t="s">
        <v>184</v>
      </c>
      <c r="D485">
        <v>1</v>
      </c>
    </row>
    <row r="486" spans="1:4" hidden="1" x14ac:dyDescent="0.35">
      <c r="A486" t="s">
        <v>67</v>
      </c>
      <c r="B486" t="s">
        <v>5</v>
      </c>
      <c r="C486" t="s">
        <v>184</v>
      </c>
      <c r="D486">
        <v>1</v>
      </c>
    </row>
    <row r="487" spans="1:4" hidden="1" x14ac:dyDescent="0.35">
      <c r="A487" t="s">
        <v>67</v>
      </c>
      <c r="B487" t="s">
        <v>5</v>
      </c>
      <c r="C487" t="s">
        <v>184</v>
      </c>
      <c r="D487">
        <v>1</v>
      </c>
    </row>
    <row r="488" spans="1:4" hidden="1" x14ac:dyDescent="0.35">
      <c r="A488" t="s">
        <v>79</v>
      </c>
      <c r="B488" t="s">
        <v>5</v>
      </c>
      <c r="C488" t="s">
        <v>184</v>
      </c>
      <c r="D488">
        <v>1</v>
      </c>
    </row>
    <row r="489" spans="1:4" hidden="1" x14ac:dyDescent="0.35">
      <c r="A489" t="s">
        <v>128</v>
      </c>
      <c r="B489" t="s">
        <v>5</v>
      </c>
      <c r="C489" t="s">
        <v>184</v>
      </c>
      <c r="D489">
        <v>1</v>
      </c>
    </row>
    <row r="490" spans="1:4" hidden="1" x14ac:dyDescent="0.35">
      <c r="A490" t="s">
        <v>128</v>
      </c>
      <c r="B490" t="s">
        <v>5</v>
      </c>
      <c r="C490" t="s">
        <v>184</v>
      </c>
      <c r="D490">
        <v>1</v>
      </c>
    </row>
    <row r="491" spans="1:4" hidden="1" x14ac:dyDescent="0.35">
      <c r="A491" t="s">
        <v>128</v>
      </c>
      <c r="B491" t="s">
        <v>5</v>
      </c>
      <c r="C491" t="s">
        <v>184</v>
      </c>
      <c r="D491">
        <v>1</v>
      </c>
    </row>
    <row r="492" spans="1:4" hidden="1" x14ac:dyDescent="0.35">
      <c r="A492" t="s">
        <v>129</v>
      </c>
      <c r="B492" t="s">
        <v>5</v>
      </c>
      <c r="C492" t="s">
        <v>184</v>
      </c>
      <c r="D492">
        <v>1</v>
      </c>
    </row>
    <row r="493" spans="1:4" hidden="1" x14ac:dyDescent="0.35">
      <c r="A493" t="s">
        <v>50</v>
      </c>
      <c r="B493" t="s">
        <v>5</v>
      </c>
      <c r="C493" t="s">
        <v>184</v>
      </c>
      <c r="D493">
        <v>1</v>
      </c>
    </row>
    <row r="494" spans="1:4" hidden="1" x14ac:dyDescent="0.35">
      <c r="A494" t="s">
        <v>50</v>
      </c>
      <c r="B494" t="s">
        <v>5</v>
      </c>
      <c r="C494" t="s">
        <v>184</v>
      </c>
      <c r="D494">
        <v>1</v>
      </c>
    </row>
    <row r="495" spans="1:4" hidden="1" x14ac:dyDescent="0.35">
      <c r="A495" t="s">
        <v>50</v>
      </c>
      <c r="B495" t="s">
        <v>5</v>
      </c>
      <c r="C495" t="s">
        <v>184</v>
      </c>
      <c r="D495">
        <v>1</v>
      </c>
    </row>
    <row r="496" spans="1:4" hidden="1" x14ac:dyDescent="0.35">
      <c r="A496" t="s">
        <v>50</v>
      </c>
      <c r="B496" t="s">
        <v>5</v>
      </c>
      <c r="C496" t="s">
        <v>184</v>
      </c>
      <c r="D496">
        <v>1</v>
      </c>
    </row>
    <row r="497" spans="1:4" hidden="1" x14ac:dyDescent="0.35">
      <c r="A497" t="s">
        <v>50</v>
      </c>
      <c r="B497" t="s">
        <v>5</v>
      </c>
      <c r="C497" t="s">
        <v>184</v>
      </c>
      <c r="D497">
        <v>1</v>
      </c>
    </row>
    <row r="498" spans="1:4" hidden="1" x14ac:dyDescent="0.35">
      <c r="A498" t="s">
        <v>50</v>
      </c>
      <c r="B498" t="s">
        <v>5</v>
      </c>
      <c r="C498" t="s">
        <v>184</v>
      </c>
      <c r="D498">
        <v>1</v>
      </c>
    </row>
    <row r="499" spans="1:4" hidden="1" x14ac:dyDescent="0.35">
      <c r="A499" t="s">
        <v>50</v>
      </c>
      <c r="B499" t="s">
        <v>5</v>
      </c>
      <c r="C499" t="s">
        <v>184</v>
      </c>
      <c r="D499">
        <v>1</v>
      </c>
    </row>
    <row r="500" spans="1:4" hidden="1" x14ac:dyDescent="0.35">
      <c r="A500" t="s">
        <v>50</v>
      </c>
      <c r="B500" t="s">
        <v>5</v>
      </c>
      <c r="C500" t="s">
        <v>184</v>
      </c>
      <c r="D500">
        <v>1</v>
      </c>
    </row>
    <row r="501" spans="1:4" hidden="1" x14ac:dyDescent="0.35">
      <c r="A501" t="s">
        <v>50</v>
      </c>
      <c r="B501" t="s">
        <v>5</v>
      </c>
      <c r="C501" t="s">
        <v>184</v>
      </c>
      <c r="D501">
        <v>1</v>
      </c>
    </row>
    <row r="502" spans="1:4" hidden="1" x14ac:dyDescent="0.35">
      <c r="A502" t="s">
        <v>50</v>
      </c>
      <c r="B502" t="s">
        <v>5</v>
      </c>
      <c r="C502" t="s">
        <v>184</v>
      </c>
      <c r="D502">
        <v>1</v>
      </c>
    </row>
    <row r="503" spans="1:4" hidden="1" x14ac:dyDescent="0.35">
      <c r="A503" t="s">
        <v>50</v>
      </c>
      <c r="B503" t="s">
        <v>5</v>
      </c>
      <c r="C503" t="s">
        <v>184</v>
      </c>
      <c r="D503">
        <v>1</v>
      </c>
    </row>
    <row r="504" spans="1:4" hidden="1" x14ac:dyDescent="0.35">
      <c r="A504" t="s">
        <v>53</v>
      </c>
      <c r="B504" t="s">
        <v>5</v>
      </c>
      <c r="C504" t="s">
        <v>184</v>
      </c>
      <c r="D504">
        <v>1</v>
      </c>
    </row>
    <row r="505" spans="1:4" hidden="1" x14ac:dyDescent="0.35">
      <c r="A505" t="s">
        <v>54</v>
      </c>
      <c r="B505" t="s">
        <v>5</v>
      </c>
      <c r="C505" t="s">
        <v>184</v>
      </c>
      <c r="D505">
        <v>1</v>
      </c>
    </row>
    <row r="506" spans="1:4" hidden="1" x14ac:dyDescent="0.35">
      <c r="A506" t="s">
        <v>57</v>
      </c>
      <c r="B506" t="s">
        <v>5</v>
      </c>
      <c r="C506" t="s">
        <v>184</v>
      </c>
      <c r="D506">
        <v>1</v>
      </c>
    </row>
    <row r="507" spans="1:4" hidden="1" x14ac:dyDescent="0.35">
      <c r="A507" t="s">
        <v>58</v>
      </c>
      <c r="B507" t="s">
        <v>5</v>
      </c>
      <c r="C507" t="s">
        <v>184</v>
      </c>
      <c r="D507">
        <v>1</v>
      </c>
    </row>
    <row r="508" spans="1:4" hidden="1" x14ac:dyDescent="0.35">
      <c r="A508" t="s">
        <v>67</v>
      </c>
      <c r="B508" t="s">
        <v>5</v>
      </c>
      <c r="C508" t="s">
        <v>184</v>
      </c>
      <c r="D508">
        <v>1</v>
      </c>
    </row>
    <row r="509" spans="1:4" hidden="1" x14ac:dyDescent="0.35">
      <c r="A509" t="s">
        <v>67</v>
      </c>
      <c r="B509" t="s">
        <v>5</v>
      </c>
      <c r="C509" t="s">
        <v>184</v>
      </c>
      <c r="D509">
        <v>1</v>
      </c>
    </row>
    <row r="510" spans="1:4" hidden="1" x14ac:dyDescent="0.35">
      <c r="A510" t="s">
        <v>67</v>
      </c>
      <c r="B510" t="s">
        <v>5</v>
      </c>
      <c r="C510" t="s">
        <v>184</v>
      </c>
      <c r="D510">
        <v>1</v>
      </c>
    </row>
    <row r="511" spans="1:4" hidden="1" x14ac:dyDescent="0.35">
      <c r="A511" t="s">
        <v>67</v>
      </c>
      <c r="B511" t="s">
        <v>5</v>
      </c>
      <c r="C511" t="s">
        <v>184</v>
      </c>
      <c r="D511">
        <v>1</v>
      </c>
    </row>
    <row r="512" spans="1:4" hidden="1" x14ac:dyDescent="0.35">
      <c r="A512" t="s">
        <v>67</v>
      </c>
      <c r="B512" t="s">
        <v>5</v>
      </c>
      <c r="C512" t="s">
        <v>184</v>
      </c>
      <c r="D512">
        <v>1</v>
      </c>
    </row>
    <row r="513" spans="1:4" hidden="1" x14ac:dyDescent="0.35">
      <c r="A513" t="s">
        <v>67</v>
      </c>
      <c r="B513" t="s">
        <v>5</v>
      </c>
      <c r="C513" t="s">
        <v>184</v>
      </c>
      <c r="D513">
        <v>1</v>
      </c>
    </row>
    <row r="514" spans="1:4" hidden="1" x14ac:dyDescent="0.35">
      <c r="A514" t="s">
        <v>67</v>
      </c>
      <c r="B514" t="s">
        <v>5</v>
      </c>
      <c r="C514" t="s">
        <v>184</v>
      </c>
      <c r="D514">
        <v>1</v>
      </c>
    </row>
    <row r="515" spans="1:4" hidden="1" x14ac:dyDescent="0.35">
      <c r="A515" t="s">
        <v>67</v>
      </c>
      <c r="B515" t="s">
        <v>5</v>
      </c>
      <c r="C515" t="s">
        <v>184</v>
      </c>
      <c r="D515">
        <v>1</v>
      </c>
    </row>
    <row r="516" spans="1:4" hidden="1" x14ac:dyDescent="0.35">
      <c r="A516" t="s">
        <v>142</v>
      </c>
      <c r="B516" t="s">
        <v>5</v>
      </c>
      <c r="C516" t="s">
        <v>184</v>
      </c>
      <c r="D516">
        <v>1</v>
      </c>
    </row>
    <row r="517" spans="1:4" hidden="1" x14ac:dyDescent="0.35">
      <c r="A517" t="s">
        <v>142</v>
      </c>
      <c r="B517" t="s">
        <v>5</v>
      </c>
      <c r="C517" t="s">
        <v>184</v>
      </c>
      <c r="D517">
        <v>1</v>
      </c>
    </row>
    <row r="518" spans="1:4" hidden="1" x14ac:dyDescent="0.35">
      <c r="A518" t="s">
        <v>76</v>
      </c>
      <c r="B518" t="s">
        <v>5</v>
      </c>
      <c r="C518" t="s">
        <v>184</v>
      </c>
      <c r="D518">
        <v>1</v>
      </c>
    </row>
    <row r="519" spans="1:4" hidden="1" x14ac:dyDescent="0.35">
      <c r="A519" t="s">
        <v>77</v>
      </c>
      <c r="B519" t="s">
        <v>5</v>
      </c>
      <c r="C519" t="s">
        <v>184</v>
      </c>
      <c r="D519">
        <v>1</v>
      </c>
    </row>
    <row r="520" spans="1:4" hidden="1" x14ac:dyDescent="0.35">
      <c r="A520" t="s">
        <v>85</v>
      </c>
      <c r="B520" t="s">
        <v>5</v>
      </c>
      <c r="C520" t="s">
        <v>184</v>
      </c>
      <c r="D520">
        <v>1</v>
      </c>
    </row>
    <row r="521" spans="1:4" hidden="1" x14ac:dyDescent="0.35">
      <c r="A521" t="s">
        <v>101</v>
      </c>
      <c r="B521" t="s">
        <v>5</v>
      </c>
      <c r="C521" t="s">
        <v>184</v>
      </c>
      <c r="D521">
        <v>1</v>
      </c>
    </row>
    <row r="522" spans="1:4" hidden="1" x14ac:dyDescent="0.35">
      <c r="A522" t="s">
        <v>104</v>
      </c>
      <c r="B522" t="s">
        <v>5</v>
      </c>
      <c r="C522" t="s">
        <v>184</v>
      </c>
      <c r="D522">
        <v>1</v>
      </c>
    </row>
    <row r="523" spans="1:4" hidden="1" x14ac:dyDescent="0.35">
      <c r="A523" t="s">
        <v>128</v>
      </c>
      <c r="B523" t="s">
        <v>5</v>
      </c>
      <c r="C523" t="s">
        <v>184</v>
      </c>
      <c r="D523">
        <v>1</v>
      </c>
    </row>
    <row r="524" spans="1:4" hidden="1" x14ac:dyDescent="0.35">
      <c r="A524" t="s">
        <v>128</v>
      </c>
      <c r="B524" t="s">
        <v>5</v>
      </c>
      <c r="C524" t="s">
        <v>184</v>
      </c>
      <c r="D524">
        <v>1</v>
      </c>
    </row>
    <row r="525" spans="1:4" hidden="1" x14ac:dyDescent="0.35">
      <c r="A525" t="s">
        <v>128</v>
      </c>
      <c r="B525" t="s">
        <v>5</v>
      </c>
      <c r="C525" t="s">
        <v>184</v>
      </c>
      <c r="D525">
        <v>1</v>
      </c>
    </row>
    <row r="526" spans="1:4" hidden="1" x14ac:dyDescent="0.35">
      <c r="A526" t="s">
        <v>128</v>
      </c>
      <c r="B526" t="s">
        <v>5</v>
      </c>
      <c r="C526" t="s">
        <v>184</v>
      </c>
      <c r="D526">
        <v>1</v>
      </c>
    </row>
    <row r="527" spans="1:4" hidden="1" x14ac:dyDescent="0.35">
      <c r="A527" t="s">
        <v>128</v>
      </c>
      <c r="B527" t="s">
        <v>5</v>
      </c>
      <c r="C527" t="s">
        <v>184</v>
      </c>
      <c r="D527">
        <v>1</v>
      </c>
    </row>
    <row r="528" spans="1:4" hidden="1" x14ac:dyDescent="0.35">
      <c r="A528" t="s">
        <v>128</v>
      </c>
      <c r="B528" t="s">
        <v>5</v>
      </c>
      <c r="C528" t="s">
        <v>184</v>
      </c>
      <c r="D528">
        <v>1</v>
      </c>
    </row>
    <row r="529" spans="1:4" s="3" customFormat="1" hidden="1" x14ac:dyDescent="0.35">
      <c r="A529" s="3" t="s">
        <v>8</v>
      </c>
      <c r="B529" s="3" t="s">
        <v>8</v>
      </c>
      <c r="C529" s="3" t="s">
        <v>184</v>
      </c>
      <c r="D529" s="3">
        <v>1</v>
      </c>
    </row>
    <row r="530" spans="1:4" hidden="1" x14ac:dyDescent="0.35">
      <c r="A530" t="s">
        <v>8</v>
      </c>
      <c r="B530" t="s">
        <v>8</v>
      </c>
      <c r="C530" t="s">
        <v>184</v>
      </c>
      <c r="D530">
        <v>1</v>
      </c>
    </row>
    <row r="531" spans="1:4" hidden="1" x14ac:dyDescent="0.35">
      <c r="A531" t="s">
        <v>8</v>
      </c>
      <c r="B531" t="s">
        <v>8</v>
      </c>
      <c r="C531" t="s">
        <v>184</v>
      </c>
      <c r="D531">
        <v>1</v>
      </c>
    </row>
    <row r="532" spans="1:4" hidden="1" x14ac:dyDescent="0.35">
      <c r="A532" t="s">
        <v>8</v>
      </c>
      <c r="B532" t="s">
        <v>8</v>
      </c>
      <c r="C532" t="s">
        <v>184</v>
      </c>
      <c r="D532">
        <v>1</v>
      </c>
    </row>
    <row r="533" spans="1:4" hidden="1" x14ac:dyDescent="0.35">
      <c r="A533" t="s">
        <v>8</v>
      </c>
      <c r="B533" t="s">
        <v>8</v>
      </c>
      <c r="C533" t="s">
        <v>184</v>
      </c>
      <c r="D533">
        <v>1</v>
      </c>
    </row>
    <row r="534" spans="1:4" hidden="1" x14ac:dyDescent="0.35">
      <c r="A534" t="s">
        <v>8</v>
      </c>
      <c r="B534" t="s">
        <v>8</v>
      </c>
      <c r="C534" t="s">
        <v>184</v>
      </c>
      <c r="D534">
        <v>1</v>
      </c>
    </row>
    <row r="535" spans="1:4" hidden="1" x14ac:dyDescent="0.35">
      <c r="A535" t="s">
        <v>8</v>
      </c>
      <c r="B535" t="s">
        <v>8</v>
      </c>
      <c r="C535" t="s">
        <v>184</v>
      </c>
      <c r="D535">
        <v>1</v>
      </c>
    </row>
    <row r="536" spans="1:4" hidden="1" x14ac:dyDescent="0.35">
      <c r="A536" t="s">
        <v>8</v>
      </c>
      <c r="B536" t="s">
        <v>8</v>
      </c>
      <c r="C536" t="s">
        <v>184</v>
      </c>
      <c r="D536">
        <v>1</v>
      </c>
    </row>
    <row r="537" spans="1:4" hidden="1" x14ac:dyDescent="0.35">
      <c r="A537" t="s">
        <v>8</v>
      </c>
      <c r="B537" t="s">
        <v>8</v>
      </c>
      <c r="C537" t="s">
        <v>184</v>
      </c>
      <c r="D537">
        <v>1</v>
      </c>
    </row>
    <row r="538" spans="1:4" hidden="1" x14ac:dyDescent="0.35">
      <c r="A538" t="s">
        <v>8</v>
      </c>
      <c r="B538" t="s">
        <v>8</v>
      </c>
      <c r="C538" t="s">
        <v>184</v>
      </c>
      <c r="D538">
        <v>1</v>
      </c>
    </row>
    <row r="539" spans="1:4" hidden="1" x14ac:dyDescent="0.35">
      <c r="A539" t="s">
        <v>8</v>
      </c>
      <c r="B539" t="s">
        <v>8</v>
      </c>
      <c r="C539" t="s">
        <v>184</v>
      </c>
      <c r="D539">
        <v>1</v>
      </c>
    </row>
    <row r="540" spans="1:4" hidden="1" x14ac:dyDescent="0.35">
      <c r="A540" t="s">
        <v>8</v>
      </c>
      <c r="B540" t="s">
        <v>8</v>
      </c>
      <c r="C540" t="s">
        <v>184</v>
      </c>
      <c r="D540">
        <v>1</v>
      </c>
    </row>
    <row r="541" spans="1:4" hidden="1" x14ac:dyDescent="0.35">
      <c r="A541" t="s">
        <v>8</v>
      </c>
      <c r="B541" t="s">
        <v>8</v>
      </c>
      <c r="C541" t="s">
        <v>184</v>
      </c>
      <c r="D541">
        <v>1</v>
      </c>
    </row>
    <row r="542" spans="1:4" hidden="1" x14ac:dyDescent="0.35">
      <c r="A542" t="s">
        <v>8</v>
      </c>
      <c r="B542" t="s">
        <v>8</v>
      </c>
      <c r="C542" t="s">
        <v>184</v>
      </c>
      <c r="D542">
        <v>1</v>
      </c>
    </row>
    <row r="543" spans="1:4" hidden="1" x14ac:dyDescent="0.35">
      <c r="A543" t="s">
        <v>8</v>
      </c>
      <c r="B543" t="s">
        <v>8</v>
      </c>
      <c r="C543" t="s">
        <v>184</v>
      </c>
      <c r="D543">
        <v>1</v>
      </c>
    </row>
    <row r="544" spans="1:4" hidden="1" x14ac:dyDescent="0.35">
      <c r="A544" t="s">
        <v>8</v>
      </c>
      <c r="B544" t="s">
        <v>8</v>
      </c>
      <c r="C544" t="s">
        <v>184</v>
      </c>
      <c r="D544">
        <v>1</v>
      </c>
    </row>
    <row r="545" spans="1:4" hidden="1" x14ac:dyDescent="0.35">
      <c r="A545" t="s">
        <v>8</v>
      </c>
      <c r="B545" t="s">
        <v>8</v>
      </c>
      <c r="C545" t="s">
        <v>184</v>
      </c>
      <c r="D545">
        <v>1</v>
      </c>
    </row>
    <row r="546" spans="1:4" hidden="1" x14ac:dyDescent="0.35">
      <c r="A546" t="s">
        <v>8</v>
      </c>
      <c r="B546" t="s">
        <v>8</v>
      </c>
      <c r="C546" t="s">
        <v>184</v>
      </c>
      <c r="D546">
        <v>1</v>
      </c>
    </row>
    <row r="547" spans="1:4" hidden="1" x14ac:dyDescent="0.35">
      <c r="A547" t="s">
        <v>8</v>
      </c>
      <c r="B547" t="s">
        <v>8</v>
      </c>
      <c r="C547" t="s">
        <v>184</v>
      </c>
      <c r="D547">
        <v>1</v>
      </c>
    </row>
    <row r="548" spans="1:4" hidden="1" x14ac:dyDescent="0.35">
      <c r="A548" t="s">
        <v>8</v>
      </c>
      <c r="B548" t="s">
        <v>8</v>
      </c>
      <c r="C548" t="s">
        <v>184</v>
      </c>
      <c r="D548">
        <v>1</v>
      </c>
    </row>
    <row r="549" spans="1:4" hidden="1" x14ac:dyDescent="0.35">
      <c r="A549" t="s">
        <v>8</v>
      </c>
      <c r="B549" t="s">
        <v>8</v>
      </c>
      <c r="C549" t="s">
        <v>184</v>
      </c>
      <c r="D549">
        <v>1</v>
      </c>
    </row>
    <row r="550" spans="1:4" hidden="1" x14ac:dyDescent="0.35">
      <c r="A550">
        <v>0</v>
      </c>
      <c r="B550" t="e">
        <v>#N/A</v>
      </c>
      <c r="C550" t="s">
        <v>184</v>
      </c>
      <c r="D550">
        <v>1</v>
      </c>
    </row>
    <row r="551" spans="1:4" hidden="1" x14ac:dyDescent="0.35">
      <c r="A551">
        <v>0</v>
      </c>
      <c r="B551" t="e">
        <v>#N/A</v>
      </c>
      <c r="C551" t="s">
        <v>184</v>
      </c>
      <c r="D551">
        <v>1</v>
      </c>
    </row>
    <row r="552" spans="1:4" hidden="1" x14ac:dyDescent="0.35">
      <c r="A552">
        <v>0</v>
      </c>
      <c r="B552" t="e">
        <v>#N/A</v>
      </c>
      <c r="C552" t="s">
        <v>184</v>
      </c>
      <c r="D552">
        <v>1</v>
      </c>
    </row>
    <row r="553" spans="1:4" hidden="1" x14ac:dyDescent="0.35">
      <c r="A553">
        <v>0</v>
      </c>
      <c r="B553" t="e">
        <v>#N/A</v>
      </c>
      <c r="C553" t="s">
        <v>184</v>
      </c>
      <c r="D553">
        <v>1</v>
      </c>
    </row>
    <row r="554" spans="1:4" hidden="1" x14ac:dyDescent="0.35">
      <c r="A554">
        <v>0</v>
      </c>
      <c r="B554" t="e">
        <v>#N/A</v>
      </c>
      <c r="C554" t="s">
        <v>184</v>
      </c>
      <c r="D554">
        <v>1</v>
      </c>
    </row>
    <row r="555" spans="1:4" hidden="1" x14ac:dyDescent="0.35">
      <c r="A555">
        <v>0</v>
      </c>
      <c r="B555" t="e">
        <v>#N/A</v>
      </c>
      <c r="C555" t="s">
        <v>184</v>
      </c>
      <c r="D555">
        <v>1</v>
      </c>
    </row>
    <row r="556" spans="1:4" hidden="1" x14ac:dyDescent="0.35">
      <c r="A556">
        <v>0</v>
      </c>
      <c r="B556" t="e">
        <v>#N/A</v>
      </c>
      <c r="C556" t="s">
        <v>184</v>
      </c>
      <c r="D556">
        <v>1</v>
      </c>
    </row>
    <row r="557" spans="1:4" hidden="1" x14ac:dyDescent="0.35">
      <c r="A557">
        <v>0</v>
      </c>
      <c r="B557" t="e">
        <v>#N/A</v>
      </c>
      <c r="C557" t="s">
        <v>184</v>
      </c>
      <c r="D557">
        <v>1</v>
      </c>
    </row>
    <row r="558" spans="1:4" hidden="1" x14ac:dyDescent="0.35">
      <c r="A558">
        <v>0</v>
      </c>
      <c r="B558" t="e">
        <v>#N/A</v>
      </c>
      <c r="C558" t="s">
        <v>184</v>
      </c>
      <c r="D558">
        <v>1</v>
      </c>
    </row>
    <row r="559" spans="1:4" hidden="1" x14ac:dyDescent="0.35">
      <c r="A559" t="s">
        <v>7</v>
      </c>
      <c r="B559" t="s">
        <v>7</v>
      </c>
      <c r="C559" t="s">
        <v>183</v>
      </c>
      <c r="D559">
        <v>1</v>
      </c>
    </row>
    <row r="560" spans="1:4" hidden="1" x14ac:dyDescent="0.35">
      <c r="A560" t="s">
        <v>7</v>
      </c>
      <c r="B560" t="s">
        <v>7</v>
      </c>
      <c r="C560" t="s">
        <v>183</v>
      </c>
      <c r="D560">
        <v>1</v>
      </c>
    </row>
    <row r="561" spans="1:4" hidden="1" x14ac:dyDescent="0.35">
      <c r="A561" t="s">
        <v>7</v>
      </c>
      <c r="B561" t="s">
        <v>7</v>
      </c>
      <c r="C561" t="s">
        <v>183</v>
      </c>
      <c r="D561">
        <v>1</v>
      </c>
    </row>
    <row r="562" spans="1:4" hidden="1" x14ac:dyDescent="0.35">
      <c r="A562" t="s">
        <v>7</v>
      </c>
      <c r="B562" t="s">
        <v>7</v>
      </c>
      <c r="C562" t="s">
        <v>183</v>
      </c>
      <c r="D562">
        <v>1</v>
      </c>
    </row>
    <row r="563" spans="1:4" hidden="1" x14ac:dyDescent="0.35">
      <c r="A563" t="s">
        <v>7</v>
      </c>
      <c r="B563" t="s">
        <v>7</v>
      </c>
      <c r="C563" t="s">
        <v>183</v>
      </c>
      <c r="D563">
        <v>1</v>
      </c>
    </row>
    <row r="564" spans="1:4" hidden="1" x14ac:dyDescent="0.35">
      <c r="A564" t="s">
        <v>7</v>
      </c>
      <c r="B564" t="s">
        <v>7</v>
      </c>
      <c r="C564" t="s">
        <v>183</v>
      </c>
      <c r="D564">
        <v>1</v>
      </c>
    </row>
    <row r="565" spans="1:4" hidden="1" x14ac:dyDescent="0.35">
      <c r="A565" t="s">
        <v>7</v>
      </c>
      <c r="B565" t="s">
        <v>7</v>
      </c>
      <c r="C565" t="s">
        <v>183</v>
      </c>
      <c r="D565">
        <v>1</v>
      </c>
    </row>
    <row r="566" spans="1:4" hidden="1" x14ac:dyDescent="0.35">
      <c r="A566" t="s">
        <v>7</v>
      </c>
      <c r="B566" t="s">
        <v>7</v>
      </c>
      <c r="C566" t="s">
        <v>183</v>
      </c>
      <c r="D566">
        <v>1</v>
      </c>
    </row>
    <row r="567" spans="1:4" hidden="1" x14ac:dyDescent="0.35">
      <c r="A567" t="s">
        <v>7</v>
      </c>
      <c r="B567" t="s">
        <v>7</v>
      </c>
      <c r="C567" t="s">
        <v>183</v>
      </c>
      <c r="D567">
        <v>1</v>
      </c>
    </row>
    <row r="568" spans="1:4" hidden="1" x14ac:dyDescent="0.35">
      <c r="A568" t="s">
        <v>7</v>
      </c>
      <c r="B568" t="s">
        <v>7</v>
      </c>
      <c r="C568" t="s">
        <v>183</v>
      </c>
      <c r="D568">
        <v>1</v>
      </c>
    </row>
    <row r="569" spans="1:4" hidden="1" x14ac:dyDescent="0.35">
      <c r="A569" t="s">
        <v>7</v>
      </c>
      <c r="B569" t="s">
        <v>7</v>
      </c>
      <c r="C569" t="s">
        <v>183</v>
      </c>
      <c r="D569">
        <v>1</v>
      </c>
    </row>
    <row r="570" spans="1:4" hidden="1" x14ac:dyDescent="0.35">
      <c r="A570" t="s">
        <v>7</v>
      </c>
      <c r="B570" t="s">
        <v>7</v>
      </c>
      <c r="C570" t="s">
        <v>183</v>
      </c>
      <c r="D570">
        <v>1</v>
      </c>
    </row>
    <row r="571" spans="1:4" hidden="1" x14ac:dyDescent="0.35">
      <c r="A571" t="s">
        <v>7</v>
      </c>
      <c r="B571" t="s">
        <v>7</v>
      </c>
      <c r="C571" t="s">
        <v>183</v>
      </c>
      <c r="D571">
        <v>1</v>
      </c>
    </row>
    <row r="572" spans="1:4" hidden="1" x14ac:dyDescent="0.35">
      <c r="A572" t="s">
        <v>7</v>
      </c>
      <c r="B572" t="s">
        <v>7</v>
      </c>
      <c r="C572" t="s">
        <v>183</v>
      </c>
      <c r="D572">
        <v>1</v>
      </c>
    </row>
    <row r="573" spans="1:4" hidden="1" x14ac:dyDescent="0.35">
      <c r="A573" t="s">
        <v>7</v>
      </c>
      <c r="B573" t="s">
        <v>7</v>
      </c>
      <c r="C573" t="s">
        <v>183</v>
      </c>
      <c r="D573">
        <v>1</v>
      </c>
    </row>
    <row r="574" spans="1:4" hidden="1" x14ac:dyDescent="0.35">
      <c r="A574" t="s">
        <v>7</v>
      </c>
      <c r="B574" t="s">
        <v>7</v>
      </c>
      <c r="C574" t="s">
        <v>183</v>
      </c>
      <c r="D574">
        <v>1</v>
      </c>
    </row>
    <row r="575" spans="1:4" hidden="1" x14ac:dyDescent="0.35">
      <c r="A575" t="s">
        <v>7</v>
      </c>
      <c r="B575" t="s">
        <v>7</v>
      </c>
      <c r="C575" t="s">
        <v>183</v>
      </c>
      <c r="D575">
        <v>1</v>
      </c>
    </row>
    <row r="576" spans="1:4" hidden="1" x14ac:dyDescent="0.35">
      <c r="A576" t="s">
        <v>7</v>
      </c>
      <c r="B576" t="s">
        <v>7</v>
      </c>
      <c r="C576" t="s">
        <v>183</v>
      </c>
      <c r="D576">
        <v>1</v>
      </c>
    </row>
    <row r="577" spans="1:4" hidden="1" x14ac:dyDescent="0.35">
      <c r="A577" t="s">
        <v>7</v>
      </c>
      <c r="B577" t="s">
        <v>7</v>
      </c>
      <c r="C577" t="s">
        <v>183</v>
      </c>
      <c r="D577">
        <v>1</v>
      </c>
    </row>
    <row r="578" spans="1:4" hidden="1" x14ac:dyDescent="0.35">
      <c r="A578" t="s">
        <v>7</v>
      </c>
      <c r="B578" t="s">
        <v>7</v>
      </c>
      <c r="C578" t="s">
        <v>183</v>
      </c>
      <c r="D578">
        <v>1</v>
      </c>
    </row>
    <row r="579" spans="1:4" hidden="1" x14ac:dyDescent="0.35">
      <c r="A579" t="s">
        <v>7</v>
      </c>
      <c r="B579" t="s">
        <v>7</v>
      </c>
      <c r="C579" t="s">
        <v>183</v>
      </c>
      <c r="D579">
        <v>1</v>
      </c>
    </row>
    <row r="580" spans="1:4" hidden="1" x14ac:dyDescent="0.35">
      <c r="A580" t="s">
        <v>7</v>
      </c>
      <c r="B580" t="s">
        <v>7</v>
      </c>
      <c r="C580" t="s">
        <v>183</v>
      </c>
      <c r="D580">
        <v>1</v>
      </c>
    </row>
    <row r="581" spans="1:4" hidden="1" x14ac:dyDescent="0.35">
      <c r="A581" t="s">
        <v>7</v>
      </c>
      <c r="B581" t="s">
        <v>7</v>
      </c>
      <c r="C581" t="s">
        <v>183</v>
      </c>
      <c r="D581">
        <v>1</v>
      </c>
    </row>
    <row r="582" spans="1:4" hidden="1" x14ac:dyDescent="0.35">
      <c r="A582" t="s">
        <v>7</v>
      </c>
      <c r="B582" t="s">
        <v>7</v>
      </c>
      <c r="C582" t="s">
        <v>183</v>
      </c>
      <c r="D582">
        <v>1</v>
      </c>
    </row>
    <row r="583" spans="1:4" hidden="1" x14ac:dyDescent="0.35">
      <c r="A583" t="s">
        <v>7</v>
      </c>
      <c r="B583" t="s">
        <v>7</v>
      </c>
      <c r="C583" t="s">
        <v>183</v>
      </c>
      <c r="D583">
        <v>1</v>
      </c>
    </row>
    <row r="584" spans="1:4" hidden="1" x14ac:dyDescent="0.35">
      <c r="A584" t="s">
        <v>7</v>
      </c>
      <c r="B584" t="s">
        <v>7</v>
      </c>
      <c r="C584" t="s">
        <v>183</v>
      </c>
      <c r="D584">
        <v>1</v>
      </c>
    </row>
    <row r="585" spans="1:4" hidden="1" x14ac:dyDescent="0.35">
      <c r="A585" t="s">
        <v>7</v>
      </c>
      <c r="B585" t="s">
        <v>7</v>
      </c>
      <c r="C585" t="s">
        <v>183</v>
      </c>
      <c r="D585">
        <v>1</v>
      </c>
    </row>
    <row r="586" spans="1:4" hidden="1" x14ac:dyDescent="0.35">
      <c r="A586" t="s">
        <v>6</v>
      </c>
      <c r="B586" t="s">
        <v>6</v>
      </c>
      <c r="C586" t="s">
        <v>183</v>
      </c>
      <c r="D586">
        <v>1</v>
      </c>
    </row>
    <row r="587" spans="1:4" hidden="1" x14ac:dyDescent="0.35">
      <c r="A587" t="s">
        <v>126</v>
      </c>
      <c r="B587" t="s">
        <v>6</v>
      </c>
      <c r="C587" t="s">
        <v>183</v>
      </c>
      <c r="D587">
        <v>1</v>
      </c>
    </row>
    <row r="588" spans="1:4" hidden="1" x14ac:dyDescent="0.35">
      <c r="A588" t="s">
        <v>126</v>
      </c>
      <c r="B588" t="s">
        <v>6</v>
      </c>
      <c r="C588" t="s">
        <v>183</v>
      </c>
      <c r="D588">
        <v>1</v>
      </c>
    </row>
    <row r="589" spans="1:4" hidden="1" x14ac:dyDescent="0.35">
      <c r="A589" t="s">
        <v>126</v>
      </c>
      <c r="B589" t="s">
        <v>6</v>
      </c>
      <c r="C589" t="s">
        <v>183</v>
      </c>
      <c r="D589">
        <v>1</v>
      </c>
    </row>
    <row r="590" spans="1:4" hidden="1" x14ac:dyDescent="0.35">
      <c r="A590" t="s">
        <v>6</v>
      </c>
      <c r="B590" t="s">
        <v>6</v>
      </c>
      <c r="C590" t="s">
        <v>183</v>
      </c>
      <c r="D590">
        <v>1</v>
      </c>
    </row>
    <row r="591" spans="1:4" hidden="1" x14ac:dyDescent="0.35">
      <c r="A591" t="s">
        <v>6</v>
      </c>
      <c r="B591" t="s">
        <v>6</v>
      </c>
      <c r="C591" t="s">
        <v>183</v>
      </c>
      <c r="D591">
        <v>1</v>
      </c>
    </row>
    <row r="592" spans="1:4" hidden="1" x14ac:dyDescent="0.35">
      <c r="A592" t="s">
        <v>6</v>
      </c>
      <c r="B592" t="s">
        <v>6</v>
      </c>
      <c r="C592" t="s">
        <v>183</v>
      </c>
      <c r="D592">
        <v>1</v>
      </c>
    </row>
    <row r="593" spans="1:4" hidden="1" x14ac:dyDescent="0.35">
      <c r="A593" t="s">
        <v>126</v>
      </c>
      <c r="B593" t="s">
        <v>6</v>
      </c>
      <c r="C593" t="s">
        <v>183</v>
      </c>
      <c r="D593">
        <v>1</v>
      </c>
    </row>
    <row r="594" spans="1:4" hidden="1" x14ac:dyDescent="0.35">
      <c r="A594" t="s">
        <v>126</v>
      </c>
      <c r="B594" t="s">
        <v>6</v>
      </c>
      <c r="C594" t="s">
        <v>183</v>
      </c>
      <c r="D594">
        <v>1</v>
      </c>
    </row>
    <row r="595" spans="1:4" hidden="1" x14ac:dyDescent="0.35">
      <c r="A595" t="s">
        <v>126</v>
      </c>
      <c r="B595" t="s">
        <v>6</v>
      </c>
      <c r="C595" t="s">
        <v>183</v>
      </c>
      <c r="D595">
        <v>1</v>
      </c>
    </row>
    <row r="596" spans="1:4" hidden="1" x14ac:dyDescent="0.35">
      <c r="A596" t="s">
        <v>6</v>
      </c>
      <c r="B596" t="s">
        <v>6</v>
      </c>
      <c r="C596" t="s">
        <v>183</v>
      </c>
      <c r="D596">
        <v>1</v>
      </c>
    </row>
    <row r="597" spans="1:4" hidden="1" x14ac:dyDescent="0.35">
      <c r="A597" t="s">
        <v>6</v>
      </c>
      <c r="B597" t="s">
        <v>6</v>
      </c>
      <c r="C597" t="s">
        <v>183</v>
      </c>
      <c r="D597">
        <v>1</v>
      </c>
    </row>
    <row r="598" spans="1:4" hidden="1" x14ac:dyDescent="0.35">
      <c r="A598" t="s">
        <v>6</v>
      </c>
      <c r="B598" t="s">
        <v>6</v>
      </c>
      <c r="C598" t="s">
        <v>183</v>
      </c>
      <c r="D598">
        <v>1</v>
      </c>
    </row>
    <row r="599" spans="1:4" hidden="1" x14ac:dyDescent="0.35">
      <c r="A599" t="s">
        <v>126</v>
      </c>
      <c r="B599" t="s">
        <v>6</v>
      </c>
      <c r="C599" t="s">
        <v>183</v>
      </c>
      <c r="D599">
        <v>1</v>
      </c>
    </row>
    <row r="600" spans="1:4" hidden="1" x14ac:dyDescent="0.35">
      <c r="A600" t="s">
        <v>126</v>
      </c>
      <c r="B600" t="s">
        <v>6</v>
      </c>
      <c r="C600" t="s">
        <v>183</v>
      </c>
      <c r="D600">
        <v>1</v>
      </c>
    </row>
    <row r="601" spans="1:4" hidden="1" x14ac:dyDescent="0.35">
      <c r="A601" t="s">
        <v>126</v>
      </c>
      <c r="B601" t="s">
        <v>6</v>
      </c>
      <c r="C601" t="s">
        <v>183</v>
      </c>
      <c r="D601">
        <v>1</v>
      </c>
    </row>
    <row r="602" spans="1:4" hidden="1" x14ac:dyDescent="0.35">
      <c r="A602" t="s">
        <v>6</v>
      </c>
      <c r="B602" t="s">
        <v>6</v>
      </c>
      <c r="C602" t="s">
        <v>183</v>
      </c>
      <c r="D602">
        <v>1</v>
      </c>
    </row>
    <row r="603" spans="1:4" hidden="1" x14ac:dyDescent="0.35">
      <c r="A603" t="s">
        <v>6</v>
      </c>
      <c r="B603" t="s">
        <v>6</v>
      </c>
      <c r="C603" t="s">
        <v>183</v>
      </c>
      <c r="D603">
        <v>1</v>
      </c>
    </row>
    <row r="604" spans="1:4" hidden="1" x14ac:dyDescent="0.35">
      <c r="A604" t="s">
        <v>6</v>
      </c>
      <c r="B604" t="s">
        <v>6</v>
      </c>
      <c r="C604" t="s">
        <v>183</v>
      </c>
      <c r="D604">
        <v>1</v>
      </c>
    </row>
    <row r="605" spans="1:4" hidden="1" x14ac:dyDescent="0.35">
      <c r="A605" t="s">
        <v>6</v>
      </c>
      <c r="B605" t="s">
        <v>6</v>
      </c>
      <c r="C605" t="s">
        <v>183</v>
      </c>
      <c r="D605">
        <v>1</v>
      </c>
    </row>
    <row r="606" spans="1:4" hidden="1" x14ac:dyDescent="0.35">
      <c r="A606" t="s">
        <v>6</v>
      </c>
      <c r="B606" t="s">
        <v>6</v>
      </c>
      <c r="C606" t="s">
        <v>183</v>
      </c>
      <c r="D606">
        <v>1</v>
      </c>
    </row>
    <row r="607" spans="1:4" hidden="1" x14ac:dyDescent="0.35">
      <c r="A607" t="s">
        <v>126</v>
      </c>
      <c r="B607" t="s">
        <v>6</v>
      </c>
      <c r="C607" t="s">
        <v>183</v>
      </c>
      <c r="D607">
        <v>1</v>
      </c>
    </row>
    <row r="608" spans="1:4" hidden="1" x14ac:dyDescent="0.35">
      <c r="A608" t="s">
        <v>126</v>
      </c>
      <c r="B608" t="s">
        <v>6</v>
      </c>
      <c r="C608" t="s">
        <v>183</v>
      </c>
      <c r="D608">
        <v>1</v>
      </c>
    </row>
    <row r="609" spans="1:4" hidden="1" x14ac:dyDescent="0.35">
      <c r="A609" t="s">
        <v>6</v>
      </c>
      <c r="B609" t="s">
        <v>6</v>
      </c>
      <c r="C609" t="s">
        <v>183</v>
      </c>
      <c r="D609">
        <v>1</v>
      </c>
    </row>
    <row r="610" spans="1:4" hidden="1" x14ac:dyDescent="0.35">
      <c r="A610" t="s">
        <v>6</v>
      </c>
      <c r="B610" t="s">
        <v>6</v>
      </c>
      <c r="C610" t="s">
        <v>183</v>
      </c>
      <c r="D610">
        <v>1</v>
      </c>
    </row>
    <row r="611" spans="1:4" hidden="1" x14ac:dyDescent="0.35">
      <c r="A611" t="s">
        <v>126</v>
      </c>
      <c r="B611" t="s">
        <v>6</v>
      </c>
      <c r="C611" t="s">
        <v>183</v>
      </c>
      <c r="D611">
        <v>1</v>
      </c>
    </row>
    <row r="612" spans="1:4" hidden="1" x14ac:dyDescent="0.35">
      <c r="A612" t="s">
        <v>6</v>
      </c>
      <c r="B612" t="s">
        <v>6</v>
      </c>
      <c r="C612" t="s">
        <v>183</v>
      </c>
      <c r="D612">
        <v>1</v>
      </c>
    </row>
    <row r="613" spans="1:4" hidden="1" x14ac:dyDescent="0.35">
      <c r="A613" t="s">
        <v>126</v>
      </c>
      <c r="B613" t="s">
        <v>6</v>
      </c>
      <c r="C613" t="s">
        <v>183</v>
      </c>
      <c r="D613">
        <v>1</v>
      </c>
    </row>
    <row r="614" spans="1:4" hidden="1" x14ac:dyDescent="0.35">
      <c r="A614" t="s">
        <v>6</v>
      </c>
      <c r="B614" t="s">
        <v>6</v>
      </c>
      <c r="C614" t="s">
        <v>183</v>
      </c>
      <c r="D614">
        <v>1</v>
      </c>
    </row>
    <row r="615" spans="1:4" hidden="1" x14ac:dyDescent="0.35">
      <c r="A615" t="s">
        <v>6</v>
      </c>
      <c r="B615" t="s">
        <v>6</v>
      </c>
      <c r="C615" t="s">
        <v>183</v>
      </c>
      <c r="D615">
        <v>1</v>
      </c>
    </row>
    <row r="616" spans="1:4" hidden="1" x14ac:dyDescent="0.35">
      <c r="A616" t="s">
        <v>6</v>
      </c>
      <c r="B616" t="s">
        <v>6</v>
      </c>
      <c r="C616" t="s">
        <v>183</v>
      </c>
      <c r="D616">
        <v>1</v>
      </c>
    </row>
    <row r="617" spans="1:4" hidden="1" x14ac:dyDescent="0.35">
      <c r="A617" t="s">
        <v>126</v>
      </c>
      <c r="B617" t="s">
        <v>6</v>
      </c>
      <c r="C617" t="s">
        <v>183</v>
      </c>
      <c r="D617">
        <v>1</v>
      </c>
    </row>
    <row r="618" spans="1:4" hidden="1" x14ac:dyDescent="0.35">
      <c r="A618" t="s">
        <v>126</v>
      </c>
      <c r="B618" t="s">
        <v>6</v>
      </c>
      <c r="C618" t="s">
        <v>183</v>
      </c>
      <c r="D618">
        <v>1</v>
      </c>
    </row>
    <row r="619" spans="1:4" hidden="1" x14ac:dyDescent="0.35">
      <c r="A619" t="s">
        <v>126</v>
      </c>
      <c r="B619" t="s">
        <v>6</v>
      </c>
      <c r="C619" t="s">
        <v>183</v>
      </c>
      <c r="D619">
        <v>1</v>
      </c>
    </row>
    <row r="620" spans="1:4" hidden="1" x14ac:dyDescent="0.35">
      <c r="A620" t="s">
        <v>6</v>
      </c>
      <c r="B620" t="s">
        <v>6</v>
      </c>
      <c r="C620" t="s">
        <v>183</v>
      </c>
      <c r="D620">
        <v>1</v>
      </c>
    </row>
    <row r="621" spans="1:4" hidden="1" x14ac:dyDescent="0.35">
      <c r="A621" t="s">
        <v>126</v>
      </c>
      <c r="B621" t="s">
        <v>6</v>
      </c>
      <c r="C621" t="s">
        <v>183</v>
      </c>
      <c r="D621">
        <v>1</v>
      </c>
    </row>
    <row r="622" spans="1:4" hidden="1" x14ac:dyDescent="0.35">
      <c r="A622" t="s">
        <v>6</v>
      </c>
      <c r="B622" t="s">
        <v>6</v>
      </c>
      <c r="C622" t="s">
        <v>183</v>
      </c>
      <c r="D622">
        <v>1</v>
      </c>
    </row>
    <row r="623" spans="1:4" hidden="1" x14ac:dyDescent="0.35">
      <c r="A623" t="s">
        <v>6</v>
      </c>
      <c r="B623" t="s">
        <v>6</v>
      </c>
      <c r="C623" t="s">
        <v>183</v>
      </c>
      <c r="D623">
        <v>1</v>
      </c>
    </row>
    <row r="624" spans="1:4" hidden="1" x14ac:dyDescent="0.35">
      <c r="A624" t="s">
        <v>6</v>
      </c>
      <c r="B624" t="s">
        <v>6</v>
      </c>
      <c r="C624" t="s">
        <v>183</v>
      </c>
      <c r="D624">
        <v>1</v>
      </c>
    </row>
    <row r="625" spans="1:4" hidden="1" x14ac:dyDescent="0.35">
      <c r="A625" t="s">
        <v>126</v>
      </c>
      <c r="B625" t="s">
        <v>6</v>
      </c>
      <c r="C625" t="s">
        <v>183</v>
      </c>
      <c r="D625">
        <v>1</v>
      </c>
    </row>
    <row r="626" spans="1:4" hidden="1" x14ac:dyDescent="0.35">
      <c r="A626" t="s">
        <v>6</v>
      </c>
      <c r="B626" t="s">
        <v>6</v>
      </c>
      <c r="C626" t="s">
        <v>183</v>
      </c>
      <c r="D626">
        <v>1</v>
      </c>
    </row>
    <row r="627" spans="1:4" hidden="1" x14ac:dyDescent="0.35">
      <c r="A627" t="s">
        <v>126</v>
      </c>
      <c r="B627" t="s">
        <v>6</v>
      </c>
      <c r="C627" t="s">
        <v>183</v>
      </c>
      <c r="D627">
        <v>1</v>
      </c>
    </row>
    <row r="628" spans="1:4" hidden="1" x14ac:dyDescent="0.35">
      <c r="A628" t="s">
        <v>126</v>
      </c>
      <c r="B628" t="s">
        <v>6</v>
      </c>
      <c r="C628" t="s">
        <v>183</v>
      </c>
      <c r="D628">
        <v>1</v>
      </c>
    </row>
    <row r="629" spans="1:4" hidden="1" x14ac:dyDescent="0.35">
      <c r="A629" t="s">
        <v>6</v>
      </c>
      <c r="B629" t="s">
        <v>6</v>
      </c>
      <c r="C629" t="s">
        <v>183</v>
      </c>
      <c r="D629">
        <v>1</v>
      </c>
    </row>
    <row r="630" spans="1:4" hidden="1" x14ac:dyDescent="0.35">
      <c r="A630" t="s">
        <v>6</v>
      </c>
      <c r="B630" t="s">
        <v>6</v>
      </c>
      <c r="C630" t="s">
        <v>183</v>
      </c>
      <c r="D630">
        <v>1</v>
      </c>
    </row>
    <row r="631" spans="1:4" hidden="1" x14ac:dyDescent="0.35">
      <c r="A631" t="s">
        <v>126</v>
      </c>
      <c r="B631" t="s">
        <v>6</v>
      </c>
      <c r="C631" t="s">
        <v>183</v>
      </c>
      <c r="D631">
        <v>1</v>
      </c>
    </row>
    <row r="632" spans="1:4" hidden="1" x14ac:dyDescent="0.35">
      <c r="A632" t="s">
        <v>6</v>
      </c>
      <c r="B632" t="s">
        <v>6</v>
      </c>
      <c r="C632" t="s">
        <v>183</v>
      </c>
      <c r="D632">
        <v>1</v>
      </c>
    </row>
    <row r="633" spans="1:4" hidden="1" x14ac:dyDescent="0.35">
      <c r="A633" t="s">
        <v>6</v>
      </c>
      <c r="B633" t="s">
        <v>6</v>
      </c>
      <c r="C633" t="s">
        <v>183</v>
      </c>
      <c r="D633">
        <v>1</v>
      </c>
    </row>
    <row r="634" spans="1:4" hidden="1" x14ac:dyDescent="0.35">
      <c r="A634" t="s">
        <v>6</v>
      </c>
      <c r="B634" t="s">
        <v>6</v>
      </c>
      <c r="C634" t="s">
        <v>183</v>
      </c>
      <c r="D634">
        <v>1</v>
      </c>
    </row>
    <row r="635" spans="1:4" hidden="1" x14ac:dyDescent="0.35">
      <c r="A635" t="s">
        <v>126</v>
      </c>
      <c r="B635" t="s">
        <v>6</v>
      </c>
      <c r="C635" t="s">
        <v>183</v>
      </c>
      <c r="D635">
        <v>1</v>
      </c>
    </row>
    <row r="636" spans="1:4" hidden="1" x14ac:dyDescent="0.35">
      <c r="A636" t="s">
        <v>126</v>
      </c>
      <c r="B636" t="s">
        <v>6</v>
      </c>
      <c r="C636" t="s">
        <v>183</v>
      </c>
      <c r="D636">
        <v>1</v>
      </c>
    </row>
    <row r="637" spans="1:4" hidden="1" x14ac:dyDescent="0.35">
      <c r="A637" t="s">
        <v>6</v>
      </c>
      <c r="B637" t="s">
        <v>6</v>
      </c>
      <c r="C637" t="s">
        <v>183</v>
      </c>
      <c r="D637">
        <v>1</v>
      </c>
    </row>
    <row r="638" spans="1:4" hidden="1" x14ac:dyDescent="0.35">
      <c r="A638" t="s">
        <v>6</v>
      </c>
      <c r="B638" t="s">
        <v>6</v>
      </c>
      <c r="C638" t="s">
        <v>183</v>
      </c>
      <c r="D638">
        <v>1</v>
      </c>
    </row>
    <row r="639" spans="1:4" hidden="1" x14ac:dyDescent="0.35">
      <c r="A639" t="s">
        <v>51</v>
      </c>
      <c r="B639" t="s">
        <v>5</v>
      </c>
      <c r="C639" t="s">
        <v>183</v>
      </c>
      <c r="D639">
        <v>1</v>
      </c>
    </row>
    <row r="640" spans="1:4" hidden="1" x14ac:dyDescent="0.35">
      <c r="A640" t="s">
        <v>103</v>
      </c>
      <c r="B640" t="s">
        <v>5</v>
      </c>
      <c r="C640" t="s">
        <v>183</v>
      </c>
      <c r="D640">
        <v>1</v>
      </c>
    </row>
    <row r="641" spans="1:4" hidden="1" x14ac:dyDescent="0.35">
      <c r="A641" t="s">
        <v>106</v>
      </c>
      <c r="B641" t="s">
        <v>5</v>
      </c>
      <c r="C641" t="s">
        <v>183</v>
      </c>
      <c r="D641">
        <v>1</v>
      </c>
    </row>
    <row r="642" spans="1:4" hidden="1" x14ac:dyDescent="0.35">
      <c r="A642" t="s">
        <v>119</v>
      </c>
      <c r="B642" t="s">
        <v>5</v>
      </c>
      <c r="C642" t="s">
        <v>183</v>
      </c>
      <c r="D642">
        <v>1</v>
      </c>
    </row>
    <row r="643" spans="1:4" hidden="1" x14ac:dyDescent="0.35">
      <c r="A643" t="s">
        <v>50</v>
      </c>
      <c r="B643" t="s">
        <v>5</v>
      </c>
      <c r="C643" t="s">
        <v>183</v>
      </c>
      <c r="D643">
        <v>1</v>
      </c>
    </row>
    <row r="644" spans="1:4" hidden="1" x14ac:dyDescent="0.35">
      <c r="A644" t="s">
        <v>87</v>
      </c>
      <c r="B644" t="s">
        <v>5</v>
      </c>
      <c r="C644" t="s">
        <v>183</v>
      </c>
      <c r="D644">
        <v>1</v>
      </c>
    </row>
    <row r="645" spans="1:4" hidden="1" x14ac:dyDescent="0.35">
      <c r="A645" t="s">
        <v>99</v>
      </c>
      <c r="B645" t="s">
        <v>5</v>
      </c>
      <c r="C645" t="s">
        <v>183</v>
      </c>
      <c r="D645">
        <v>1</v>
      </c>
    </row>
    <row r="646" spans="1:4" hidden="1" x14ac:dyDescent="0.35">
      <c r="A646" t="s">
        <v>101</v>
      </c>
      <c r="B646" t="s">
        <v>5</v>
      </c>
      <c r="C646" t="s">
        <v>183</v>
      </c>
      <c r="D646">
        <v>1</v>
      </c>
    </row>
    <row r="647" spans="1:4" hidden="1" x14ac:dyDescent="0.35">
      <c r="A647" t="s">
        <v>115</v>
      </c>
      <c r="B647" t="s">
        <v>5</v>
      </c>
      <c r="C647" t="s">
        <v>183</v>
      </c>
      <c r="D647">
        <v>1</v>
      </c>
    </row>
    <row r="648" spans="1:4" hidden="1" x14ac:dyDescent="0.35">
      <c r="A648" t="s">
        <v>118</v>
      </c>
      <c r="B648" t="s">
        <v>5</v>
      </c>
      <c r="C648" t="s">
        <v>183</v>
      </c>
      <c r="D648">
        <v>1</v>
      </c>
    </row>
    <row r="649" spans="1:4" hidden="1" x14ac:dyDescent="0.35">
      <c r="A649" t="s">
        <v>128</v>
      </c>
      <c r="B649" t="s">
        <v>5</v>
      </c>
      <c r="C649" t="s">
        <v>183</v>
      </c>
      <c r="D649">
        <v>1</v>
      </c>
    </row>
    <row r="650" spans="1:4" hidden="1" x14ac:dyDescent="0.35">
      <c r="A650" t="s">
        <v>30</v>
      </c>
      <c r="B650" t="s">
        <v>5</v>
      </c>
      <c r="C650" t="s">
        <v>183</v>
      </c>
      <c r="D650">
        <v>1</v>
      </c>
    </row>
    <row r="651" spans="1:4" hidden="1" x14ac:dyDescent="0.35">
      <c r="A651" t="s">
        <v>37</v>
      </c>
      <c r="B651" t="s">
        <v>5</v>
      </c>
      <c r="C651" t="s">
        <v>183</v>
      </c>
      <c r="D651">
        <v>1</v>
      </c>
    </row>
    <row r="652" spans="1:4" hidden="1" x14ac:dyDescent="0.35">
      <c r="A652" t="s">
        <v>41</v>
      </c>
      <c r="B652" t="s">
        <v>5</v>
      </c>
      <c r="C652" t="s">
        <v>183</v>
      </c>
      <c r="D652">
        <v>1</v>
      </c>
    </row>
    <row r="653" spans="1:4" hidden="1" x14ac:dyDescent="0.35">
      <c r="A653" t="s">
        <v>50</v>
      </c>
      <c r="B653" t="s">
        <v>5</v>
      </c>
      <c r="C653" t="s">
        <v>183</v>
      </c>
      <c r="D653">
        <v>1</v>
      </c>
    </row>
    <row r="654" spans="1:4" hidden="1" x14ac:dyDescent="0.35">
      <c r="A654" t="s">
        <v>99</v>
      </c>
      <c r="B654" t="s">
        <v>5</v>
      </c>
      <c r="C654" t="s">
        <v>183</v>
      </c>
      <c r="D654">
        <v>1</v>
      </c>
    </row>
    <row r="655" spans="1:4" hidden="1" x14ac:dyDescent="0.35">
      <c r="A655" t="s">
        <v>101</v>
      </c>
      <c r="B655" t="s">
        <v>5</v>
      </c>
      <c r="C655" t="s">
        <v>183</v>
      </c>
      <c r="D655">
        <v>1</v>
      </c>
    </row>
    <row r="656" spans="1:4" hidden="1" x14ac:dyDescent="0.35">
      <c r="A656" t="s">
        <v>105</v>
      </c>
      <c r="B656" t="s">
        <v>5</v>
      </c>
      <c r="C656" t="s">
        <v>183</v>
      </c>
      <c r="D656">
        <v>1</v>
      </c>
    </row>
    <row r="657" spans="1:4" hidden="1" x14ac:dyDescent="0.35">
      <c r="A657" t="s">
        <v>106</v>
      </c>
      <c r="B657" t="s">
        <v>5</v>
      </c>
      <c r="C657" t="s">
        <v>183</v>
      </c>
      <c r="D657">
        <v>1</v>
      </c>
    </row>
    <row r="658" spans="1:4" hidden="1" x14ac:dyDescent="0.35">
      <c r="A658" t="s">
        <v>128</v>
      </c>
      <c r="B658" t="s">
        <v>5</v>
      </c>
      <c r="C658" t="s">
        <v>183</v>
      </c>
      <c r="D658">
        <v>1</v>
      </c>
    </row>
    <row r="659" spans="1:4" hidden="1" x14ac:dyDescent="0.35">
      <c r="A659" t="s">
        <v>30</v>
      </c>
      <c r="B659" t="s">
        <v>5</v>
      </c>
      <c r="C659" t="s">
        <v>183</v>
      </c>
      <c r="D659">
        <v>1</v>
      </c>
    </row>
    <row r="660" spans="1:4" hidden="1" x14ac:dyDescent="0.35">
      <c r="A660" t="s">
        <v>50</v>
      </c>
      <c r="B660" t="s">
        <v>5</v>
      </c>
      <c r="C660" t="s">
        <v>183</v>
      </c>
      <c r="D660">
        <v>1</v>
      </c>
    </row>
    <row r="661" spans="1:4" hidden="1" x14ac:dyDescent="0.35">
      <c r="A661" t="s">
        <v>50</v>
      </c>
      <c r="B661" t="s">
        <v>5</v>
      </c>
      <c r="C661" t="s">
        <v>183</v>
      </c>
      <c r="D661">
        <v>1</v>
      </c>
    </row>
    <row r="662" spans="1:4" hidden="1" x14ac:dyDescent="0.35">
      <c r="A662" t="s">
        <v>97</v>
      </c>
      <c r="B662" t="s">
        <v>5</v>
      </c>
      <c r="C662" t="s">
        <v>183</v>
      </c>
      <c r="D662">
        <v>1</v>
      </c>
    </row>
    <row r="663" spans="1:4" hidden="1" x14ac:dyDescent="0.35">
      <c r="A663" t="s">
        <v>101</v>
      </c>
      <c r="B663" t="s">
        <v>5</v>
      </c>
      <c r="C663" t="s">
        <v>183</v>
      </c>
      <c r="D663">
        <v>1</v>
      </c>
    </row>
    <row r="664" spans="1:4" hidden="1" x14ac:dyDescent="0.35">
      <c r="A664" t="s">
        <v>106</v>
      </c>
      <c r="B664" t="s">
        <v>5</v>
      </c>
      <c r="C664" t="s">
        <v>183</v>
      </c>
      <c r="D664">
        <v>1</v>
      </c>
    </row>
    <row r="665" spans="1:4" hidden="1" x14ac:dyDescent="0.35">
      <c r="A665" t="s">
        <v>122</v>
      </c>
      <c r="B665" t="s">
        <v>5</v>
      </c>
      <c r="C665" t="s">
        <v>183</v>
      </c>
      <c r="D665">
        <v>1</v>
      </c>
    </row>
    <row r="666" spans="1:4" hidden="1" x14ac:dyDescent="0.35">
      <c r="A666" t="s">
        <v>125</v>
      </c>
      <c r="B666" t="s">
        <v>5</v>
      </c>
      <c r="C666" t="s">
        <v>183</v>
      </c>
      <c r="D666">
        <v>1</v>
      </c>
    </row>
    <row r="667" spans="1:4" hidden="1" x14ac:dyDescent="0.35">
      <c r="A667" t="s">
        <v>128</v>
      </c>
      <c r="B667" t="s">
        <v>5</v>
      </c>
      <c r="C667" t="s">
        <v>183</v>
      </c>
      <c r="D667">
        <v>1</v>
      </c>
    </row>
    <row r="668" spans="1:4" hidden="1" x14ac:dyDescent="0.35">
      <c r="A668" t="s">
        <v>128</v>
      </c>
      <c r="B668" t="s">
        <v>5</v>
      </c>
      <c r="C668" t="s">
        <v>183</v>
      </c>
      <c r="D668">
        <v>1</v>
      </c>
    </row>
    <row r="669" spans="1:4" hidden="1" x14ac:dyDescent="0.35">
      <c r="A669" t="s">
        <v>128</v>
      </c>
      <c r="B669" t="s">
        <v>5</v>
      </c>
      <c r="C669" t="s">
        <v>183</v>
      </c>
      <c r="D669">
        <v>1</v>
      </c>
    </row>
    <row r="670" spans="1:4" hidden="1" x14ac:dyDescent="0.35">
      <c r="A670" t="s">
        <v>50</v>
      </c>
      <c r="B670" t="s">
        <v>5</v>
      </c>
      <c r="C670" t="s">
        <v>183</v>
      </c>
      <c r="D670">
        <v>1</v>
      </c>
    </row>
    <row r="671" spans="1:4" hidden="1" x14ac:dyDescent="0.35">
      <c r="A671" t="s">
        <v>99</v>
      </c>
      <c r="B671" t="s">
        <v>5</v>
      </c>
      <c r="C671" t="s">
        <v>183</v>
      </c>
      <c r="D671">
        <v>1</v>
      </c>
    </row>
    <row r="672" spans="1:4" hidden="1" x14ac:dyDescent="0.35">
      <c r="A672" t="s">
        <v>101</v>
      </c>
      <c r="B672" t="s">
        <v>5</v>
      </c>
      <c r="C672" t="s">
        <v>183</v>
      </c>
      <c r="D672">
        <v>1</v>
      </c>
    </row>
    <row r="673" spans="1:4" hidden="1" x14ac:dyDescent="0.35">
      <c r="A673" t="s">
        <v>105</v>
      </c>
      <c r="B673" t="s">
        <v>5</v>
      </c>
      <c r="C673" t="s">
        <v>183</v>
      </c>
      <c r="D673">
        <v>1</v>
      </c>
    </row>
    <row r="674" spans="1:4" hidden="1" x14ac:dyDescent="0.35">
      <c r="A674" t="s">
        <v>128</v>
      </c>
      <c r="B674" t="s">
        <v>5</v>
      </c>
      <c r="C674" t="s">
        <v>183</v>
      </c>
      <c r="D674">
        <v>1</v>
      </c>
    </row>
    <row r="675" spans="1:4" hidden="1" x14ac:dyDescent="0.35">
      <c r="A675" t="s">
        <v>128</v>
      </c>
      <c r="B675" t="s">
        <v>5</v>
      </c>
      <c r="C675" t="s">
        <v>183</v>
      </c>
      <c r="D675">
        <v>1</v>
      </c>
    </row>
    <row r="676" spans="1:4" hidden="1" x14ac:dyDescent="0.35">
      <c r="A676" t="s">
        <v>35</v>
      </c>
      <c r="B676" t="s">
        <v>5</v>
      </c>
      <c r="C676" t="s">
        <v>183</v>
      </c>
      <c r="D676">
        <v>1</v>
      </c>
    </row>
    <row r="677" spans="1:4" hidden="1" x14ac:dyDescent="0.35">
      <c r="A677" t="s">
        <v>50</v>
      </c>
      <c r="B677" t="s">
        <v>5</v>
      </c>
      <c r="C677" t="s">
        <v>183</v>
      </c>
      <c r="D677">
        <v>1</v>
      </c>
    </row>
    <row r="678" spans="1:4" hidden="1" x14ac:dyDescent="0.35">
      <c r="A678" t="s">
        <v>50</v>
      </c>
      <c r="B678" t="s">
        <v>5</v>
      </c>
      <c r="C678" t="s">
        <v>183</v>
      </c>
      <c r="D678">
        <v>1</v>
      </c>
    </row>
    <row r="679" spans="1:4" hidden="1" x14ac:dyDescent="0.35">
      <c r="A679" t="s">
        <v>57</v>
      </c>
      <c r="B679" t="s">
        <v>5</v>
      </c>
      <c r="C679" t="s">
        <v>183</v>
      </c>
      <c r="D679">
        <v>1</v>
      </c>
    </row>
    <row r="680" spans="1:4" hidden="1" x14ac:dyDescent="0.35">
      <c r="A680" t="s">
        <v>65</v>
      </c>
      <c r="B680" t="s">
        <v>5</v>
      </c>
      <c r="C680" t="s">
        <v>183</v>
      </c>
      <c r="D680">
        <v>1</v>
      </c>
    </row>
    <row r="681" spans="1:4" hidden="1" x14ac:dyDescent="0.35">
      <c r="A681" t="s">
        <v>99</v>
      </c>
      <c r="B681" t="s">
        <v>5</v>
      </c>
      <c r="C681" t="s">
        <v>183</v>
      </c>
      <c r="D681">
        <v>1</v>
      </c>
    </row>
    <row r="682" spans="1:4" hidden="1" x14ac:dyDescent="0.35">
      <c r="A682" t="s">
        <v>101</v>
      </c>
      <c r="B682" t="s">
        <v>5</v>
      </c>
      <c r="C682" t="s">
        <v>183</v>
      </c>
      <c r="D682">
        <v>1</v>
      </c>
    </row>
    <row r="683" spans="1:4" hidden="1" x14ac:dyDescent="0.35">
      <c r="A683" t="s">
        <v>106</v>
      </c>
      <c r="B683" t="s">
        <v>5</v>
      </c>
      <c r="C683" t="s">
        <v>183</v>
      </c>
      <c r="D683">
        <v>1</v>
      </c>
    </row>
    <row r="684" spans="1:4" hidden="1" x14ac:dyDescent="0.35">
      <c r="A684" t="s">
        <v>106</v>
      </c>
      <c r="B684" t="s">
        <v>5</v>
      </c>
      <c r="C684" t="s">
        <v>183</v>
      </c>
      <c r="D684">
        <v>1</v>
      </c>
    </row>
    <row r="685" spans="1:4" hidden="1" x14ac:dyDescent="0.35">
      <c r="A685" t="s">
        <v>128</v>
      </c>
      <c r="B685" t="s">
        <v>5</v>
      </c>
      <c r="C685" t="s">
        <v>183</v>
      </c>
      <c r="D685">
        <v>1</v>
      </c>
    </row>
    <row r="686" spans="1:4" hidden="1" x14ac:dyDescent="0.35">
      <c r="A686" t="s">
        <v>128</v>
      </c>
      <c r="B686" t="s">
        <v>5</v>
      </c>
      <c r="C686" t="s">
        <v>183</v>
      </c>
      <c r="D686">
        <v>1</v>
      </c>
    </row>
    <row r="687" spans="1:4" hidden="1" x14ac:dyDescent="0.35">
      <c r="A687" t="s">
        <v>128</v>
      </c>
      <c r="B687" t="s">
        <v>5</v>
      </c>
      <c r="C687" t="s">
        <v>183</v>
      </c>
      <c r="D687">
        <v>1</v>
      </c>
    </row>
    <row r="688" spans="1:4" hidden="1" x14ac:dyDescent="0.35">
      <c r="A688" t="s">
        <v>128</v>
      </c>
      <c r="B688" t="s">
        <v>5</v>
      </c>
      <c r="C688" t="s">
        <v>183</v>
      </c>
      <c r="D688">
        <v>1</v>
      </c>
    </row>
    <row r="689" spans="1:4" hidden="1" x14ac:dyDescent="0.35">
      <c r="A689" t="s">
        <v>128</v>
      </c>
      <c r="B689" t="s">
        <v>5</v>
      </c>
      <c r="C689" t="s">
        <v>183</v>
      </c>
      <c r="D689">
        <v>1</v>
      </c>
    </row>
    <row r="690" spans="1:4" hidden="1" x14ac:dyDescent="0.35">
      <c r="A690" t="s">
        <v>50</v>
      </c>
      <c r="B690" t="s">
        <v>5</v>
      </c>
      <c r="C690" t="s">
        <v>183</v>
      </c>
      <c r="D690">
        <v>1</v>
      </c>
    </row>
    <row r="691" spans="1:4" hidden="1" x14ac:dyDescent="0.35">
      <c r="A691" t="s">
        <v>50</v>
      </c>
      <c r="B691" t="s">
        <v>5</v>
      </c>
      <c r="C691" t="s">
        <v>183</v>
      </c>
      <c r="D691">
        <v>1</v>
      </c>
    </row>
    <row r="692" spans="1:4" hidden="1" x14ac:dyDescent="0.35">
      <c r="A692" t="s">
        <v>50</v>
      </c>
      <c r="B692" t="s">
        <v>5</v>
      </c>
      <c r="C692" t="s">
        <v>183</v>
      </c>
      <c r="D692">
        <v>1</v>
      </c>
    </row>
    <row r="693" spans="1:4" hidden="1" x14ac:dyDescent="0.35">
      <c r="A693" t="s">
        <v>99</v>
      </c>
      <c r="B693" t="s">
        <v>5</v>
      </c>
      <c r="C693" t="s">
        <v>183</v>
      </c>
      <c r="D693">
        <v>1</v>
      </c>
    </row>
    <row r="694" spans="1:4" hidden="1" x14ac:dyDescent="0.35">
      <c r="A694" t="s">
        <v>128</v>
      </c>
      <c r="B694" t="s">
        <v>5</v>
      </c>
      <c r="C694" t="s">
        <v>183</v>
      </c>
      <c r="D694">
        <v>1</v>
      </c>
    </row>
    <row r="695" spans="1:4" hidden="1" x14ac:dyDescent="0.35">
      <c r="A695" t="s">
        <v>50</v>
      </c>
      <c r="B695" t="s">
        <v>5</v>
      </c>
      <c r="C695" t="s">
        <v>183</v>
      </c>
      <c r="D695">
        <v>1</v>
      </c>
    </row>
    <row r="696" spans="1:4" hidden="1" x14ac:dyDescent="0.35">
      <c r="A696" t="s">
        <v>50</v>
      </c>
      <c r="B696" t="s">
        <v>5</v>
      </c>
      <c r="C696" t="s">
        <v>183</v>
      </c>
      <c r="D696">
        <v>1</v>
      </c>
    </row>
    <row r="697" spans="1:4" hidden="1" x14ac:dyDescent="0.35">
      <c r="A697" t="s">
        <v>50</v>
      </c>
      <c r="B697" t="s">
        <v>5</v>
      </c>
      <c r="C697" t="s">
        <v>183</v>
      </c>
      <c r="D697">
        <v>1</v>
      </c>
    </row>
    <row r="698" spans="1:4" hidden="1" x14ac:dyDescent="0.35">
      <c r="A698" t="s">
        <v>50</v>
      </c>
      <c r="B698" t="s">
        <v>5</v>
      </c>
      <c r="C698" t="s">
        <v>183</v>
      </c>
      <c r="D698">
        <v>1</v>
      </c>
    </row>
    <row r="699" spans="1:4" hidden="1" x14ac:dyDescent="0.35">
      <c r="A699" t="s">
        <v>50</v>
      </c>
      <c r="B699" t="s">
        <v>5</v>
      </c>
      <c r="C699" t="s">
        <v>183</v>
      </c>
      <c r="D699">
        <v>1</v>
      </c>
    </row>
    <row r="700" spans="1:4" hidden="1" x14ac:dyDescent="0.35">
      <c r="A700" t="s">
        <v>57</v>
      </c>
      <c r="B700" t="s">
        <v>5</v>
      </c>
      <c r="C700" t="s">
        <v>183</v>
      </c>
      <c r="D700">
        <v>1</v>
      </c>
    </row>
    <row r="701" spans="1:4" hidden="1" x14ac:dyDescent="0.35">
      <c r="A701" t="s">
        <v>101</v>
      </c>
      <c r="B701" t="s">
        <v>5</v>
      </c>
      <c r="C701" t="s">
        <v>183</v>
      </c>
      <c r="D701">
        <v>1</v>
      </c>
    </row>
    <row r="702" spans="1:4" hidden="1" x14ac:dyDescent="0.35">
      <c r="A702" t="s">
        <v>116</v>
      </c>
      <c r="B702" t="s">
        <v>5</v>
      </c>
      <c r="C702" t="s">
        <v>183</v>
      </c>
      <c r="D702">
        <v>1</v>
      </c>
    </row>
    <row r="703" spans="1:4" hidden="1" x14ac:dyDescent="0.35">
      <c r="A703" t="s">
        <v>122</v>
      </c>
      <c r="B703" t="s">
        <v>5</v>
      </c>
      <c r="C703" t="s">
        <v>183</v>
      </c>
      <c r="D703">
        <v>1</v>
      </c>
    </row>
    <row r="704" spans="1:4" hidden="1" x14ac:dyDescent="0.35">
      <c r="A704" t="s">
        <v>128</v>
      </c>
      <c r="B704" t="s">
        <v>5</v>
      </c>
      <c r="C704" t="s">
        <v>183</v>
      </c>
      <c r="D704">
        <v>1</v>
      </c>
    </row>
    <row r="705" spans="1:4" hidden="1" x14ac:dyDescent="0.35">
      <c r="A705" t="s">
        <v>128</v>
      </c>
      <c r="B705" t="s">
        <v>5</v>
      </c>
      <c r="C705" t="s">
        <v>183</v>
      </c>
      <c r="D705">
        <v>1</v>
      </c>
    </row>
    <row r="706" spans="1:4" hidden="1" x14ac:dyDescent="0.35">
      <c r="A706" t="s">
        <v>128</v>
      </c>
      <c r="B706" t="s">
        <v>5</v>
      </c>
      <c r="C706" t="s">
        <v>183</v>
      </c>
      <c r="D706">
        <v>1</v>
      </c>
    </row>
    <row r="707" spans="1:4" hidden="1" x14ac:dyDescent="0.35">
      <c r="A707" t="s">
        <v>128</v>
      </c>
      <c r="B707" t="s">
        <v>5</v>
      </c>
      <c r="C707" t="s">
        <v>183</v>
      </c>
      <c r="D707">
        <v>1</v>
      </c>
    </row>
    <row r="708" spans="1:4" hidden="1" x14ac:dyDescent="0.35">
      <c r="A708" t="s">
        <v>128</v>
      </c>
      <c r="B708" t="s">
        <v>5</v>
      </c>
      <c r="C708" t="s">
        <v>183</v>
      </c>
      <c r="D708">
        <v>1</v>
      </c>
    </row>
    <row r="709" spans="1:4" hidden="1" x14ac:dyDescent="0.35">
      <c r="A709" t="s">
        <v>50</v>
      </c>
      <c r="B709" t="s">
        <v>5</v>
      </c>
      <c r="C709" t="s">
        <v>183</v>
      </c>
      <c r="D709">
        <v>1</v>
      </c>
    </row>
    <row r="710" spans="1:4" hidden="1" x14ac:dyDescent="0.35">
      <c r="A710" t="s">
        <v>54</v>
      </c>
      <c r="B710" t="s">
        <v>5</v>
      </c>
      <c r="C710" t="s">
        <v>183</v>
      </c>
      <c r="D710">
        <v>1</v>
      </c>
    </row>
    <row r="711" spans="1:4" hidden="1" x14ac:dyDescent="0.35">
      <c r="A711" t="s">
        <v>74</v>
      </c>
      <c r="B711" t="s">
        <v>5</v>
      </c>
      <c r="C711" t="s">
        <v>183</v>
      </c>
      <c r="D711">
        <v>1</v>
      </c>
    </row>
    <row r="712" spans="1:4" hidden="1" x14ac:dyDescent="0.35">
      <c r="A712" t="s">
        <v>97</v>
      </c>
      <c r="B712" t="s">
        <v>5</v>
      </c>
      <c r="C712" t="s">
        <v>183</v>
      </c>
      <c r="D712">
        <v>1</v>
      </c>
    </row>
    <row r="713" spans="1:4" hidden="1" x14ac:dyDescent="0.35">
      <c r="A713" t="s">
        <v>99</v>
      </c>
      <c r="B713" t="s">
        <v>5</v>
      </c>
      <c r="C713" t="s">
        <v>183</v>
      </c>
      <c r="D713">
        <v>1</v>
      </c>
    </row>
    <row r="714" spans="1:4" hidden="1" x14ac:dyDescent="0.35">
      <c r="A714" t="s">
        <v>101</v>
      </c>
      <c r="B714" t="s">
        <v>5</v>
      </c>
      <c r="C714" t="s">
        <v>183</v>
      </c>
      <c r="D714">
        <v>1</v>
      </c>
    </row>
    <row r="715" spans="1:4" hidden="1" x14ac:dyDescent="0.35">
      <c r="A715" t="s">
        <v>105</v>
      </c>
      <c r="B715" t="s">
        <v>5</v>
      </c>
      <c r="C715" t="s">
        <v>183</v>
      </c>
      <c r="D715">
        <v>1</v>
      </c>
    </row>
    <row r="716" spans="1:4" hidden="1" x14ac:dyDescent="0.35">
      <c r="A716" t="s">
        <v>106</v>
      </c>
      <c r="B716" t="s">
        <v>5</v>
      </c>
      <c r="C716" t="s">
        <v>183</v>
      </c>
      <c r="D716">
        <v>1</v>
      </c>
    </row>
    <row r="717" spans="1:4" hidden="1" x14ac:dyDescent="0.35">
      <c r="A717" t="s">
        <v>128</v>
      </c>
      <c r="B717" t="s">
        <v>5</v>
      </c>
      <c r="C717" t="s">
        <v>183</v>
      </c>
      <c r="D717">
        <v>1</v>
      </c>
    </row>
    <row r="718" spans="1:4" hidden="1" x14ac:dyDescent="0.35">
      <c r="A718" t="s">
        <v>128</v>
      </c>
      <c r="B718" t="s">
        <v>5</v>
      </c>
      <c r="C718" t="s">
        <v>183</v>
      </c>
      <c r="D718">
        <v>1</v>
      </c>
    </row>
    <row r="719" spans="1:4" hidden="1" x14ac:dyDescent="0.35">
      <c r="A719" t="s">
        <v>50</v>
      </c>
      <c r="B719" t="s">
        <v>5</v>
      </c>
      <c r="C719" t="s">
        <v>183</v>
      </c>
      <c r="D719">
        <v>1</v>
      </c>
    </row>
    <row r="720" spans="1:4" hidden="1" x14ac:dyDescent="0.35">
      <c r="A720" t="s">
        <v>87</v>
      </c>
      <c r="B720" t="s">
        <v>5</v>
      </c>
      <c r="C720" t="s">
        <v>183</v>
      </c>
      <c r="D720">
        <v>1</v>
      </c>
    </row>
    <row r="721" spans="1:4" hidden="1" x14ac:dyDescent="0.35">
      <c r="A721" t="s">
        <v>104</v>
      </c>
      <c r="B721" t="s">
        <v>5</v>
      </c>
      <c r="C721" t="s">
        <v>183</v>
      </c>
      <c r="D721">
        <v>1</v>
      </c>
    </row>
    <row r="722" spans="1:4" hidden="1" x14ac:dyDescent="0.35">
      <c r="A722" t="s">
        <v>106</v>
      </c>
      <c r="B722" t="s">
        <v>5</v>
      </c>
      <c r="C722" t="s">
        <v>183</v>
      </c>
      <c r="D722">
        <v>1</v>
      </c>
    </row>
    <row r="723" spans="1:4" hidden="1" x14ac:dyDescent="0.35">
      <c r="A723" t="s">
        <v>128</v>
      </c>
      <c r="B723" t="s">
        <v>5</v>
      </c>
      <c r="C723" t="s">
        <v>183</v>
      </c>
      <c r="D723">
        <v>1</v>
      </c>
    </row>
    <row r="724" spans="1:4" hidden="1" x14ac:dyDescent="0.35">
      <c r="A724" t="s">
        <v>128</v>
      </c>
      <c r="B724" t="s">
        <v>5</v>
      </c>
      <c r="C724" t="s">
        <v>183</v>
      </c>
      <c r="D724">
        <v>1</v>
      </c>
    </row>
    <row r="725" spans="1:4" hidden="1" x14ac:dyDescent="0.35">
      <c r="A725" t="s">
        <v>129</v>
      </c>
      <c r="B725" t="s">
        <v>5</v>
      </c>
      <c r="C725" t="s">
        <v>183</v>
      </c>
      <c r="D725">
        <v>1</v>
      </c>
    </row>
    <row r="726" spans="1:4" hidden="1" x14ac:dyDescent="0.35">
      <c r="A726" t="s">
        <v>50</v>
      </c>
      <c r="B726" t="s">
        <v>5</v>
      </c>
      <c r="C726" t="s">
        <v>183</v>
      </c>
      <c r="D726">
        <v>1</v>
      </c>
    </row>
    <row r="727" spans="1:4" hidden="1" x14ac:dyDescent="0.35">
      <c r="A727" t="s">
        <v>50</v>
      </c>
      <c r="B727" t="s">
        <v>5</v>
      </c>
      <c r="C727" t="s">
        <v>183</v>
      </c>
      <c r="D727">
        <v>1</v>
      </c>
    </row>
    <row r="728" spans="1:4" hidden="1" x14ac:dyDescent="0.35">
      <c r="A728" t="s">
        <v>50</v>
      </c>
      <c r="B728" t="s">
        <v>5</v>
      </c>
      <c r="C728" t="s">
        <v>183</v>
      </c>
      <c r="D728">
        <v>1</v>
      </c>
    </row>
    <row r="729" spans="1:4" hidden="1" x14ac:dyDescent="0.35">
      <c r="A729" t="s">
        <v>67</v>
      </c>
      <c r="B729" t="s">
        <v>5</v>
      </c>
      <c r="C729" t="s">
        <v>183</v>
      </c>
      <c r="D729">
        <v>1</v>
      </c>
    </row>
    <row r="730" spans="1:4" hidden="1" x14ac:dyDescent="0.35">
      <c r="A730" t="s">
        <v>101</v>
      </c>
      <c r="B730" t="s">
        <v>5</v>
      </c>
      <c r="C730" t="s">
        <v>183</v>
      </c>
      <c r="D730">
        <v>1</v>
      </c>
    </row>
    <row r="731" spans="1:4" hidden="1" x14ac:dyDescent="0.35">
      <c r="A731" t="s">
        <v>103</v>
      </c>
      <c r="B731" t="s">
        <v>5</v>
      </c>
      <c r="C731" t="s">
        <v>183</v>
      </c>
      <c r="D731">
        <v>1</v>
      </c>
    </row>
    <row r="732" spans="1:4" hidden="1" x14ac:dyDescent="0.35">
      <c r="A732" t="s">
        <v>105</v>
      </c>
      <c r="B732" t="s">
        <v>5</v>
      </c>
      <c r="C732" t="s">
        <v>183</v>
      </c>
      <c r="D732">
        <v>1</v>
      </c>
    </row>
    <row r="733" spans="1:4" hidden="1" x14ac:dyDescent="0.35">
      <c r="A733" t="s">
        <v>106</v>
      </c>
      <c r="B733" t="s">
        <v>5</v>
      </c>
      <c r="C733" t="s">
        <v>183</v>
      </c>
      <c r="D733">
        <v>1</v>
      </c>
    </row>
    <row r="734" spans="1:4" hidden="1" x14ac:dyDescent="0.35">
      <c r="A734" t="s">
        <v>108</v>
      </c>
      <c r="B734" t="s">
        <v>5</v>
      </c>
      <c r="C734" t="s">
        <v>183</v>
      </c>
      <c r="D734">
        <v>1</v>
      </c>
    </row>
    <row r="735" spans="1:4" hidden="1" x14ac:dyDescent="0.35">
      <c r="A735" t="s">
        <v>124</v>
      </c>
      <c r="B735" t="s">
        <v>5</v>
      </c>
      <c r="C735" t="s">
        <v>183</v>
      </c>
      <c r="D735">
        <v>1</v>
      </c>
    </row>
    <row r="736" spans="1:4" hidden="1" x14ac:dyDescent="0.35">
      <c r="A736" t="s">
        <v>128</v>
      </c>
      <c r="B736" t="s">
        <v>5</v>
      </c>
      <c r="C736" t="s">
        <v>183</v>
      </c>
      <c r="D736">
        <v>1</v>
      </c>
    </row>
    <row r="737" spans="1:4" hidden="1" x14ac:dyDescent="0.35">
      <c r="A737" t="s">
        <v>128</v>
      </c>
      <c r="B737" t="s">
        <v>5</v>
      </c>
      <c r="C737" t="s">
        <v>183</v>
      </c>
      <c r="D737">
        <v>1</v>
      </c>
    </row>
    <row r="738" spans="1:4" hidden="1" x14ac:dyDescent="0.35">
      <c r="A738" t="s">
        <v>128</v>
      </c>
      <c r="B738" t="s">
        <v>5</v>
      </c>
      <c r="C738" t="s">
        <v>183</v>
      </c>
      <c r="D738">
        <v>1</v>
      </c>
    </row>
    <row r="739" spans="1:4" hidden="1" x14ac:dyDescent="0.35">
      <c r="A739" t="s">
        <v>50</v>
      </c>
      <c r="B739" t="s">
        <v>5</v>
      </c>
      <c r="C739" t="s">
        <v>183</v>
      </c>
      <c r="D739">
        <v>1</v>
      </c>
    </row>
    <row r="740" spans="1:4" hidden="1" x14ac:dyDescent="0.35">
      <c r="A740" t="s">
        <v>50</v>
      </c>
      <c r="B740" t="s">
        <v>5</v>
      </c>
      <c r="C740" t="s">
        <v>183</v>
      </c>
      <c r="D740">
        <v>1</v>
      </c>
    </row>
    <row r="741" spans="1:4" hidden="1" x14ac:dyDescent="0.35">
      <c r="A741" t="s">
        <v>101</v>
      </c>
      <c r="B741" t="s">
        <v>5</v>
      </c>
      <c r="C741" t="s">
        <v>183</v>
      </c>
      <c r="D741">
        <v>1</v>
      </c>
    </row>
    <row r="742" spans="1:4" hidden="1" x14ac:dyDescent="0.35">
      <c r="A742" t="s">
        <v>101</v>
      </c>
      <c r="B742" t="s">
        <v>5</v>
      </c>
      <c r="C742" t="s">
        <v>183</v>
      </c>
      <c r="D742">
        <v>1</v>
      </c>
    </row>
    <row r="743" spans="1:4" hidden="1" x14ac:dyDescent="0.35">
      <c r="A743" t="s">
        <v>124</v>
      </c>
      <c r="B743" t="s">
        <v>5</v>
      </c>
      <c r="C743" t="s">
        <v>183</v>
      </c>
      <c r="D743">
        <v>1</v>
      </c>
    </row>
    <row r="744" spans="1:4" hidden="1" x14ac:dyDescent="0.35">
      <c r="A744" t="s">
        <v>128</v>
      </c>
      <c r="B744" t="s">
        <v>5</v>
      </c>
      <c r="C744" t="s">
        <v>183</v>
      </c>
      <c r="D744">
        <v>1</v>
      </c>
    </row>
    <row r="745" spans="1:4" hidden="1" x14ac:dyDescent="0.35">
      <c r="A745" t="s">
        <v>128</v>
      </c>
      <c r="B745" t="s">
        <v>5</v>
      </c>
      <c r="C745" t="s">
        <v>183</v>
      </c>
      <c r="D745">
        <v>1</v>
      </c>
    </row>
    <row r="746" spans="1:4" hidden="1" x14ac:dyDescent="0.35">
      <c r="A746" t="s">
        <v>128</v>
      </c>
      <c r="B746" t="s">
        <v>5</v>
      </c>
      <c r="C746" t="s">
        <v>183</v>
      </c>
      <c r="D746">
        <v>1</v>
      </c>
    </row>
    <row r="747" spans="1:4" hidden="1" x14ac:dyDescent="0.35">
      <c r="A747" t="s">
        <v>54</v>
      </c>
      <c r="B747" t="s">
        <v>5</v>
      </c>
      <c r="C747" t="s">
        <v>183</v>
      </c>
      <c r="D747">
        <v>1</v>
      </c>
    </row>
    <row r="748" spans="1:4" hidden="1" x14ac:dyDescent="0.35">
      <c r="A748" t="s">
        <v>67</v>
      </c>
      <c r="B748" t="s">
        <v>5</v>
      </c>
      <c r="C748" t="s">
        <v>183</v>
      </c>
      <c r="D748">
        <v>1</v>
      </c>
    </row>
    <row r="749" spans="1:4" hidden="1" x14ac:dyDescent="0.35">
      <c r="A749" t="s">
        <v>87</v>
      </c>
      <c r="B749" t="s">
        <v>5</v>
      </c>
      <c r="C749" t="s">
        <v>183</v>
      </c>
      <c r="D749">
        <v>1</v>
      </c>
    </row>
    <row r="750" spans="1:4" hidden="1" x14ac:dyDescent="0.35">
      <c r="A750" t="s">
        <v>97</v>
      </c>
      <c r="B750" t="s">
        <v>5</v>
      </c>
      <c r="C750" t="s">
        <v>183</v>
      </c>
      <c r="D750">
        <v>1</v>
      </c>
    </row>
    <row r="751" spans="1:4" hidden="1" x14ac:dyDescent="0.35">
      <c r="A751" t="s">
        <v>101</v>
      </c>
      <c r="B751" t="s">
        <v>5</v>
      </c>
      <c r="C751" t="s">
        <v>183</v>
      </c>
      <c r="D751">
        <v>1</v>
      </c>
    </row>
    <row r="752" spans="1:4" hidden="1" x14ac:dyDescent="0.35">
      <c r="A752" t="s">
        <v>103</v>
      </c>
      <c r="B752" t="s">
        <v>5</v>
      </c>
      <c r="C752" t="s">
        <v>183</v>
      </c>
      <c r="D752">
        <v>1</v>
      </c>
    </row>
    <row r="753" spans="1:4" hidden="1" x14ac:dyDescent="0.35">
      <c r="A753" t="s">
        <v>104</v>
      </c>
      <c r="B753" t="s">
        <v>5</v>
      </c>
      <c r="C753" t="s">
        <v>183</v>
      </c>
      <c r="D753">
        <v>1</v>
      </c>
    </row>
    <row r="754" spans="1:4" hidden="1" x14ac:dyDescent="0.35">
      <c r="A754" t="s">
        <v>105</v>
      </c>
      <c r="B754" t="s">
        <v>5</v>
      </c>
      <c r="C754" t="s">
        <v>183</v>
      </c>
      <c r="D754">
        <v>1</v>
      </c>
    </row>
    <row r="755" spans="1:4" hidden="1" x14ac:dyDescent="0.35">
      <c r="A755" t="s">
        <v>106</v>
      </c>
      <c r="B755" t="s">
        <v>5</v>
      </c>
      <c r="C755" t="s">
        <v>183</v>
      </c>
      <c r="D755">
        <v>1</v>
      </c>
    </row>
    <row r="756" spans="1:4" hidden="1" x14ac:dyDescent="0.35">
      <c r="A756" t="s">
        <v>128</v>
      </c>
      <c r="B756" t="s">
        <v>5</v>
      </c>
      <c r="C756" t="s">
        <v>183</v>
      </c>
      <c r="D756">
        <v>1</v>
      </c>
    </row>
    <row r="757" spans="1:4" hidden="1" x14ac:dyDescent="0.35">
      <c r="A757" t="s">
        <v>128</v>
      </c>
      <c r="B757" t="s">
        <v>5</v>
      </c>
      <c r="C757" t="s">
        <v>183</v>
      </c>
      <c r="D757">
        <v>1</v>
      </c>
    </row>
    <row r="758" spans="1:4" hidden="1" x14ac:dyDescent="0.35">
      <c r="A758" t="s">
        <v>128</v>
      </c>
      <c r="B758" t="s">
        <v>5</v>
      </c>
      <c r="C758" t="s">
        <v>183</v>
      </c>
      <c r="D758">
        <v>1</v>
      </c>
    </row>
    <row r="759" spans="1:4" hidden="1" x14ac:dyDescent="0.35">
      <c r="A759" t="s">
        <v>50</v>
      </c>
      <c r="B759" t="s">
        <v>5</v>
      </c>
      <c r="C759" t="s">
        <v>183</v>
      </c>
      <c r="D759">
        <v>1</v>
      </c>
    </row>
    <row r="760" spans="1:4" hidden="1" x14ac:dyDescent="0.35">
      <c r="A760" t="s">
        <v>51</v>
      </c>
      <c r="B760" t="s">
        <v>5</v>
      </c>
      <c r="C760" t="s">
        <v>183</v>
      </c>
      <c r="D760">
        <v>1</v>
      </c>
    </row>
    <row r="761" spans="1:4" hidden="1" x14ac:dyDescent="0.35">
      <c r="A761" t="s">
        <v>54</v>
      </c>
      <c r="B761" t="s">
        <v>5</v>
      </c>
      <c r="C761" t="s">
        <v>183</v>
      </c>
      <c r="D761">
        <v>1</v>
      </c>
    </row>
    <row r="762" spans="1:4" hidden="1" x14ac:dyDescent="0.35">
      <c r="A762" t="s">
        <v>142</v>
      </c>
      <c r="B762" t="s">
        <v>5</v>
      </c>
      <c r="C762" t="s">
        <v>183</v>
      </c>
      <c r="D762">
        <v>1</v>
      </c>
    </row>
    <row r="763" spans="1:4" hidden="1" x14ac:dyDescent="0.35">
      <c r="A763" t="s">
        <v>142</v>
      </c>
      <c r="B763" t="s">
        <v>5</v>
      </c>
      <c r="C763" t="s">
        <v>183</v>
      </c>
      <c r="D763">
        <v>1</v>
      </c>
    </row>
    <row r="764" spans="1:4" hidden="1" x14ac:dyDescent="0.35">
      <c r="A764" t="s">
        <v>85</v>
      </c>
      <c r="B764" t="s">
        <v>5</v>
      </c>
      <c r="C764" t="s">
        <v>183</v>
      </c>
      <c r="D764">
        <v>1</v>
      </c>
    </row>
    <row r="765" spans="1:4" hidden="1" x14ac:dyDescent="0.35">
      <c r="A765" t="s">
        <v>87</v>
      </c>
      <c r="B765" t="s">
        <v>5</v>
      </c>
      <c r="C765" t="s">
        <v>183</v>
      </c>
      <c r="D765">
        <v>1</v>
      </c>
    </row>
    <row r="766" spans="1:4" hidden="1" x14ac:dyDescent="0.35">
      <c r="A766" t="s">
        <v>101</v>
      </c>
      <c r="B766" t="s">
        <v>5</v>
      </c>
      <c r="C766" t="s">
        <v>183</v>
      </c>
      <c r="D766">
        <v>1</v>
      </c>
    </row>
    <row r="767" spans="1:4" hidden="1" x14ac:dyDescent="0.35">
      <c r="A767" t="s">
        <v>103</v>
      </c>
      <c r="B767" t="s">
        <v>5</v>
      </c>
      <c r="C767" t="s">
        <v>183</v>
      </c>
      <c r="D767">
        <v>1</v>
      </c>
    </row>
    <row r="768" spans="1:4" hidden="1" x14ac:dyDescent="0.35">
      <c r="A768" t="s">
        <v>105</v>
      </c>
      <c r="B768" t="s">
        <v>5</v>
      </c>
      <c r="C768" t="s">
        <v>183</v>
      </c>
      <c r="D768">
        <v>1</v>
      </c>
    </row>
    <row r="769" spans="1:4" hidden="1" x14ac:dyDescent="0.35">
      <c r="A769" t="s">
        <v>106</v>
      </c>
      <c r="B769" t="s">
        <v>5</v>
      </c>
      <c r="C769" t="s">
        <v>183</v>
      </c>
      <c r="D769">
        <v>1</v>
      </c>
    </row>
    <row r="770" spans="1:4" hidden="1" x14ac:dyDescent="0.35">
      <c r="A770" t="s">
        <v>106</v>
      </c>
      <c r="B770" t="s">
        <v>5</v>
      </c>
      <c r="C770" t="s">
        <v>183</v>
      </c>
      <c r="D770">
        <v>1</v>
      </c>
    </row>
    <row r="771" spans="1:4" hidden="1" x14ac:dyDescent="0.35">
      <c r="A771" t="s">
        <v>110</v>
      </c>
      <c r="B771" t="s">
        <v>5</v>
      </c>
      <c r="C771" t="s">
        <v>183</v>
      </c>
      <c r="D771">
        <v>1</v>
      </c>
    </row>
    <row r="772" spans="1:4" hidden="1" x14ac:dyDescent="0.35">
      <c r="A772" t="s">
        <v>115</v>
      </c>
      <c r="B772" t="s">
        <v>5</v>
      </c>
      <c r="C772" t="s">
        <v>183</v>
      </c>
      <c r="D772">
        <v>1</v>
      </c>
    </row>
    <row r="773" spans="1:4" hidden="1" x14ac:dyDescent="0.35">
      <c r="A773" t="s">
        <v>125</v>
      </c>
      <c r="B773" t="s">
        <v>5</v>
      </c>
      <c r="C773" t="s">
        <v>183</v>
      </c>
      <c r="D773">
        <v>1</v>
      </c>
    </row>
    <row r="774" spans="1:4" hidden="1" x14ac:dyDescent="0.35">
      <c r="A774" t="s">
        <v>128</v>
      </c>
      <c r="B774" t="s">
        <v>5</v>
      </c>
      <c r="C774" t="s">
        <v>183</v>
      </c>
      <c r="D774">
        <v>1</v>
      </c>
    </row>
    <row r="775" spans="1:4" hidden="1" x14ac:dyDescent="0.35">
      <c r="A775" t="s">
        <v>128</v>
      </c>
      <c r="B775" t="s">
        <v>5</v>
      </c>
      <c r="C775" t="s">
        <v>183</v>
      </c>
      <c r="D775">
        <v>1</v>
      </c>
    </row>
    <row r="776" spans="1:4" hidden="1" x14ac:dyDescent="0.35">
      <c r="A776" t="s">
        <v>67</v>
      </c>
      <c r="B776" t="s">
        <v>5</v>
      </c>
      <c r="C776" t="s">
        <v>183</v>
      </c>
      <c r="D776">
        <v>1</v>
      </c>
    </row>
    <row r="777" spans="1:4" hidden="1" x14ac:dyDescent="0.35">
      <c r="A777" t="s">
        <v>85</v>
      </c>
      <c r="B777" t="s">
        <v>5</v>
      </c>
      <c r="C777" t="s">
        <v>183</v>
      </c>
      <c r="D777">
        <v>1</v>
      </c>
    </row>
    <row r="778" spans="1:4" hidden="1" x14ac:dyDescent="0.35">
      <c r="A778" t="s">
        <v>97</v>
      </c>
      <c r="B778" t="s">
        <v>5</v>
      </c>
      <c r="C778" t="s">
        <v>183</v>
      </c>
      <c r="D778">
        <v>1</v>
      </c>
    </row>
    <row r="779" spans="1:4" hidden="1" x14ac:dyDescent="0.35">
      <c r="A779" t="s">
        <v>101</v>
      </c>
      <c r="B779" t="s">
        <v>5</v>
      </c>
      <c r="C779" t="s">
        <v>183</v>
      </c>
      <c r="D779">
        <v>1</v>
      </c>
    </row>
    <row r="780" spans="1:4" hidden="1" x14ac:dyDescent="0.35">
      <c r="A780" t="s">
        <v>105</v>
      </c>
      <c r="B780" t="s">
        <v>5</v>
      </c>
      <c r="C780" t="s">
        <v>183</v>
      </c>
      <c r="D780">
        <v>1</v>
      </c>
    </row>
    <row r="781" spans="1:4" hidden="1" x14ac:dyDescent="0.35">
      <c r="A781" t="s">
        <v>109</v>
      </c>
      <c r="B781" t="s">
        <v>5</v>
      </c>
      <c r="C781" t="s">
        <v>183</v>
      </c>
      <c r="D781">
        <v>1</v>
      </c>
    </row>
    <row r="782" spans="1:4" hidden="1" x14ac:dyDescent="0.35">
      <c r="A782" t="s">
        <v>116</v>
      </c>
      <c r="B782" t="s">
        <v>5</v>
      </c>
      <c r="C782" t="s">
        <v>183</v>
      </c>
      <c r="D782">
        <v>1</v>
      </c>
    </row>
    <row r="783" spans="1:4" hidden="1" x14ac:dyDescent="0.35">
      <c r="A783" t="s">
        <v>128</v>
      </c>
      <c r="B783" t="s">
        <v>5</v>
      </c>
      <c r="C783" t="s">
        <v>183</v>
      </c>
      <c r="D783">
        <v>1</v>
      </c>
    </row>
    <row r="784" spans="1:4" hidden="1" x14ac:dyDescent="0.35">
      <c r="A784" t="s">
        <v>8</v>
      </c>
      <c r="B784" t="s">
        <v>8</v>
      </c>
      <c r="C784" t="s">
        <v>183</v>
      </c>
      <c r="D784">
        <v>1</v>
      </c>
    </row>
    <row r="785" spans="1:4" hidden="1" x14ac:dyDescent="0.35">
      <c r="A785" t="s">
        <v>8</v>
      </c>
      <c r="B785" t="s">
        <v>8</v>
      </c>
      <c r="C785" t="s">
        <v>183</v>
      </c>
      <c r="D785">
        <v>1</v>
      </c>
    </row>
    <row r="786" spans="1:4" hidden="1" x14ac:dyDescent="0.35">
      <c r="A786" t="s">
        <v>8</v>
      </c>
      <c r="B786" t="s">
        <v>8</v>
      </c>
      <c r="C786" t="s">
        <v>183</v>
      </c>
      <c r="D786">
        <v>1</v>
      </c>
    </row>
    <row r="787" spans="1:4" hidden="1" x14ac:dyDescent="0.35">
      <c r="A787" t="s">
        <v>8</v>
      </c>
      <c r="B787" t="s">
        <v>8</v>
      </c>
      <c r="C787" t="s">
        <v>183</v>
      </c>
      <c r="D787">
        <v>1</v>
      </c>
    </row>
    <row r="788" spans="1:4" hidden="1" x14ac:dyDescent="0.35">
      <c r="A788" t="s">
        <v>8</v>
      </c>
      <c r="B788" t="s">
        <v>8</v>
      </c>
      <c r="C788" t="s">
        <v>183</v>
      </c>
      <c r="D788">
        <v>1</v>
      </c>
    </row>
    <row r="789" spans="1:4" hidden="1" x14ac:dyDescent="0.35">
      <c r="A789" t="s">
        <v>8</v>
      </c>
      <c r="B789" t="s">
        <v>8</v>
      </c>
      <c r="C789" t="s">
        <v>183</v>
      </c>
      <c r="D789">
        <v>1</v>
      </c>
    </row>
    <row r="790" spans="1:4" hidden="1" x14ac:dyDescent="0.35">
      <c r="A790" t="s">
        <v>8</v>
      </c>
      <c r="B790" t="s">
        <v>8</v>
      </c>
      <c r="C790" t="s">
        <v>183</v>
      </c>
      <c r="D790">
        <v>1</v>
      </c>
    </row>
    <row r="791" spans="1:4" hidden="1" x14ac:dyDescent="0.35">
      <c r="A791" t="s">
        <v>8</v>
      </c>
      <c r="B791" t="s">
        <v>8</v>
      </c>
      <c r="C791" t="s">
        <v>183</v>
      </c>
      <c r="D791">
        <v>1</v>
      </c>
    </row>
    <row r="792" spans="1:4" hidden="1" x14ac:dyDescent="0.35">
      <c r="A792" t="s">
        <v>8</v>
      </c>
      <c r="B792" t="s">
        <v>8</v>
      </c>
      <c r="C792" t="s">
        <v>183</v>
      </c>
      <c r="D792">
        <v>1</v>
      </c>
    </row>
    <row r="793" spans="1:4" hidden="1" x14ac:dyDescent="0.35">
      <c r="A793">
        <v>0</v>
      </c>
      <c r="B793" t="e">
        <v>#N/A</v>
      </c>
      <c r="C793" t="s">
        <v>183</v>
      </c>
      <c r="D793">
        <v>1</v>
      </c>
    </row>
    <row r="794" spans="1:4" hidden="1" x14ac:dyDescent="0.35">
      <c r="A794">
        <v>0</v>
      </c>
      <c r="B794" t="e">
        <v>#N/A</v>
      </c>
      <c r="C794" t="s">
        <v>183</v>
      </c>
      <c r="D794">
        <v>1</v>
      </c>
    </row>
    <row r="795" spans="1:4" hidden="1" x14ac:dyDescent="0.35">
      <c r="A795">
        <v>0</v>
      </c>
      <c r="B795" t="e">
        <v>#N/A</v>
      </c>
      <c r="C795" t="s">
        <v>183</v>
      </c>
      <c r="D795">
        <v>1</v>
      </c>
    </row>
    <row r="796" spans="1:4" hidden="1" x14ac:dyDescent="0.35">
      <c r="A796">
        <v>0</v>
      </c>
      <c r="B796" t="e">
        <v>#N/A</v>
      </c>
      <c r="C796" t="s">
        <v>183</v>
      </c>
      <c r="D796">
        <v>1</v>
      </c>
    </row>
    <row r="797" spans="1:4" hidden="1" x14ac:dyDescent="0.35">
      <c r="A797">
        <v>0</v>
      </c>
      <c r="B797" t="e">
        <v>#N/A</v>
      </c>
      <c r="C797" t="s">
        <v>183</v>
      </c>
      <c r="D797">
        <v>1</v>
      </c>
    </row>
    <row r="798" spans="1:4" hidden="1" x14ac:dyDescent="0.35">
      <c r="A798">
        <v>0</v>
      </c>
      <c r="B798" t="e">
        <v>#N/A</v>
      </c>
      <c r="C798" t="s">
        <v>183</v>
      </c>
      <c r="D798">
        <v>1</v>
      </c>
    </row>
    <row r="799" spans="1:4" hidden="1" x14ac:dyDescent="0.35">
      <c r="A799">
        <v>0</v>
      </c>
      <c r="B799" t="e">
        <v>#N/A</v>
      </c>
      <c r="C799" t="s">
        <v>183</v>
      </c>
      <c r="D799">
        <v>1</v>
      </c>
    </row>
    <row r="800" spans="1:4" hidden="1" x14ac:dyDescent="0.35">
      <c r="A800">
        <v>0</v>
      </c>
      <c r="B800" t="e">
        <v>#N/A</v>
      </c>
      <c r="C800" t="s">
        <v>183</v>
      </c>
      <c r="D800">
        <v>1</v>
      </c>
    </row>
    <row r="801" spans="1:4" hidden="1" x14ac:dyDescent="0.35">
      <c r="A801">
        <v>0</v>
      </c>
      <c r="B801" t="e">
        <v>#N/A</v>
      </c>
      <c r="C801" t="s">
        <v>183</v>
      </c>
      <c r="D801">
        <v>1</v>
      </c>
    </row>
    <row r="802" spans="1:4" hidden="1" x14ac:dyDescent="0.35">
      <c r="A802">
        <v>0</v>
      </c>
      <c r="B802" t="e">
        <v>#N/A</v>
      </c>
      <c r="C802" t="s">
        <v>183</v>
      </c>
      <c r="D802">
        <v>1</v>
      </c>
    </row>
    <row r="803" spans="1:4" hidden="1" x14ac:dyDescent="0.35">
      <c r="A803">
        <v>0</v>
      </c>
      <c r="B803" t="e">
        <v>#N/A</v>
      </c>
      <c r="C803" t="s">
        <v>183</v>
      </c>
      <c r="D803">
        <v>1</v>
      </c>
    </row>
    <row r="804" spans="1:4" hidden="1" x14ac:dyDescent="0.35">
      <c r="A804">
        <v>0</v>
      </c>
      <c r="B804" t="e">
        <v>#N/A</v>
      </c>
      <c r="C804" t="s">
        <v>183</v>
      </c>
      <c r="D804">
        <v>1</v>
      </c>
    </row>
    <row r="805" spans="1:4" hidden="1" x14ac:dyDescent="0.35">
      <c r="A805" t="s">
        <v>7</v>
      </c>
      <c r="B805" t="s">
        <v>7</v>
      </c>
      <c r="C805" t="s">
        <v>186</v>
      </c>
      <c r="D805">
        <v>1</v>
      </c>
    </row>
    <row r="806" spans="1:4" hidden="1" x14ac:dyDescent="0.35">
      <c r="A806" t="s">
        <v>7</v>
      </c>
      <c r="B806" t="s">
        <v>7</v>
      </c>
      <c r="C806" t="s">
        <v>186</v>
      </c>
      <c r="D806">
        <v>1</v>
      </c>
    </row>
    <row r="807" spans="1:4" hidden="1" x14ac:dyDescent="0.35">
      <c r="A807" t="s">
        <v>7</v>
      </c>
      <c r="B807" t="s">
        <v>7</v>
      </c>
      <c r="C807" t="s">
        <v>186</v>
      </c>
      <c r="D807">
        <v>1</v>
      </c>
    </row>
    <row r="808" spans="1:4" hidden="1" x14ac:dyDescent="0.35">
      <c r="A808" t="s">
        <v>7</v>
      </c>
      <c r="B808" t="s">
        <v>7</v>
      </c>
      <c r="C808" t="s">
        <v>186</v>
      </c>
      <c r="D808">
        <v>1</v>
      </c>
    </row>
    <row r="809" spans="1:4" hidden="1" x14ac:dyDescent="0.35">
      <c r="A809" t="s">
        <v>7</v>
      </c>
      <c r="B809" t="s">
        <v>7</v>
      </c>
      <c r="C809" t="s">
        <v>186</v>
      </c>
      <c r="D809">
        <v>1</v>
      </c>
    </row>
    <row r="810" spans="1:4" hidden="1" x14ac:dyDescent="0.35">
      <c r="A810" t="s">
        <v>7</v>
      </c>
      <c r="B810" t="s">
        <v>7</v>
      </c>
      <c r="C810" t="s">
        <v>186</v>
      </c>
      <c r="D810">
        <v>1</v>
      </c>
    </row>
    <row r="811" spans="1:4" hidden="1" x14ac:dyDescent="0.35">
      <c r="A811" t="s">
        <v>7</v>
      </c>
      <c r="B811" t="s">
        <v>7</v>
      </c>
      <c r="C811" t="s">
        <v>186</v>
      </c>
      <c r="D811">
        <v>1</v>
      </c>
    </row>
    <row r="812" spans="1:4" hidden="1" x14ac:dyDescent="0.35">
      <c r="A812" t="s">
        <v>7</v>
      </c>
      <c r="B812" t="s">
        <v>7</v>
      </c>
      <c r="C812" t="s">
        <v>186</v>
      </c>
      <c r="D812">
        <v>1</v>
      </c>
    </row>
    <row r="813" spans="1:4" hidden="1" x14ac:dyDescent="0.35">
      <c r="A813" t="s">
        <v>7</v>
      </c>
      <c r="B813" t="s">
        <v>7</v>
      </c>
      <c r="C813" t="s">
        <v>186</v>
      </c>
      <c r="D813">
        <v>1</v>
      </c>
    </row>
    <row r="814" spans="1:4" hidden="1" x14ac:dyDescent="0.35">
      <c r="A814" t="s">
        <v>7</v>
      </c>
      <c r="B814" t="s">
        <v>7</v>
      </c>
      <c r="C814" t="s">
        <v>186</v>
      </c>
      <c r="D814">
        <v>1</v>
      </c>
    </row>
    <row r="815" spans="1:4" hidden="1" x14ac:dyDescent="0.35">
      <c r="A815" t="s">
        <v>7</v>
      </c>
      <c r="B815" t="s">
        <v>7</v>
      </c>
      <c r="C815" t="s">
        <v>186</v>
      </c>
      <c r="D815">
        <v>1</v>
      </c>
    </row>
    <row r="816" spans="1:4" hidden="1" x14ac:dyDescent="0.35">
      <c r="A816" t="s">
        <v>7</v>
      </c>
      <c r="B816" t="s">
        <v>7</v>
      </c>
      <c r="C816" t="s">
        <v>186</v>
      </c>
      <c r="D816">
        <v>1</v>
      </c>
    </row>
    <row r="817" spans="1:4" hidden="1" x14ac:dyDescent="0.35">
      <c r="A817" t="s">
        <v>7</v>
      </c>
      <c r="B817" t="s">
        <v>7</v>
      </c>
      <c r="C817" t="s">
        <v>186</v>
      </c>
      <c r="D817">
        <v>1</v>
      </c>
    </row>
    <row r="818" spans="1:4" hidden="1" x14ac:dyDescent="0.35">
      <c r="A818" t="s">
        <v>7</v>
      </c>
      <c r="B818" t="s">
        <v>7</v>
      </c>
      <c r="C818" t="s">
        <v>186</v>
      </c>
      <c r="D818">
        <v>1</v>
      </c>
    </row>
    <row r="819" spans="1:4" hidden="1" x14ac:dyDescent="0.35">
      <c r="A819" t="s">
        <v>6</v>
      </c>
      <c r="B819" t="s">
        <v>6</v>
      </c>
      <c r="C819" t="s">
        <v>186</v>
      </c>
      <c r="D819">
        <v>1</v>
      </c>
    </row>
    <row r="820" spans="1:4" hidden="1" x14ac:dyDescent="0.35">
      <c r="A820" t="s">
        <v>6</v>
      </c>
      <c r="B820" t="s">
        <v>6</v>
      </c>
      <c r="C820" t="s">
        <v>186</v>
      </c>
      <c r="D820">
        <v>1</v>
      </c>
    </row>
    <row r="821" spans="1:4" hidden="1" x14ac:dyDescent="0.35">
      <c r="A821" t="s">
        <v>6</v>
      </c>
      <c r="B821" t="s">
        <v>6</v>
      </c>
      <c r="C821" t="s">
        <v>186</v>
      </c>
      <c r="D821">
        <v>1</v>
      </c>
    </row>
    <row r="822" spans="1:4" hidden="1" x14ac:dyDescent="0.35">
      <c r="A822" t="s">
        <v>6</v>
      </c>
      <c r="B822" t="s">
        <v>6</v>
      </c>
      <c r="C822" t="s">
        <v>186</v>
      </c>
      <c r="D822">
        <v>1</v>
      </c>
    </row>
    <row r="823" spans="1:4" hidden="1" x14ac:dyDescent="0.35">
      <c r="A823" t="s">
        <v>126</v>
      </c>
      <c r="B823" t="s">
        <v>6</v>
      </c>
      <c r="C823" t="s">
        <v>186</v>
      </c>
      <c r="D823">
        <v>1</v>
      </c>
    </row>
    <row r="824" spans="1:4" hidden="1" x14ac:dyDescent="0.35">
      <c r="A824" t="s">
        <v>126</v>
      </c>
      <c r="B824" t="s">
        <v>6</v>
      </c>
      <c r="C824" t="s">
        <v>186</v>
      </c>
      <c r="D824">
        <v>1</v>
      </c>
    </row>
    <row r="825" spans="1:4" hidden="1" x14ac:dyDescent="0.35">
      <c r="A825" t="s">
        <v>126</v>
      </c>
      <c r="B825" t="s">
        <v>6</v>
      </c>
      <c r="C825" t="s">
        <v>186</v>
      </c>
      <c r="D825">
        <v>1</v>
      </c>
    </row>
    <row r="826" spans="1:4" hidden="1" x14ac:dyDescent="0.35">
      <c r="A826" t="s">
        <v>126</v>
      </c>
      <c r="B826" t="s">
        <v>6</v>
      </c>
      <c r="C826" t="s">
        <v>186</v>
      </c>
      <c r="D826">
        <v>1</v>
      </c>
    </row>
    <row r="827" spans="1:4" hidden="1" x14ac:dyDescent="0.35">
      <c r="A827" t="s">
        <v>126</v>
      </c>
      <c r="B827" t="s">
        <v>6</v>
      </c>
      <c r="C827" t="s">
        <v>186</v>
      </c>
      <c r="D827">
        <v>1</v>
      </c>
    </row>
    <row r="828" spans="1:4" hidden="1" x14ac:dyDescent="0.35">
      <c r="A828" t="s">
        <v>126</v>
      </c>
      <c r="B828" t="s">
        <v>6</v>
      </c>
      <c r="C828" t="s">
        <v>186</v>
      </c>
      <c r="D828">
        <v>1</v>
      </c>
    </row>
    <row r="829" spans="1:4" hidden="1" x14ac:dyDescent="0.35">
      <c r="A829" t="s">
        <v>6</v>
      </c>
      <c r="B829" t="s">
        <v>6</v>
      </c>
      <c r="C829" t="s">
        <v>186</v>
      </c>
      <c r="D829">
        <v>1</v>
      </c>
    </row>
    <row r="830" spans="1:4" hidden="1" x14ac:dyDescent="0.35">
      <c r="A830" t="s">
        <v>6</v>
      </c>
      <c r="B830" t="s">
        <v>6</v>
      </c>
      <c r="C830" t="s">
        <v>186</v>
      </c>
      <c r="D830">
        <v>1</v>
      </c>
    </row>
    <row r="831" spans="1:4" hidden="1" x14ac:dyDescent="0.35">
      <c r="A831" t="s">
        <v>6</v>
      </c>
      <c r="B831" t="s">
        <v>6</v>
      </c>
      <c r="C831" t="s">
        <v>186</v>
      </c>
      <c r="D831">
        <v>1</v>
      </c>
    </row>
    <row r="832" spans="1:4" hidden="1" x14ac:dyDescent="0.35">
      <c r="A832" t="s">
        <v>126</v>
      </c>
      <c r="B832" t="s">
        <v>6</v>
      </c>
      <c r="C832" t="s">
        <v>186</v>
      </c>
      <c r="D832">
        <v>1</v>
      </c>
    </row>
    <row r="833" spans="1:4" hidden="1" x14ac:dyDescent="0.35">
      <c r="A833" t="s">
        <v>126</v>
      </c>
      <c r="B833" t="s">
        <v>6</v>
      </c>
      <c r="C833" t="s">
        <v>186</v>
      </c>
      <c r="D833">
        <v>1</v>
      </c>
    </row>
    <row r="834" spans="1:4" hidden="1" x14ac:dyDescent="0.35">
      <c r="A834" t="s">
        <v>126</v>
      </c>
      <c r="B834" t="s">
        <v>6</v>
      </c>
      <c r="C834" t="s">
        <v>186</v>
      </c>
      <c r="D834">
        <v>1</v>
      </c>
    </row>
    <row r="835" spans="1:4" hidden="1" x14ac:dyDescent="0.35">
      <c r="A835" t="s">
        <v>126</v>
      </c>
      <c r="B835" t="s">
        <v>6</v>
      </c>
      <c r="C835" t="s">
        <v>186</v>
      </c>
      <c r="D835">
        <v>1</v>
      </c>
    </row>
    <row r="836" spans="1:4" hidden="1" x14ac:dyDescent="0.35">
      <c r="A836" t="s">
        <v>126</v>
      </c>
      <c r="B836" t="s">
        <v>6</v>
      </c>
      <c r="C836" t="s">
        <v>186</v>
      </c>
      <c r="D836">
        <v>1</v>
      </c>
    </row>
    <row r="837" spans="1:4" hidden="1" x14ac:dyDescent="0.35">
      <c r="A837" t="s">
        <v>6</v>
      </c>
      <c r="B837" t="s">
        <v>6</v>
      </c>
      <c r="C837" t="s">
        <v>186</v>
      </c>
      <c r="D837">
        <v>1</v>
      </c>
    </row>
    <row r="838" spans="1:4" hidden="1" x14ac:dyDescent="0.35">
      <c r="A838" t="s">
        <v>126</v>
      </c>
      <c r="B838" t="s">
        <v>6</v>
      </c>
      <c r="C838" t="s">
        <v>186</v>
      </c>
      <c r="D838">
        <v>1</v>
      </c>
    </row>
    <row r="839" spans="1:4" hidden="1" x14ac:dyDescent="0.35">
      <c r="A839" t="s">
        <v>126</v>
      </c>
      <c r="B839" t="s">
        <v>6</v>
      </c>
      <c r="C839" t="s">
        <v>186</v>
      </c>
      <c r="D839">
        <v>1</v>
      </c>
    </row>
    <row r="840" spans="1:4" hidden="1" x14ac:dyDescent="0.35">
      <c r="A840" t="s">
        <v>126</v>
      </c>
      <c r="B840" t="s">
        <v>6</v>
      </c>
      <c r="C840" t="s">
        <v>186</v>
      </c>
      <c r="D840">
        <v>1</v>
      </c>
    </row>
    <row r="841" spans="1:4" hidden="1" x14ac:dyDescent="0.35">
      <c r="A841" t="s">
        <v>126</v>
      </c>
      <c r="B841" t="s">
        <v>6</v>
      </c>
      <c r="C841" t="s">
        <v>186</v>
      </c>
      <c r="D841">
        <v>1</v>
      </c>
    </row>
    <row r="842" spans="1:4" hidden="1" x14ac:dyDescent="0.35">
      <c r="A842" t="s">
        <v>6</v>
      </c>
      <c r="B842" t="s">
        <v>6</v>
      </c>
      <c r="C842" t="s">
        <v>186</v>
      </c>
      <c r="D842">
        <v>1</v>
      </c>
    </row>
    <row r="843" spans="1:4" hidden="1" x14ac:dyDescent="0.35">
      <c r="A843" t="s">
        <v>126</v>
      </c>
      <c r="B843" t="s">
        <v>6</v>
      </c>
      <c r="C843" t="s">
        <v>186</v>
      </c>
      <c r="D843">
        <v>1</v>
      </c>
    </row>
    <row r="844" spans="1:4" hidden="1" x14ac:dyDescent="0.35">
      <c r="A844" t="s">
        <v>126</v>
      </c>
      <c r="B844" t="s">
        <v>6</v>
      </c>
      <c r="C844" t="s">
        <v>186</v>
      </c>
      <c r="D844">
        <v>1</v>
      </c>
    </row>
    <row r="845" spans="1:4" hidden="1" x14ac:dyDescent="0.35">
      <c r="A845" t="s">
        <v>126</v>
      </c>
      <c r="B845" t="s">
        <v>6</v>
      </c>
      <c r="C845" t="s">
        <v>186</v>
      </c>
      <c r="D845">
        <v>1</v>
      </c>
    </row>
    <row r="846" spans="1:4" hidden="1" x14ac:dyDescent="0.35">
      <c r="A846" t="s">
        <v>126</v>
      </c>
      <c r="B846" t="s">
        <v>6</v>
      </c>
      <c r="C846" t="s">
        <v>186</v>
      </c>
      <c r="D846">
        <v>1</v>
      </c>
    </row>
    <row r="847" spans="1:4" hidden="1" x14ac:dyDescent="0.35">
      <c r="A847" t="s">
        <v>126</v>
      </c>
      <c r="B847" t="s">
        <v>6</v>
      </c>
      <c r="C847" t="s">
        <v>186</v>
      </c>
      <c r="D847">
        <v>1</v>
      </c>
    </row>
    <row r="848" spans="1:4" hidden="1" x14ac:dyDescent="0.35">
      <c r="A848" t="s">
        <v>126</v>
      </c>
      <c r="B848" t="s">
        <v>6</v>
      </c>
      <c r="C848" t="s">
        <v>186</v>
      </c>
      <c r="D848">
        <v>1</v>
      </c>
    </row>
    <row r="849" spans="1:4" hidden="1" x14ac:dyDescent="0.35">
      <c r="A849" t="s">
        <v>6</v>
      </c>
      <c r="B849" t="s">
        <v>6</v>
      </c>
      <c r="C849" t="s">
        <v>186</v>
      </c>
      <c r="D849">
        <v>1</v>
      </c>
    </row>
    <row r="850" spans="1:4" hidden="1" x14ac:dyDescent="0.35">
      <c r="A850" t="s">
        <v>6</v>
      </c>
      <c r="B850" t="s">
        <v>6</v>
      </c>
      <c r="C850" t="s">
        <v>186</v>
      </c>
      <c r="D850">
        <v>1</v>
      </c>
    </row>
    <row r="851" spans="1:4" hidden="1" x14ac:dyDescent="0.35">
      <c r="A851" t="s">
        <v>126</v>
      </c>
      <c r="B851" t="s">
        <v>6</v>
      </c>
      <c r="C851" t="s">
        <v>186</v>
      </c>
      <c r="D851">
        <v>1</v>
      </c>
    </row>
    <row r="852" spans="1:4" hidden="1" x14ac:dyDescent="0.35">
      <c r="A852" t="s">
        <v>126</v>
      </c>
      <c r="B852" t="s">
        <v>6</v>
      </c>
      <c r="C852" t="s">
        <v>186</v>
      </c>
      <c r="D852">
        <v>1</v>
      </c>
    </row>
    <row r="853" spans="1:4" hidden="1" x14ac:dyDescent="0.35">
      <c r="A853" t="s">
        <v>6</v>
      </c>
      <c r="B853" t="s">
        <v>6</v>
      </c>
      <c r="C853" t="s">
        <v>186</v>
      </c>
      <c r="D853">
        <v>1</v>
      </c>
    </row>
    <row r="854" spans="1:4" hidden="1" x14ac:dyDescent="0.35">
      <c r="A854" t="s">
        <v>6</v>
      </c>
      <c r="B854" t="s">
        <v>6</v>
      </c>
      <c r="C854" t="s">
        <v>186</v>
      </c>
      <c r="D854">
        <v>1</v>
      </c>
    </row>
    <row r="855" spans="1:4" hidden="1" x14ac:dyDescent="0.35">
      <c r="A855" t="s">
        <v>126</v>
      </c>
      <c r="B855" t="s">
        <v>6</v>
      </c>
      <c r="C855" t="s">
        <v>186</v>
      </c>
      <c r="D855">
        <v>1</v>
      </c>
    </row>
    <row r="856" spans="1:4" hidden="1" x14ac:dyDescent="0.35">
      <c r="A856" t="s">
        <v>6</v>
      </c>
      <c r="B856" t="s">
        <v>6</v>
      </c>
      <c r="C856" t="s">
        <v>186</v>
      </c>
      <c r="D856">
        <v>1</v>
      </c>
    </row>
    <row r="857" spans="1:4" hidden="1" x14ac:dyDescent="0.35">
      <c r="A857" t="s">
        <v>6</v>
      </c>
      <c r="B857" t="s">
        <v>6</v>
      </c>
      <c r="C857" t="s">
        <v>186</v>
      </c>
      <c r="D857">
        <v>1</v>
      </c>
    </row>
    <row r="858" spans="1:4" hidden="1" x14ac:dyDescent="0.35">
      <c r="A858" t="s">
        <v>6</v>
      </c>
      <c r="B858" t="s">
        <v>6</v>
      </c>
      <c r="C858" t="s">
        <v>186</v>
      </c>
      <c r="D858">
        <v>1</v>
      </c>
    </row>
    <row r="859" spans="1:4" hidden="1" x14ac:dyDescent="0.35">
      <c r="A859" t="s">
        <v>6</v>
      </c>
      <c r="B859" t="s">
        <v>6</v>
      </c>
      <c r="C859" t="s">
        <v>186</v>
      </c>
      <c r="D859">
        <v>1</v>
      </c>
    </row>
    <row r="860" spans="1:4" hidden="1" x14ac:dyDescent="0.35">
      <c r="A860" t="s">
        <v>6</v>
      </c>
      <c r="B860" t="s">
        <v>6</v>
      </c>
      <c r="C860" t="s">
        <v>186</v>
      </c>
      <c r="D860">
        <v>1</v>
      </c>
    </row>
    <row r="861" spans="1:4" hidden="1" x14ac:dyDescent="0.35">
      <c r="A861" t="s">
        <v>126</v>
      </c>
      <c r="B861" t="s">
        <v>6</v>
      </c>
      <c r="C861" t="s">
        <v>186</v>
      </c>
      <c r="D861">
        <v>1</v>
      </c>
    </row>
    <row r="862" spans="1:4" hidden="1" x14ac:dyDescent="0.35">
      <c r="A862" t="s">
        <v>126</v>
      </c>
      <c r="B862" t="s">
        <v>6</v>
      </c>
      <c r="C862" t="s">
        <v>186</v>
      </c>
      <c r="D862">
        <v>1</v>
      </c>
    </row>
    <row r="863" spans="1:4" hidden="1" x14ac:dyDescent="0.35">
      <c r="A863" t="s">
        <v>126</v>
      </c>
      <c r="B863" t="s">
        <v>6</v>
      </c>
      <c r="C863" t="s">
        <v>186</v>
      </c>
      <c r="D863">
        <v>1</v>
      </c>
    </row>
    <row r="864" spans="1:4" hidden="1" x14ac:dyDescent="0.35">
      <c r="A864" t="s">
        <v>126</v>
      </c>
      <c r="B864" t="s">
        <v>6</v>
      </c>
      <c r="C864" t="s">
        <v>186</v>
      </c>
      <c r="D864">
        <v>1</v>
      </c>
    </row>
    <row r="865" spans="1:4" hidden="1" x14ac:dyDescent="0.35">
      <c r="A865" t="s">
        <v>126</v>
      </c>
      <c r="B865" t="s">
        <v>6</v>
      </c>
      <c r="C865" t="s">
        <v>186</v>
      </c>
      <c r="D865">
        <v>1</v>
      </c>
    </row>
    <row r="866" spans="1:4" hidden="1" x14ac:dyDescent="0.35">
      <c r="A866" t="s">
        <v>50</v>
      </c>
      <c r="B866" t="s">
        <v>5</v>
      </c>
      <c r="C866" t="s">
        <v>186</v>
      </c>
      <c r="D866">
        <v>1</v>
      </c>
    </row>
    <row r="867" spans="1:4" hidden="1" x14ac:dyDescent="0.35">
      <c r="A867" t="s">
        <v>50</v>
      </c>
      <c r="B867" t="s">
        <v>5</v>
      </c>
      <c r="C867" t="s">
        <v>186</v>
      </c>
      <c r="D867">
        <v>1</v>
      </c>
    </row>
    <row r="868" spans="1:4" hidden="1" x14ac:dyDescent="0.35">
      <c r="A868" t="s">
        <v>50</v>
      </c>
      <c r="B868" t="s">
        <v>5</v>
      </c>
      <c r="C868" t="s">
        <v>186</v>
      </c>
      <c r="D868">
        <v>1</v>
      </c>
    </row>
    <row r="869" spans="1:4" hidden="1" x14ac:dyDescent="0.35">
      <c r="A869" t="s">
        <v>50</v>
      </c>
      <c r="B869" t="s">
        <v>5</v>
      </c>
      <c r="C869" t="s">
        <v>186</v>
      </c>
      <c r="D869">
        <v>1</v>
      </c>
    </row>
    <row r="870" spans="1:4" hidden="1" x14ac:dyDescent="0.35">
      <c r="A870" t="s">
        <v>50</v>
      </c>
      <c r="B870" t="s">
        <v>5</v>
      </c>
      <c r="C870" t="s">
        <v>186</v>
      </c>
      <c r="D870">
        <v>1</v>
      </c>
    </row>
    <row r="871" spans="1:4" hidden="1" x14ac:dyDescent="0.35">
      <c r="A871" t="s">
        <v>50</v>
      </c>
      <c r="B871" t="s">
        <v>5</v>
      </c>
      <c r="C871" t="s">
        <v>186</v>
      </c>
      <c r="D871">
        <v>1</v>
      </c>
    </row>
    <row r="872" spans="1:4" hidden="1" x14ac:dyDescent="0.35">
      <c r="A872" t="s">
        <v>51</v>
      </c>
      <c r="B872" t="s">
        <v>5</v>
      </c>
      <c r="C872" t="s">
        <v>186</v>
      </c>
      <c r="D872">
        <v>1</v>
      </c>
    </row>
    <row r="873" spans="1:4" hidden="1" x14ac:dyDescent="0.35">
      <c r="A873" t="s">
        <v>51</v>
      </c>
      <c r="B873" t="s">
        <v>5</v>
      </c>
      <c r="C873" t="s">
        <v>186</v>
      </c>
      <c r="D873">
        <v>1</v>
      </c>
    </row>
    <row r="874" spans="1:4" hidden="1" x14ac:dyDescent="0.35">
      <c r="A874" t="s">
        <v>51</v>
      </c>
      <c r="B874" t="s">
        <v>5</v>
      </c>
      <c r="C874" t="s">
        <v>186</v>
      </c>
      <c r="D874">
        <v>1</v>
      </c>
    </row>
    <row r="875" spans="1:4" hidden="1" x14ac:dyDescent="0.35">
      <c r="A875" t="s">
        <v>52</v>
      </c>
      <c r="B875" t="s">
        <v>5</v>
      </c>
      <c r="C875" t="s">
        <v>186</v>
      </c>
      <c r="D875">
        <v>1</v>
      </c>
    </row>
    <row r="876" spans="1:4" hidden="1" x14ac:dyDescent="0.35">
      <c r="A876" t="s">
        <v>53</v>
      </c>
      <c r="B876" t="s">
        <v>5</v>
      </c>
      <c r="C876" t="s">
        <v>186</v>
      </c>
      <c r="D876">
        <v>1</v>
      </c>
    </row>
    <row r="877" spans="1:4" hidden="1" x14ac:dyDescent="0.35">
      <c r="A877" t="s">
        <v>53</v>
      </c>
      <c r="B877" t="s">
        <v>5</v>
      </c>
      <c r="C877" t="s">
        <v>186</v>
      </c>
      <c r="D877">
        <v>1</v>
      </c>
    </row>
    <row r="878" spans="1:4" hidden="1" x14ac:dyDescent="0.35">
      <c r="A878" t="s">
        <v>53</v>
      </c>
      <c r="B878" t="s">
        <v>5</v>
      </c>
      <c r="C878" t="s">
        <v>186</v>
      </c>
      <c r="D878">
        <v>1</v>
      </c>
    </row>
    <row r="879" spans="1:4" hidden="1" x14ac:dyDescent="0.35">
      <c r="A879" t="s">
        <v>53</v>
      </c>
      <c r="B879" t="s">
        <v>5</v>
      </c>
      <c r="C879" t="s">
        <v>186</v>
      </c>
      <c r="D879">
        <v>1</v>
      </c>
    </row>
    <row r="880" spans="1:4" hidden="1" x14ac:dyDescent="0.35">
      <c r="A880" t="s">
        <v>67</v>
      </c>
      <c r="B880" t="s">
        <v>5</v>
      </c>
      <c r="C880" t="s">
        <v>186</v>
      </c>
      <c r="D880">
        <v>1</v>
      </c>
    </row>
    <row r="881" spans="1:4" hidden="1" x14ac:dyDescent="0.35">
      <c r="A881" t="s">
        <v>99</v>
      </c>
      <c r="B881" t="s">
        <v>5</v>
      </c>
      <c r="C881" t="s">
        <v>186</v>
      </c>
      <c r="D881">
        <v>1</v>
      </c>
    </row>
    <row r="882" spans="1:4" hidden="1" x14ac:dyDescent="0.35">
      <c r="A882" t="s">
        <v>101</v>
      </c>
      <c r="B882" t="s">
        <v>5</v>
      </c>
      <c r="C882" t="s">
        <v>186</v>
      </c>
      <c r="D882">
        <v>1</v>
      </c>
    </row>
    <row r="883" spans="1:4" hidden="1" x14ac:dyDescent="0.35">
      <c r="A883" t="s">
        <v>103</v>
      </c>
      <c r="B883" t="s">
        <v>5</v>
      </c>
      <c r="C883" t="s">
        <v>186</v>
      </c>
      <c r="D883">
        <v>1</v>
      </c>
    </row>
    <row r="884" spans="1:4" hidden="1" x14ac:dyDescent="0.35">
      <c r="A884" t="s">
        <v>103</v>
      </c>
      <c r="B884" t="s">
        <v>5</v>
      </c>
      <c r="C884" t="s">
        <v>186</v>
      </c>
      <c r="D884">
        <v>1</v>
      </c>
    </row>
    <row r="885" spans="1:4" hidden="1" x14ac:dyDescent="0.35">
      <c r="A885" t="s">
        <v>103</v>
      </c>
      <c r="B885" t="s">
        <v>5</v>
      </c>
      <c r="C885" t="s">
        <v>186</v>
      </c>
      <c r="D885">
        <v>1</v>
      </c>
    </row>
    <row r="886" spans="1:4" hidden="1" x14ac:dyDescent="0.35">
      <c r="A886" t="s">
        <v>106</v>
      </c>
      <c r="B886" t="s">
        <v>5</v>
      </c>
      <c r="C886" t="s">
        <v>186</v>
      </c>
      <c r="D886">
        <v>1</v>
      </c>
    </row>
    <row r="887" spans="1:4" hidden="1" x14ac:dyDescent="0.35">
      <c r="A887" t="s">
        <v>106</v>
      </c>
      <c r="B887" t="s">
        <v>5</v>
      </c>
      <c r="C887" t="s">
        <v>186</v>
      </c>
      <c r="D887">
        <v>1</v>
      </c>
    </row>
    <row r="888" spans="1:4" hidden="1" x14ac:dyDescent="0.35">
      <c r="A888" t="s">
        <v>124</v>
      </c>
      <c r="B888" t="s">
        <v>5</v>
      </c>
      <c r="C888" t="s">
        <v>186</v>
      </c>
      <c r="D888">
        <v>1</v>
      </c>
    </row>
    <row r="889" spans="1:4" hidden="1" x14ac:dyDescent="0.35">
      <c r="A889" t="s">
        <v>124</v>
      </c>
      <c r="B889" t="s">
        <v>5</v>
      </c>
      <c r="C889" t="s">
        <v>186</v>
      </c>
      <c r="D889">
        <v>1</v>
      </c>
    </row>
    <row r="890" spans="1:4" hidden="1" x14ac:dyDescent="0.35">
      <c r="A890" t="s">
        <v>128</v>
      </c>
      <c r="B890" t="s">
        <v>5</v>
      </c>
      <c r="C890" t="s">
        <v>186</v>
      </c>
      <c r="D890">
        <v>1</v>
      </c>
    </row>
    <row r="891" spans="1:4" hidden="1" x14ac:dyDescent="0.35">
      <c r="A891" t="s">
        <v>128</v>
      </c>
      <c r="B891" t="s">
        <v>5</v>
      </c>
      <c r="C891" t="s">
        <v>186</v>
      </c>
      <c r="D891">
        <v>1</v>
      </c>
    </row>
    <row r="892" spans="1:4" hidden="1" x14ac:dyDescent="0.35">
      <c r="A892" t="s">
        <v>128</v>
      </c>
      <c r="B892" t="s">
        <v>5</v>
      </c>
      <c r="C892" t="s">
        <v>186</v>
      </c>
      <c r="D892">
        <v>1</v>
      </c>
    </row>
    <row r="893" spans="1:4" hidden="1" x14ac:dyDescent="0.35">
      <c r="A893" t="s">
        <v>27</v>
      </c>
      <c r="B893" t="s">
        <v>5</v>
      </c>
      <c r="C893" t="s">
        <v>186</v>
      </c>
      <c r="D893">
        <v>1</v>
      </c>
    </row>
    <row r="894" spans="1:4" hidden="1" x14ac:dyDescent="0.35">
      <c r="A894" t="s">
        <v>50</v>
      </c>
      <c r="B894" t="s">
        <v>5</v>
      </c>
      <c r="C894" t="s">
        <v>186</v>
      </c>
      <c r="D894">
        <v>1</v>
      </c>
    </row>
    <row r="895" spans="1:4" hidden="1" x14ac:dyDescent="0.35">
      <c r="A895" t="s">
        <v>50</v>
      </c>
      <c r="B895" t="s">
        <v>5</v>
      </c>
      <c r="C895" t="s">
        <v>186</v>
      </c>
      <c r="D895">
        <v>1</v>
      </c>
    </row>
    <row r="896" spans="1:4" hidden="1" x14ac:dyDescent="0.35">
      <c r="A896" t="s">
        <v>51</v>
      </c>
      <c r="B896" t="s">
        <v>5</v>
      </c>
      <c r="C896" t="s">
        <v>186</v>
      </c>
      <c r="D896">
        <v>1</v>
      </c>
    </row>
    <row r="897" spans="1:4" hidden="1" x14ac:dyDescent="0.35">
      <c r="A897" t="s">
        <v>51</v>
      </c>
      <c r="B897" t="s">
        <v>5</v>
      </c>
      <c r="C897" t="s">
        <v>186</v>
      </c>
      <c r="D897">
        <v>1</v>
      </c>
    </row>
    <row r="898" spans="1:4" hidden="1" x14ac:dyDescent="0.35">
      <c r="A898" t="s">
        <v>51</v>
      </c>
      <c r="B898" t="s">
        <v>5</v>
      </c>
      <c r="C898" t="s">
        <v>186</v>
      </c>
      <c r="D898">
        <v>1</v>
      </c>
    </row>
    <row r="899" spans="1:4" hidden="1" x14ac:dyDescent="0.35">
      <c r="A899" t="s">
        <v>51</v>
      </c>
      <c r="B899" t="s">
        <v>5</v>
      </c>
      <c r="C899" t="s">
        <v>186</v>
      </c>
      <c r="D899">
        <v>1</v>
      </c>
    </row>
    <row r="900" spans="1:4" hidden="1" x14ac:dyDescent="0.35">
      <c r="A900" t="s">
        <v>51</v>
      </c>
      <c r="B900" t="s">
        <v>5</v>
      </c>
      <c r="C900" t="s">
        <v>186</v>
      </c>
      <c r="D900">
        <v>1</v>
      </c>
    </row>
    <row r="901" spans="1:4" hidden="1" x14ac:dyDescent="0.35">
      <c r="A901" t="s">
        <v>53</v>
      </c>
      <c r="B901" t="s">
        <v>5</v>
      </c>
      <c r="C901" t="s">
        <v>186</v>
      </c>
      <c r="D901">
        <v>1</v>
      </c>
    </row>
    <row r="902" spans="1:4" hidden="1" x14ac:dyDescent="0.35">
      <c r="A902" t="s">
        <v>53</v>
      </c>
      <c r="B902" t="s">
        <v>5</v>
      </c>
      <c r="C902" t="s">
        <v>186</v>
      </c>
      <c r="D902">
        <v>1</v>
      </c>
    </row>
    <row r="903" spans="1:4" hidden="1" x14ac:dyDescent="0.35">
      <c r="A903" t="s">
        <v>53</v>
      </c>
      <c r="B903" t="s">
        <v>5</v>
      </c>
      <c r="C903" t="s">
        <v>186</v>
      </c>
      <c r="D903">
        <v>1</v>
      </c>
    </row>
    <row r="904" spans="1:4" hidden="1" x14ac:dyDescent="0.35">
      <c r="A904" t="s">
        <v>67</v>
      </c>
      <c r="B904" t="s">
        <v>5</v>
      </c>
      <c r="C904" t="s">
        <v>186</v>
      </c>
      <c r="D904">
        <v>1</v>
      </c>
    </row>
    <row r="905" spans="1:4" hidden="1" x14ac:dyDescent="0.35">
      <c r="A905" t="s">
        <v>99</v>
      </c>
      <c r="B905" t="s">
        <v>5</v>
      </c>
      <c r="C905" t="s">
        <v>186</v>
      </c>
      <c r="D905">
        <v>1</v>
      </c>
    </row>
    <row r="906" spans="1:4" hidden="1" x14ac:dyDescent="0.35">
      <c r="A906" t="s">
        <v>106</v>
      </c>
      <c r="B906" t="s">
        <v>5</v>
      </c>
      <c r="C906" t="s">
        <v>186</v>
      </c>
      <c r="D906">
        <v>1</v>
      </c>
    </row>
    <row r="907" spans="1:4" hidden="1" x14ac:dyDescent="0.35">
      <c r="A907" t="s">
        <v>106</v>
      </c>
      <c r="B907" t="s">
        <v>5</v>
      </c>
      <c r="C907" t="s">
        <v>186</v>
      </c>
      <c r="D907">
        <v>1</v>
      </c>
    </row>
    <row r="908" spans="1:4" hidden="1" x14ac:dyDescent="0.35">
      <c r="A908" t="s">
        <v>106</v>
      </c>
      <c r="B908" t="s">
        <v>5</v>
      </c>
      <c r="C908" t="s">
        <v>186</v>
      </c>
      <c r="D908">
        <v>1</v>
      </c>
    </row>
    <row r="909" spans="1:4" hidden="1" x14ac:dyDescent="0.35">
      <c r="A909" t="s">
        <v>106</v>
      </c>
      <c r="B909" t="s">
        <v>5</v>
      </c>
      <c r="C909" t="s">
        <v>186</v>
      </c>
      <c r="D909">
        <v>1</v>
      </c>
    </row>
    <row r="910" spans="1:4" hidden="1" x14ac:dyDescent="0.35">
      <c r="A910" t="s">
        <v>128</v>
      </c>
      <c r="B910" t="s">
        <v>5</v>
      </c>
      <c r="C910" t="s">
        <v>186</v>
      </c>
      <c r="D910">
        <v>1</v>
      </c>
    </row>
    <row r="911" spans="1:4" hidden="1" x14ac:dyDescent="0.35">
      <c r="A911" t="s">
        <v>128</v>
      </c>
      <c r="B911" t="s">
        <v>5</v>
      </c>
      <c r="C911" t="s">
        <v>186</v>
      </c>
      <c r="D911">
        <v>1</v>
      </c>
    </row>
    <row r="912" spans="1:4" hidden="1" x14ac:dyDescent="0.35">
      <c r="A912" t="s">
        <v>128</v>
      </c>
      <c r="B912" t="s">
        <v>5</v>
      </c>
      <c r="C912" t="s">
        <v>186</v>
      </c>
      <c r="D912">
        <v>1</v>
      </c>
    </row>
    <row r="913" spans="1:4" hidden="1" x14ac:dyDescent="0.35">
      <c r="A913" t="s">
        <v>128</v>
      </c>
      <c r="B913" t="s">
        <v>5</v>
      </c>
      <c r="C913" t="s">
        <v>186</v>
      </c>
      <c r="D913">
        <v>1</v>
      </c>
    </row>
    <row r="914" spans="1:4" hidden="1" x14ac:dyDescent="0.35">
      <c r="A914" t="s">
        <v>50</v>
      </c>
      <c r="B914" t="s">
        <v>5</v>
      </c>
      <c r="C914" t="s">
        <v>186</v>
      </c>
      <c r="D914">
        <v>1</v>
      </c>
    </row>
    <row r="915" spans="1:4" hidden="1" x14ac:dyDescent="0.35">
      <c r="A915" t="s">
        <v>50</v>
      </c>
      <c r="B915" t="s">
        <v>5</v>
      </c>
      <c r="C915" t="s">
        <v>186</v>
      </c>
      <c r="D915">
        <v>1</v>
      </c>
    </row>
    <row r="916" spans="1:4" hidden="1" x14ac:dyDescent="0.35">
      <c r="A916" t="s">
        <v>50</v>
      </c>
      <c r="B916" t="s">
        <v>5</v>
      </c>
      <c r="C916" t="s">
        <v>186</v>
      </c>
      <c r="D916">
        <v>1</v>
      </c>
    </row>
    <row r="917" spans="1:4" hidden="1" x14ac:dyDescent="0.35">
      <c r="A917" t="s">
        <v>51</v>
      </c>
      <c r="B917" t="s">
        <v>5</v>
      </c>
      <c r="C917" t="s">
        <v>186</v>
      </c>
      <c r="D917">
        <v>1</v>
      </c>
    </row>
    <row r="918" spans="1:4" hidden="1" x14ac:dyDescent="0.35">
      <c r="A918" t="s">
        <v>53</v>
      </c>
      <c r="B918" t="s">
        <v>5</v>
      </c>
      <c r="C918" t="s">
        <v>186</v>
      </c>
      <c r="D918">
        <v>1</v>
      </c>
    </row>
    <row r="919" spans="1:4" hidden="1" x14ac:dyDescent="0.35">
      <c r="A919" t="s">
        <v>57</v>
      </c>
      <c r="B919" t="s">
        <v>5</v>
      </c>
      <c r="C919" t="s">
        <v>186</v>
      </c>
      <c r="D919">
        <v>1</v>
      </c>
    </row>
    <row r="920" spans="1:4" hidden="1" x14ac:dyDescent="0.35">
      <c r="A920" t="s">
        <v>67</v>
      </c>
      <c r="B920" t="s">
        <v>5</v>
      </c>
      <c r="C920" t="s">
        <v>186</v>
      </c>
      <c r="D920">
        <v>1</v>
      </c>
    </row>
    <row r="921" spans="1:4" hidden="1" x14ac:dyDescent="0.35">
      <c r="A921" t="s">
        <v>91</v>
      </c>
      <c r="B921" t="s">
        <v>5</v>
      </c>
      <c r="C921" t="s">
        <v>186</v>
      </c>
      <c r="D921">
        <v>1</v>
      </c>
    </row>
    <row r="922" spans="1:4" hidden="1" x14ac:dyDescent="0.35">
      <c r="A922" t="s">
        <v>128</v>
      </c>
      <c r="B922" t="s">
        <v>5</v>
      </c>
      <c r="C922" t="s">
        <v>186</v>
      </c>
      <c r="D922">
        <v>1</v>
      </c>
    </row>
    <row r="923" spans="1:4" hidden="1" x14ac:dyDescent="0.35">
      <c r="A923" t="s">
        <v>128</v>
      </c>
      <c r="B923" t="s">
        <v>5</v>
      </c>
      <c r="C923" t="s">
        <v>186</v>
      </c>
      <c r="D923">
        <v>1</v>
      </c>
    </row>
    <row r="924" spans="1:4" hidden="1" x14ac:dyDescent="0.35">
      <c r="A924" t="s">
        <v>128</v>
      </c>
      <c r="B924" t="s">
        <v>5</v>
      </c>
      <c r="C924" t="s">
        <v>186</v>
      </c>
      <c r="D924">
        <v>1</v>
      </c>
    </row>
    <row r="925" spans="1:4" hidden="1" x14ac:dyDescent="0.35">
      <c r="A925" t="s">
        <v>129</v>
      </c>
      <c r="B925" t="s">
        <v>5</v>
      </c>
      <c r="C925" t="s">
        <v>186</v>
      </c>
      <c r="D925">
        <v>1</v>
      </c>
    </row>
    <row r="926" spans="1:4" hidden="1" x14ac:dyDescent="0.35">
      <c r="A926" t="s">
        <v>34</v>
      </c>
      <c r="B926" t="s">
        <v>5</v>
      </c>
      <c r="C926" t="s">
        <v>186</v>
      </c>
      <c r="D926">
        <v>1</v>
      </c>
    </row>
    <row r="927" spans="1:4" hidden="1" x14ac:dyDescent="0.35">
      <c r="A927" t="s">
        <v>50</v>
      </c>
      <c r="B927" t="s">
        <v>5</v>
      </c>
      <c r="C927" t="s">
        <v>186</v>
      </c>
      <c r="D927">
        <v>1</v>
      </c>
    </row>
    <row r="928" spans="1:4" hidden="1" x14ac:dyDescent="0.35">
      <c r="A928" t="s">
        <v>50</v>
      </c>
      <c r="B928" t="s">
        <v>5</v>
      </c>
      <c r="C928" t="s">
        <v>186</v>
      </c>
      <c r="D928">
        <v>1</v>
      </c>
    </row>
    <row r="929" spans="1:4" hidden="1" x14ac:dyDescent="0.35">
      <c r="A929" t="s">
        <v>51</v>
      </c>
      <c r="B929" t="s">
        <v>5</v>
      </c>
      <c r="C929" t="s">
        <v>186</v>
      </c>
      <c r="D929">
        <v>1</v>
      </c>
    </row>
    <row r="930" spans="1:4" hidden="1" x14ac:dyDescent="0.35">
      <c r="A930" t="s">
        <v>51</v>
      </c>
      <c r="B930" t="s">
        <v>5</v>
      </c>
      <c r="C930" t="s">
        <v>186</v>
      </c>
      <c r="D930">
        <v>1</v>
      </c>
    </row>
    <row r="931" spans="1:4" hidden="1" x14ac:dyDescent="0.35">
      <c r="A931" t="s">
        <v>52</v>
      </c>
      <c r="B931" t="s">
        <v>5</v>
      </c>
      <c r="C931" t="s">
        <v>186</v>
      </c>
      <c r="D931">
        <v>1</v>
      </c>
    </row>
    <row r="932" spans="1:4" hidden="1" x14ac:dyDescent="0.35">
      <c r="A932" t="s">
        <v>52</v>
      </c>
      <c r="B932" t="s">
        <v>5</v>
      </c>
      <c r="C932" t="s">
        <v>186</v>
      </c>
      <c r="D932">
        <v>1</v>
      </c>
    </row>
    <row r="933" spans="1:4" hidden="1" x14ac:dyDescent="0.35">
      <c r="A933" t="s">
        <v>53</v>
      </c>
      <c r="B933" t="s">
        <v>5</v>
      </c>
      <c r="C933" t="s">
        <v>186</v>
      </c>
      <c r="D933">
        <v>1</v>
      </c>
    </row>
    <row r="934" spans="1:4" hidden="1" x14ac:dyDescent="0.35">
      <c r="A934" t="s">
        <v>53</v>
      </c>
      <c r="B934" t="s">
        <v>5</v>
      </c>
      <c r="C934" t="s">
        <v>186</v>
      </c>
      <c r="D934">
        <v>1</v>
      </c>
    </row>
    <row r="935" spans="1:4" hidden="1" x14ac:dyDescent="0.35">
      <c r="A935" t="s">
        <v>53</v>
      </c>
      <c r="B935" t="s">
        <v>5</v>
      </c>
      <c r="C935" t="s">
        <v>186</v>
      </c>
      <c r="D935">
        <v>1</v>
      </c>
    </row>
    <row r="936" spans="1:4" hidden="1" x14ac:dyDescent="0.35">
      <c r="A936" t="s">
        <v>101</v>
      </c>
      <c r="B936" t="s">
        <v>5</v>
      </c>
      <c r="C936" t="s">
        <v>186</v>
      </c>
      <c r="D936">
        <v>1</v>
      </c>
    </row>
    <row r="937" spans="1:4" hidden="1" x14ac:dyDescent="0.35">
      <c r="A937" t="s">
        <v>106</v>
      </c>
      <c r="B937" t="s">
        <v>5</v>
      </c>
      <c r="C937" t="s">
        <v>186</v>
      </c>
      <c r="D937">
        <v>1</v>
      </c>
    </row>
    <row r="938" spans="1:4" hidden="1" x14ac:dyDescent="0.35">
      <c r="A938" t="s">
        <v>106</v>
      </c>
      <c r="B938" t="s">
        <v>5</v>
      </c>
      <c r="C938" t="s">
        <v>186</v>
      </c>
      <c r="D938">
        <v>1</v>
      </c>
    </row>
    <row r="939" spans="1:4" hidden="1" x14ac:dyDescent="0.35">
      <c r="A939" t="s">
        <v>128</v>
      </c>
      <c r="B939" t="s">
        <v>5</v>
      </c>
      <c r="C939" t="s">
        <v>186</v>
      </c>
      <c r="D939">
        <v>1</v>
      </c>
    </row>
    <row r="940" spans="1:4" hidden="1" x14ac:dyDescent="0.35">
      <c r="A940" t="s">
        <v>128</v>
      </c>
      <c r="B940" t="s">
        <v>5</v>
      </c>
      <c r="C940" t="s">
        <v>186</v>
      </c>
      <c r="D940">
        <v>1</v>
      </c>
    </row>
    <row r="941" spans="1:4" hidden="1" x14ac:dyDescent="0.35">
      <c r="A941" t="s">
        <v>128</v>
      </c>
      <c r="B941" t="s">
        <v>5</v>
      </c>
      <c r="C941" t="s">
        <v>186</v>
      </c>
      <c r="D941">
        <v>1</v>
      </c>
    </row>
    <row r="942" spans="1:4" hidden="1" x14ac:dyDescent="0.35">
      <c r="A942" t="s">
        <v>129</v>
      </c>
      <c r="B942" t="s">
        <v>5</v>
      </c>
      <c r="C942" t="s">
        <v>186</v>
      </c>
      <c r="D942">
        <v>1</v>
      </c>
    </row>
    <row r="943" spans="1:4" hidden="1" x14ac:dyDescent="0.35">
      <c r="A943" t="s">
        <v>50</v>
      </c>
      <c r="B943" t="s">
        <v>5</v>
      </c>
      <c r="C943" t="s">
        <v>186</v>
      </c>
      <c r="D943">
        <v>1</v>
      </c>
    </row>
    <row r="944" spans="1:4" hidden="1" x14ac:dyDescent="0.35">
      <c r="A944" t="s">
        <v>29</v>
      </c>
      <c r="B944" t="s">
        <v>5</v>
      </c>
      <c r="C944" t="s">
        <v>186</v>
      </c>
      <c r="D944">
        <v>1</v>
      </c>
    </row>
    <row r="945" spans="1:4" hidden="1" x14ac:dyDescent="0.35">
      <c r="A945" t="s">
        <v>30</v>
      </c>
      <c r="B945" t="s">
        <v>5</v>
      </c>
      <c r="C945" t="s">
        <v>186</v>
      </c>
      <c r="D945">
        <v>1</v>
      </c>
    </row>
    <row r="946" spans="1:4" hidden="1" x14ac:dyDescent="0.35">
      <c r="A946" t="s">
        <v>30</v>
      </c>
      <c r="B946" t="s">
        <v>5</v>
      </c>
      <c r="C946" t="s">
        <v>186</v>
      </c>
      <c r="D946">
        <v>1</v>
      </c>
    </row>
    <row r="947" spans="1:4" hidden="1" x14ac:dyDescent="0.35">
      <c r="A947" t="s">
        <v>34</v>
      </c>
      <c r="B947" t="s">
        <v>5</v>
      </c>
      <c r="C947" t="s">
        <v>186</v>
      </c>
      <c r="D947">
        <v>1</v>
      </c>
    </row>
    <row r="948" spans="1:4" hidden="1" x14ac:dyDescent="0.35">
      <c r="A948" t="s">
        <v>47</v>
      </c>
      <c r="B948" t="s">
        <v>5</v>
      </c>
      <c r="C948" t="s">
        <v>186</v>
      </c>
      <c r="D948">
        <v>1</v>
      </c>
    </row>
    <row r="949" spans="1:4" hidden="1" x14ac:dyDescent="0.35">
      <c r="A949" t="s">
        <v>50</v>
      </c>
      <c r="B949" t="s">
        <v>5</v>
      </c>
      <c r="C949" t="s">
        <v>186</v>
      </c>
      <c r="D949">
        <v>1</v>
      </c>
    </row>
    <row r="950" spans="1:4" hidden="1" x14ac:dyDescent="0.35">
      <c r="A950" t="s">
        <v>50</v>
      </c>
      <c r="B950" t="s">
        <v>5</v>
      </c>
      <c r="C950" t="s">
        <v>186</v>
      </c>
      <c r="D950">
        <v>1</v>
      </c>
    </row>
    <row r="951" spans="1:4" hidden="1" x14ac:dyDescent="0.35">
      <c r="A951" t="s">
        <v>50</v>
      </c>
      <c r="B951" t="s">
        <v>5</v>
      </c>
      <c r="C951" t="s">
        <v>186</v>
      </c>
      <c r="D951">
        <v>1</v>
      </c>
    </row>
    <row r="952" spans="1:4" hidden="1" x14ac:dyDescent="0.35">
      <c r="A952" t="s">
        <v>57</v>
      </c>
      <c r="B952" t="s">
        <v>5</v>
      </c>
      <c r="C952" t="s">
        <v>186</v>
      </c>
      <c r="D952">
        <v>1</v>
      </c>
    </row>
    <row r="953" spans="1:4" hidden="1" x14ac:dyDescent="0.35">
      <c r="A953" t="s">
        <v>57</v>
      </c>
      <c r="B953" t="s">
        <v>5</v>
      </c>
      <c r="C953" t="s">
        <v>186</v>
      </c>
      <c r="D953">
        <v>1</v>
      </c>
    </row>
    <row r="954" spans="1:4" hidden="1" x14ac:dyDescent="0.35">
      <c r="A954" t="s">
        <v>57</v>
      </c>
      <c r="B954" t="s">
        <v>5</v>
      </c>
      <c r="C954" t="s">
        <v>186</v>
      </c>
      <c r="D954">
        <v>1</v>
      </c>
    </row>
    <row r="955" spans="1:4" hidden="1" x14ac:dyDescent="0.35">
      <c r="A955" t="s">
        <v>58</v>
      </c>
      <c r="B955" t="s">
        <v>5</v>
      </c>
      <c r="C955" t="s">
        <v>186</v>
      </c>
      <c r="D955">
        <v>1</v>
      </c>
    </row>
    <row r="956" spans="1:4" hidden="1" x14ac:dyDescent="0.35">
      <c r="A956" t="s">
        <v>142</v>
      </c>
      <c r="B956" t="s">
        <v>5</v>
      </c>
      <c r="C956" t="s">
        <v>186</v>
      </c>
      <c r="D956">
        <v>1</v>
      </c>
    </row>
    <row r="957" spans="1:4" hidden="1" x14ac:dyDescent="0.35">
      <c r="A957" t="s">
        <v>67</v>
      </c>
      <c r="B957" t="s">
        <v>5</v>
      </c>
      <c r="C957" t="s">
        <v>186</v>
      </c>
      <c r="D957">
        <v>1</v>
      </c>
    </row>
    <row r="958" spans="1:4" hidden="1" x14ac:dyDescent="0.35">
      <c r="A958" t="s">
        <v>67</v>
      </c>
      <c r="B958" t="s">
        <v>5</v>
      </c>
      <c r="C958" t="s">
        <v>186</v>
      </c>
      <c r="D958">
        <v>1</v>
      </c>
    </row>
    <row r="959" spans="1:4" hidden="1" x14ac:dyDescent="0.35">
      <c r="A959" t="s">
        <v>67</v>
      </c>
      <c r="B959" t="s">
        <v>5</v>
      </c>
      <c r="C959" t="s">
        <v>186</v>
      </c>
      <c r="D959">
        <v>1</v>
      </c>
    </row>
    <row r="960" spans="1:4" hidden="1" x14ac:dyDescent="0.35">
      <c r="A960" t="s">
        <v>67</v>
      </c>
      <c r="B960" t="s">
        <v>5</v>
      </c>
      <c r="C960" t="s">
        <v>186</v>
      </c>
      <c r="D960">
        <v>1</v>
      </c>
    </row>
    <row r="961" spans="1:4" hidden="1" x14ac:dyDescent="0.35">
      <c r="A961" t="s">
        <v>67</v>
      </c>
      <c r="B961" t="s">
        <v>5</v>
      </c>
      <c r="C961" t="s">
        <v>186</v>
      </c>
      <c r="D961">
        <v>1</v>
      </c>
    </row>
    <row r="962" spans="1:4" hidden="1" x14ac:dyDescent="0.35">
      <c r="A962" t="s">
        <v>67</v>
      </c>
      <c r="B962" t="s">
        <v>5</v>
      </c>
      <c r="C962" t="s">
        <v>186</v>
      </c>
      <c r="D962">
        <v>1</v>
      </c>
    </row>
    <row r="963" spans="1:4" hidden="1" x14ac:dyDescent="0.35">
      <c r="A963" t="s">
        <v>67</v>
      </c>
      <c r="B963" t="s">
        <v>5</v>
      </c>
      <c r="C963" t="s">
        <v>186</v>
      </c>
      <c r="D963">
        <v>1</v>
      </c>
    </row>
    <row r="964" spans="1:4" hidden="1" x14ac:dyDescent="0.35">
      <c r="A964" t="s">
        <v>67</v>
      </c>
      <c r="B964" t="s">
        <v>5</v>
      </c>
      <c r="C964" t="s">
        <v>186</v>
      </c>
      <c r="D964">
        <v>1</v>
      </c>
    </row>
    <row r="965" spans="1:4" hidden="1" x14ac:dyDescent="0.35">
      <c r="A965" t="s">
        <v>67</v>
      </c>
      <c r="B965" t="s">
        <v>5</v>
      </c>
      <c r="C965" t="s">
        <v>186</v>
      </c>
      <c r="D965">
        <v>1</v>
      </c>
    </row>
    <row r="966" spans="1:4" hidden="1" x14ac:dyDescent="0.35">
      <c r="A966" t="s">
        <v>67</v>
      </c>
      <c r="B966" t="s">
        <v>5</v>
      </c>
      <c r="C966" t="s">
        <v>186</v>
      </c>
      <c r="D966">
        <v>1</v>
      </c>
    </row>
    <row r="967" spans="1:4" hidden="1" x14ac:dyDescent="0.35">
      <c r="A967" t="s">
        <v>67</v>
      </c>
      <c r="B967" t="s">
        <v>5</v>
      </c>
      <c r="C967" t="s">
        <v>186</v>
      </c>
      <c r="D967">
        <v>1</v>
      </c>
    </row>
    <row r="968" spans="1:4" hidden="1" x14ac:dyDescent="0.35">
      <c r="A968" t="s">
        <v>67</v>
      </c>
      <c r="B968" t="s">
        <v>5</v>
      </c>
      <c r="C968" t="s">
        <v>186</v>
      </c>
      <c r="D968">
        <v>1</v>
      </c>
    </row>
    <row r="969" spans="1:4" hidden="1" x14ac:dyDescent="0.35">
      <c r="A969" t="s">
        <v>142</v>
      </c>
      <c r="B969" t="s">
        <v>5</v>
      </c>
      <c r="C969" t="s">
        <v>186</v>
      </c>
      <c r="D969">
        <v>1</v>
      </c>
    </row>
    <row r="970" spans="1:4" hidden="1" x14ac:dyDescent="0.35">
      <c r="A970" t="s">
        <v>96</v>
      </c>
      <c r="B970" t="s">
        <v>5</v>
      </c>
      <c r="C970" t="s">
        <v>186</v>
      </c>
      <c r="D970">
        <v>1</v>
      </c>
    </row>
    <row r="971" spans="1:4" hidden="1" x14ac:dyDescent="0.35">
      <c r="A971" t="s">
        <v>96</v>
      </c>
      <c r="B971" t="s">
        <v>5</v>
      </c>
      <c r="C971" t="s">
        <v>186</v>
      </c>
      <c r="D971">
        <v>1</v>
      </c>
    </row>
    <row r="972" spans="1:4" hidden="1" x14ac:dyDescent="0.35">
      <c r="A972" t="s">
        <v>104</v>
      </c>
      <c r="B972" t="s">
        <v>5</v>
      </c>
      <c r="C972" t="s">
        <v>186</v>
      </c>
      <c r="D972">
        <v>1</v>
      </c>
    </row>
    <row r="973" spans="1:4" hidden="1" x14ac:dyDescent="0.35">
      <c r="A973" t="s">
        <v>106</v>
      </c>
      <c r="B973" t="s">
        <v>5</v>
      </c>
      <c r="C973" t="s">
        <v>186</v>
      </c>
      <c r="D973">
        <v>1</v>
      </c>
    </row>
    <row r="974" spans="1:4" hidden="1" x14ac:dyDescent="0.35">
      <c r="A974" t="s">
        <v>108</v>
      </c>
      <c r="B974" t="s">
        <v>5</v>
      </c>
      <c r="C974" t="s">
        <v>186</v>
      </c>
      <c r="D974">
        <v>1</v>
      </c>
    </row>
    <row r="975" spans="1:4" hidden="1" x14ac:dyDescent="0.35">
      <c r="A975" t="s">
        <v>121</v>
      </c>
      <c r="B975" t="s">
        <v>5</v>
      </c>
      <c r="C975" t="s">
        <v>186</v>
      </c>
      <c r="D975">
        <v>1</v>
      </c>
    </row>
    <row r="976" spans="1:4" hidden="1" x14ac:dyDescent="0.35">
      <c r="A976" t="s">
        <v>128</v>
      </c>
      <c r="B976" t="s">
        <v>5</v>
      </c>
      <c r="C976" t="s">
        <v>186</v>
      </c>
      <c r="D976">
        <v>1</v>
      </c>
    </row>
    <row r="977" spans="1:4" hidden="1" x14ac:dyDescent="0.35">
      <c r="A977" t="s">
        <v>128</v>
      </c>
      <c r="B977" t="s">
        <v>5</v>
      </c>
      <c r="C977" t="s">
        <v>186</v>
      </c>
      <c r="D977">
        <v>1</v>
      </c>
    </row>
    <row r="978" spans="1:4" hidden="1" x14ac:dyDescent="0.35">
      <c r="A978" t="s">
        <v>128</v>
      </c>
      <c r="B978" t="s">
        <v>5</v>
      </c>
      <c r="C978" t="s">
        <v>186</v>
      </c>
      <c r="D978">
        <v>1</v>
      </c>
    </row>
    <row r="979" spans="1:4" hidden="1" x14ac:dyDescent="0.35">
      <c r="A979" t="s">
        <v>128</v>
      </c>
      <c r="B979" t="s">
        <v>5</v>
      </c>
      <c r="C979" t="s">
        <v>186</v>
      </c>
      <c r="D979">
        <v>1</v>
      </c>
    </row>
    <row r="980" spans="1:4" hidden="1" x14ac:dyDescent="0.35">
      <c r="A980" t="s">
        <v>128</v>
      </c>
      <c r="B980" t="s">
        <v>5</v>
      </c>
      <c r="C980" t="s">
        <v>186</v>
      </c>
      <c r="D980">
        <v>1</v>
      </c>
    </row>
    <row r="981" spans="1:4" hidden="1" x14ac:dyDescent="0.35">
      <c r="A981" t="s">
        <v>128</v>
      </c>
      <c r="B981" t="s">
        <v>5</v>
      </c>
      <c r="C981" t="s">
        <v>186</v>
      </c>
      <c r="D981">
        <v>1</v>
      </c>
    </row>
    <row r="982" spans="1:4" hidden="1" x14ac:dyDescent="0.35">
      <c r="A982" t="s">
        <v>50</v>
      </c>
      <c r="B982" t="s">
        <v>5</v>
      </c>
      <c r="C982" t="s">
        <v>186</v>
      </c>
      <c r="D982">
        <v>1</v>
      </c>
    </row>
    <row r="983" spans="1:4" hidden="1" x14ac:dyDescent="0.35">
      <c r="A983" t="s">
        <v>128</v>
      </c>
      <c r="B983" t="s">
        <v>5</v>
      </c>
      <c r="C983" t="s">
        <v>186</v>
      </c>
      <c r="D983">
        <v>1</v>
      </c>
    </row>
    <row r="984" spans="1:4" hidden="1" x14ac:dyDescent="0.35">
      <c r="A984" t="s">
        <v>128</v>
      </c>
      <c r="B984" t="s">
        <v>5</v>
      </c>
      <c r="C984" t="s">
        <v>186</v>
      </c>
      <c r="D984">
        <v>1</v>
      </c>
    </row>
    <row r="985" spans="1:4" hidden="1" x14ac:dyDescent="0.35">
      <c r="A985" t="s">
        <v>50</v>
      </c>
      <c r="B985" t="s">
        <v>5</v>
      </c>
      <c r="C985" t="s">
        <v>186</v>
      </c>
      <c r="D985">
        <v>1</v>
      </c>
    </row>
    <row r="986" spans="1:4" hidden="1" x14ac:dyDescent="0.35">
      <c r="A986" t="s">
        <v>50</v>
      </c>
      <c r="B986" t="s">
        <v>5</v>
      </c>
      <c r="C986" t="s">
        <v>186</v>
      </c>
      <c r="D986">
        <v>1</v>
      </c>
    </row>
    <row r="987" spans="1:4" hidden="1" x14ac:dyDescent="0.35">
      <c r="A987" t="s">
        <v>52</v>
      </c>
      <c r="B987" t="s">
        <v>5</v>
      </c>
      <c r="C987" t="s">
        <v>186</v>
      </c>
      <c r="D987">
        <v>1</v>
      </c>
    </row>
    <row r="988" spans="1:4" hidden="1" x14ac:dyDescent="0.35">
      <c r="A988" t="s">
        <v>101</v>
      </c>
      <c r="B988" t="s">
        <v>5</v>
      </c>
      <c r="C988" t="s">
        <v>186</v>
      </c>
      <c r="D988">
        <v>1</v>
      </c>
    </row>
    <row r="989" spans="1:4" hidden="1" x14ac:dyDescent="0.35">
      <c r="A989" t="s">
        <v>106</v>
      </c>
      <c r="B989" t="s">
        <v>5</v>
      </c>
      <c r="C989" t="s">
        <v>186</v>
      </c>
      <c r="D989">
        <v>1</v>
      </c>
    </row>
    <row r="990" spans="1:4" hidden="1" x14ac:dyDescent="0.35">
      <c r="A990" t="s">
        <v>128</v>
      </c>
      <c r="B990" t="s">
        <v>5</v>
      </c>
      <c r="C990" t="s">
        <v>186</v>
      </c>
      <c r="D990">
        <v>1</v>
      </c>
    </row>
    <row r="991" spans="1:4" hidden="1" x14ac:dyDescent="0.35">
      <c r="A991" t="s">
        <v>128</v>
      </c>
      <c r="B991" t="s">
        <v>5</v>
      </c>
      <c r="C991" t="s">
        <v>186</v>
      </c>
      <c r="D991">
        <v>1</v>
      </c>
    </row>
    <row r="992" spans="1:4" hidden="1" x14ac:dyDescent="0.35">
      <c r="A992" t="s">
        <v>128</v>
      </c>
      <c r="B992" t="s">
        <v>5</v>
      </c>
      <c r="C992" t="s">
        <v>186</v>
      </c>
      <c r="D992">
        <v>1</v>
      </c>
    </row>
    <row r="993" spans="1:4" hidden="1" x14ac:dyDescent="0.35">
      <c r="A993" t="s">
        <v>50</v>
      </c>
      <c r="B993" t="s">
        <v>5</v>
      </c>
      <c r="C993" t="s">
        <v>186</v>
      </c>
      <c r="D993">
        <v>1</v>
      </c>
    </row>
    <row r="994" spans="1:4" hidden="1" x14ac:dyDescent="0.35">
      <c r="A994" t="s">
        <v>50</v>
      </c>
      <c r="B994" t="s">
        <v>5</v>
      </c>
      <c r="C994" t="s">
        <v>186</v>
      </c>
      <c r="D994">
        <v>1</v>
      </c>
    </row>
    <row r="995" spans="1:4" hidden="1" x14ac:dyDescent="0.35">
      <c r="A995" t="s">
        <v>50</v>
      </c>
      <c r="B995" t="s">
        <v>5</v>
      </c>
      <c r="C995" t="s">
        <v>186</v>
      </c>
      <c r="D995">
        <v>1</v>
      </c>
    </row>
    <row r="996" spans="1:4" hidden="1" x14ac:dyDescent="0.35">
      <c r="A996" t="s">
        <v>51</v>
      </c>
      <c r="B996" t="s">
        <v>5</v>
      </c>
      <c r="C996" t="s">
        <v>186</v>
      </c>
      <c r="D996">
        <v>1</v>
      </c>
    </row>
    <row r="997" spans="1:4" hidden="1" x14ac:dyDescent="0.35">
      <c r="A997" t="s">
        <v>52</v>
      </c>
      <c r="B997" t="s">
        <v>5</v>
      </c>
      <c r="C997" t="s">
        <v>186</v>
      </c>
      <c r="D997">
        <v>1</v>
      </c>
    </row>
    <row r="998" spans="1:4" hidden="1" x14ac:dyDescent="0.35">
      <c r="A998" t="s">
        <v>101</v>
      </c>
      <c r="B998" t="s">
        <v>5</v>
      </c>
      <c r="C998" t="s">
        <v>186</v>
      </c>
      <c r="D998">
        <v>1</v>
      </c>
    </row>
    <row r="999" spans="1:4" hidden="1" x14ac:dyDescent="0.35">
      <c r="A999" t="s">
        <v>129</v>
      </c>
      <c r="B999" t="s">
        <v>5</v>
      </c>
      <c r="C999" t="s">
        <v>186</v>
      </c>
      <c r="D999">
        <v>1</v>
      </c>
    </row>
    <row r="1000" spans="1:4" hidden="1" x14ac:dyDescent="0.35">
      <c r="A1000" t="s">
        <v>50</v>
      </c>
      <c r="B1000" t="s">
        <v>5</v>
      </c>
      <c r="C1000" t="s">
        <v>186</v>
      </c>
      <c r="D1000">
        <v>1</v>
      </c>
    </row>
    <row r="1001" spans="1:4" hidden="1" x14ac:dyDescent="0.35">
      <c r="A1001" t="s">
        <v>50</v>
      </c>
      <c r="B1001" t="s">
        <v>5</v>
      </c>
      <c r="C1001" t="s">
        <v>186</v>
      </c>
      <c r="D1001">
        <v>1</v>
      </c>
    </row>
    <row r="1002" spans="1:4" hidden="1" x14ac:dyDescent="0.35">
      <c r="A1002" t="s">
        <v>50</v>
      </c>
      <c r="B1002" t="s">
        <v>5</v>
      </c>
      <c r="C1002" t="s">
        <v>186</v>
      </c>
      <c r="D1002">
        <v>1</v>
      </c>
    </row>
    <row r="1003" spans="1:4" x14ac:dyDescent="0.35">
      <c r="A1003" t="s">
        <v>8</v>
      </c>
      <c r="B1003" t="s">
        <v>8</v>
      </c>
      <c r="C1003" t="s">
        <v>186</v>
      </c>
      <c r="D1003">
        <v>1</v>
      </c>
    </row>
    <row r="1004" spans="1:4" x14ac:dyDescent="0.35">
      <c r="A1004" t="s">
        <v>8</v>
      </c>
      <c r="B1004" t="s">
        <v>8</v>
      </c>
      <c r="C1004" t="s">
        <v>186</v>
      </c>
      <c r="D1004">
        <v>1</v>
      </c>
    </row>
    <row r="1005" spans="1:4" x14ac:dyDescent="0.35">
      <c r="A1005" t="s">
        <v>8</v>
      </c>
      <c r="B1005" t="s">
        <v>8</v>
      </c>
      <c r="C1005" t="s">
        <v>186</v>
      </c>
      <c r="D1005">
        <v>1</v>
      </c>
    </row>
    <row r="1006" spans="1:4" x14ac:dyDescent="0.35">
      <c r="A1006" t="s">
        <v>8</v>
      </c>
      <c r="B1006" t="s">
        <v>8</v>
      </c>
      <c r="C1006" t="s">
        <v>186</v>
      </c>
      <c r="D1006">
        <v>1</v>
      </c>
    </row>
    <row r="1007" spans="1:4" x14ac:dyDescent="0.35">
      <c r="A1007" t="s">
        <v>8</v>
      </c>
      <c r="B1007" t="s">
        <v>8</v>
      </c>
      <c r="C1007" t="s">
        <v>186</v>
      </c>
      <c r="D1007">
        <v>1</v>
      </c>
    </row>
    <row r="1008" spans="1:4" x14ac:dyDescent="0.35">
      <c r="A1008" t="s">
        <v>8</v>
      </c>
      <c r="B1008" t="s">
        <v>8</v>
      </c>
      <c r="C1008" t="s">
        <v>186</v>
      </c>
      <c r="D1008">
        <v>1</v>
      </c>
    </row>
    <row r="1009" spans="1:4" x14ac:dyDescent="0.35">
      <c r="A1009" t="s">
        <v>8</v>
      </c>
      <c r="B1009" t="s">
        <v>8</v>
      </c>
      <c r="C1009" t="s">
        <v>186</v>
      </c>
      <c r="D1009">
        <v>1</v>
      </c>
    </row>
    <row r="1010" spans="1:4" x14ac:dyDescent="0.35">
      <c r="A1010" t="s">
        <v>8</v>
      </c>
      <c r="B1010" t="s">
        <v>8</v>
      </c>
      <c r="C1010" t="s">
        <v>186</v>
      </c>
      <c r="D1010">
        <v>1</v>
      </c>
    </row>
    <row r="1011" spans="1:4" x14ac:dyDescent="0.35">
      <c r="A1011" t="s">
        <v>8</v>
      </c>
      <c r="B1011" t="s">
        <v>8</v>
      </c>
      <c r="C1011" t="s">
        <v>186</v>
      </c>
      <c r="D1011">
        <v>1</v>
      </c>
    </row>
    <row r="1012" spans="1:4" x14ac:dyDescent="0.35">
      <c r="A1012" t="s">
        <v>8</v>
      </c>
      <c r="B1012" t="s">
        <v>8</v>
      </c>
      <c r="C1012" t="s">
        <v>186</v>
      </c>
      <c r="D1012">
        <v>1</v>
      </c>
    </row>
    <row r="1013" spans="1:4" x14ac:dyDescent="0.35">
      <c r="A1013" t="s">
        <v>8</v>
      </c>
      <c r="B1013" t="s">
        <v>8</v>
      </c>
      <c r="C1013" t="s">
        <v>186</v>
      </c>
      <c r="D1013">
        <v>1</v>
      </c>
    </row>
    <row r="1014" spans="1:4" x14ac:dyDescent="0.35">
      <c r="A1014" t="s">
        <v>8</v>
      </c>
      <c r="B1014" t="s">
        <v>8</v>
      </c>
      <c r="C1014" t="s">
        <v>186</v>
      </c>
      <c r="D1014">
        <v>1</v>
      </c>
    </row>
    <row r="1015" spans="1:4" x14ac:dyDescent="0.35">
      <c r="A1015" t="s">
        <v>8</v>
      </c>
      <c r="B1015" t="s">
        <v>8</v>
      </c>
      <c r="C1015" t="s">
        <v>186</v>
      </c>
      <c r="D1015">
        <v>1</v>
      </c>
    </row>
    <row r="1016" spans="1:4" hidden="1" x14ac:dyDescent="0.35">
      <c r="A1016">
        <v>0</v>
      </c>
      <c r="B1016" t="e">
        <v>#N/A</v>
      </c>
      <c r="C1016" t="s">
        <v>186</v>
      </c>
      <c r="D1016">
        <v>1</v>
      </c>
    </row>
    <row r="1017" spans="1:4" hidden="1" x14ac:dyDescent="0.35">
      <c r="A1017">
        <v>0</v>
      </c>
      <c r="B1017" t="e">
        <v>#N/A</v>
      </c>
      <c r="C1017" t="s">
        <v>186</v>
      </c>
      <c r="D1017">
        <v>1</v>
      </c>
    </row>
    <row r="1018" spans="1:4" hidden="1" x14ac:dyDescent="0.35">
      <c r="A1018">
        <v>0</v>
      </c>
      <c r="B1018" t="e">
        <v>#N/A</v>
      </c>
      <c r="C1018" t="s">
        <v>186</v>
      </c>
      <c r="D1018">
        <v>1</v>
      </c>
    </row>
    <row r="1019" spans="1:4" hidden="1" x14ac:dyDescent="0.35">
      <c r="A1019">
        <v>0</v>
      </c>
      <c r="B1019" t="e">
        <v>#N/A</v>
      </c>
      <c r="C1019" t="s">
        <v>186</v>
      </c>
      <c r="D1019">
        <v>1</v>
      </c>
    </row>
    <row r="1020" spans="1:4" hidden="1" x14ac:dyDescent="0.35">
      <c r="A1020" t="s">
        <v>7</v>
      </c>
      <c r="B1020" t="s">
        <v>7</v>
      </c>
      <c r="C1020" t="s">
        <v>185</v>
      </c>
      <c r="D1020">
        <v>1</v>
      </c>
    </row>
    <row r="1021" spans="1:4" hidden="1" x14ac:dyDescent="0.35">
      <c r="A1021" t="s">
        <v>7</v>
      </c>
      <c r="B1021" t="s">
        <v>7</v>
      </c>
      <c r="C1021" t="s">
        <v>185</v>
      </c>
      <c r="D1021">
        <v>1</v>
      </c>
    </row>
    <row r="1022" spans="1:4" hidden="1" x14ac:dyDescent="0.35">
      <c r="A1022" t="s">
        <v>7</v>
      </c>
      <c r="B1022" t="s">
        <v>7</v>
      </c>
      <c r="C1022" t="s">
        <v>185</v>
      </c>
      <c r="D1022">
        <v>1</v>
      </c>
    </row>
    <row r="1023" spans="1:4" hidden="1" x14ac:dyDescent="0.35">
      <c r="A1023" t="s">
        <v>7</v>
      </c>
      <c r="B1023" t="s">
        <v>7</v>
      </c>
      <c r="C1023" t="s">
        <v>185</v>
      </c>
      <c r="D1023">
        <v>1</v>
      </c>
    </row>
    <row r="1024" spans="1:4" hidden="1" x14ac:dyDescent="0.35">
      <c r="A1024" t="s">
        <v>7</v>
      </c>
      <c r="B1024" t="s">
        <v>7</v>
      </c>
      <c r="C1024" t="s">
        <v>185</v>
      </c>
      <c r="D1024">
        <v>1</v>
      </c>
    </row>
    <row r="1025" spans="1:4" hidden="1" x14ac:dyDescent="0.35">
      <c r="A1025" t="s">
        <v>7</v>
      </c>
      <c r="B1025" t="s">
        <v>7</v>
      </c>
      <c r="C1025" t="s">
        <v>185</v>
      </c>
      <c r="D1025">
        <v>1</v>
      </c>
    </row>
    <row r="1026" spans="1:4" hidden="1" x14ac:dyDescent="0.35">
      <c r="A1026" t="s">
        <v>7</v>
      </c>
      <c r="B1026" t="s">
        <v>7</v>
      </c>
      <c r="C1026" t="s">
        <v>185</v>
      </c>
      <c r="D1026">
        <v>1</v>
      </c>
    </row>
    <row r="1027" spans="1:4" hidden="1" x14ac:dyDescent="0.35">
      <c r="A1027" t="s">
        <v>7</v>
      </c>
      <c r="B1027" t="s">
        <v>7</v>
      </c>
      <c r="C1027" t="s">
        <v>185</v>
      </c>
      <c r="D1027">
        <v>1</v>
      </c>
    </row>
    <row r="1028" spans="1:4" hidden="1" x14ac:dyDescent="0.35">
      <c r="A1028" t="s">
        <v>7</v>
      </c>
      <c r="B1028" t="s">
        <v>7</v>
      </c>
      <c r="C1028" t="s">
        <v>185</v>
      </c>
      <c r="D1028">
        <v>1</v>
      </c>
    </row>
    <row r="1029" spans="1:4" hidden="1" x14ac:dyDescent="0.35">
      <c r="A1029" t="s">
        <v>7</v>
      </c>
      <c r="B1029" t="s">
        <v>7</v>
      </c>
      <c r="C1029" t="s">
        <v>185</v>
      </c>
      <c r="D1029">
        <v>1</v>
      </c>
    </row>
    <row r="1030" spans="1:4" hidden="1" x14ac:dyDescent="0.35">
      <c r="A1030" t="s">
        <v>7</v>
      </c>
      <c r="B1030" t="s">
        <v>7</v>
      </c>
      <c r="C1030" t="s">
        <v>185</v>
      </c>
      <c r="D1030">
        <v>1</v>
      </c>
    </row>
    <row r="1031" spans="1:4" hidden="1" x14ac:dyDescent="0.35">
      <c r="A1031" t="s">
        <v>7</v>
      </c>
      <c r="B1031" t="s">
        <v>7</v>
      </c>
      <c r="C1031" t="s">
        <v>185</v>
      </c>
      <c r="D1031">
        <v>1</v>
      </c>
    </row>
    <row r="1032" spans="1:4" hidden="1" x14ac:dyDescent="0.35">
      <c r="A1032" t="s">
        <v>7</v>
      </c>
      <c r="B1032" t="s">
        <v>7</v>
      </c>
      <c r="C1032" t="s">
        <v>185</v>
      </c>
      <c r="D1032">
        <v>1</v>
      </c>
    </row>
    <row r="1033" spans="1:4" hidden="1" x14ac:dyDescent="0.35">
      <c r="A1033" t="s">
        <v>7</v>
      </c>
      <c r="B1033" t="s">
        <v>7</v>
      </c>
      <c r="C1033" t="s">
        <v>185</v>
      </c>
      <c r="D1033">
        <v>1</v>
      </c>
    </row>
    <row r="1034" spans="1:4" hidden="1" x14ac:dyDescent="0.35">
      <c r="A1034" t="s">
        <v>7</v>
      </c>
      <c r="B1034" t="s">
        <v>7</v>
      </c>
      <c r="C1034" t="s">
        <v>185</v>
      </c>
      <c r="D1034">
        <v>1</v>
      </c>
    </row>
    <row r="1035" spans="1:4" hidden="1" x14ac:dyDescent="0.35">
      <c r="A1035" t="s">
        <v>7</v>
      </c>
      <c r="B1035" t="s">
        <v>7</v>
      </c>
      <c r="C1035" t="s">
        <v>185</v>
      </c>
      <c r="D1035">
        <v>1</v>
      </c>
    </row>
    <row r="1036" spans="1:4" hidden="1" x14ac:dyDescent="0.35">
      <c r="A1036" t="s">
        <v>7</v>
      </c>
      <c r="B1036" t="s">
        <v>7</v>
      </c>
      <c r="C1036" t="s">
        <v>185</v>
      </c>
      <c r="D1036">
        <v>1</v>
      </c>
    </row>
    <row r="1037" spans="1:4" hidden="1" x14ac:dyDescent="0.35">
      <c r="A1037" t="s">
        <v>7</v>
      </c>
      <c r="B1037" t="s">
        <v>7</v>
      </c>
      <c r="C1037" t="s">
        <v>185</v>
      </c>
      <c r="D1037">
        <v>1</v>
      </c>
    </row>
    <row r="1038" spans="1:4" hidden="1" x14ac:dyDescent="0.35">
      <c r="A1038" t="s">
        <v>7</v>
      </c>
      <c r="B1038" t="s">
        <v>7</v>
      </c>
      <c r="C1038" t="s">
        <v>185</v>
      </c>
      <c r="D1038">
        <v>1</v>
      </c>
    </row>
    <row r="1039" spans="1:4" hidden="1" x14ac:dyDescent="0.35">
      <c r="A1039" t="s">
        <v>7</v>
      </c>
      <c r="B1039" t="s">
        <v>7</v>
      </c>
      <c r="C1039" t="s">
        <v>185</v>
      </c>
      <c r="D1039">
        <v>1</v>
      </c>
    </row>
    <row r="1040" spans="1:4" hidden="1" x14ac:dyDescent="0.35">
      <c r="A1040" t="s">
        <v>7</v>
      </c>
      <c r="B1040" t="s">
        <v>7</v>
      </c>
      <c r="C1040" t="s">
        <v>185</v>
      </c>
      <c r="D1040">
        <v>1</v>
      </c>
    </row>
    <row r="1041" spans="1:4" hidden="1" x14ac:dyDescent="0.35">
      <c r="A1041" t="s">
        <v>7</v>
      </c>
      <c r="B1041" t="s">
        <v>7</v>
      </c>
      <c r="C1041" t="s">
        <v>185</v>
      </c>
      <c r="D1041">
        <v>1</v>
      </c>
    </row>
    <row r="1042" spans="1:4" hidden="1" x14ac:dyDescent="0.35">
      <c r="A1042" t="s">
        <v>7</v>
      </c>
      <c r="B1042" t="s">
        <v>7</v>
      </c>
      <c r="C1042" t="s">
        <v>185</v>
      </c>
      <c r="D1042">
        <v>1</v>
      </c>
    </row>
    <row r="1043" spans="1:4" hidden="1" x14ac:dyDescent="0.35">
      <c r="A1043" t="s">
        <v>7</v>
      </c>
      <c r="B1043" t="s">
        <v>7</v>
      </c>
      <c r="C1043" t="s">
        <v>185</v>
      </c>
      <c r="D1043">
        <v>1</v>
      </c>
    </row>
    <row r="1044" spans="1:4" hidden="1" x14ac:dyDescent="0.35">
      <c r="A1044" t="s">
        <v>7</v>
      </c>
      <c r="B1044" t="s">
        <v>7</v>
      </c>
      <c r="C1044" t="s">
        <v>185</v>
      </c>
      <c r="D1044">
        <v>1</v>
      </c>
    </row>
    <row r="1045" spans="1:4" hidden="1" x14ac:dyDescent="0.35">
      <c r="A1045" t="s">
        <v>7</v>
      </c>
      <c r="B1045" t="s">
        <v>7</v>
      </c>
      <c r="C1045" t="s">
        <v>185</v>
      </c>
      <c r="D1045">
        <v>1</v>
      </c>
    </row>
    <row r="1046" spans="1:4" hidden="1" x14ac:dyDescent="0.35">
      <c r="A1046" t="s">
        <v>7</v>
      </c>
      <c r="B1046" t="s">
        <v>7</v>
      </c>
      <c r="C1046" t="s">
        <v>185</v>
      </c>
      <c r="D1046">
        <v>1</v>
      </c>
    </row>
    <row r="1047" spans="1:4" hidden="1" x14ac:dyDescent="0.35">
      <c r="A1047" t="s">
        <v>7</v>
      </c>
      <c r="B1047" t="s">
        <v>7</v>
      </c>
      <c r="C1047" t="s">
        <v>185</v>
      </c>
      <c r="D1047">
        <v>1</v>
      </c>
    </row>
    <row r="1048" spans="1:4" hidden="1" x14ac:dyDescent="0.35">
      <c r="A1048" t="s">
        <v>7</v>
      </c>
      <c r="B1048" t="s">
        <v>7</v>
      </c>
      <c r="C1048" t="s">
        <v>185</v>
      </c>
      <c r="D1048">
        <v>1</v>
      </c>
    </row>
    <row r="1049" spans="1:4" hidden="1" x14ac:dyDescent="0.35">
      <c r="A1049" t="s">
        <v>7</v>
      </c>
      <c r="B1049" t="s">
        <v>7</v>
      </c>
      <c r="C1049" t="s">
        <v>185</v>
      </c>
      <c r="D1049">
        <v>1</v>
      </c>
    </row>
    <row r="1050" spans="1:4" hidden="1" x14ac:dyDescent="0.35">
      <c r="A1050" t="s">
        <v>6</v>
      </c>
      <c r="B1050" t="s">
        <v>6</v>
      </c>
      <c r="C1050" t="s">
        <v>185</v>
      </c>
      <c r="D1050">
        <v>1</v>
      </c>
    </row>
    <row r="1051" spans="1:4" hidden="1" x14ac:dyDescent="0.35">
      <c r="A1051" t="s">
        <v>126</v>
      </c>
      <c r="B1051" t="s">
        <v>6</v>
      </c>
      <c r="C1051" t="s">
        <v>185</v>
      </c>
      <c r="D1051">
        <v>1</v>
      </c>
    </row>
    <row r="1052" spans="1:4" hidden="1" x14ac:dyDescent="0.35">
      <c r="A1052" t="s">
        <v>6</v>
      </c>
      <c r="B1052" t="s">
        <v>6</v>
      </c>
      <c r="C1052" t="s">
        <v>185</v>
      </c>
      <c r="D1052">
        <v>1</v>
      </c>
    </row>
    <row r="1053" spans="1:4" hidden="1" x14ac:dyDescent="0.35">
      <c r="A1053" t="s">
        <v>126</v>
      </c>
      <c r="B1053" t="s">
        <v>6</v>
      </c>
      <c r="C1053" t="s">
        <v>185</v>
      </c>
      <c r="D1053">
        <v>1</v>
      </c>
    </row>
    <row r="1054" spans="1:4" hidden="1" x14ac:dyDescent="0.35">
      <c r="A1054" t="s">
        <v>6</v>
      </c>
      <c r="B1054" t="s">
        <v>6</v>
      </c>
      <c r="C1054" t="s">
        <v>185</v>
      </c>
      <c r="D1054">
        <v>1</v>
      </c>
    </row>
    <row r="1055" spans="1:4" hidden="1" x14ac:dyDescent="0.35">
      <c r="A1055" t="s">
        <v>6</v>
      </c>
      <c r="B1055" t="s">
        <v>6</v>
      </c>
      <c r="C1055" t="s">
        <v>185</v>
      </c>
      <c r="D1055">
        <v>1</v>
      </c>
    </row>
    <row r="1056" spans="1:4" hidden="1" x14ac:dyDescent="0.35">
      <c r="A1056" t="s">
        <v>6</v>
      </c>
      <c r="B1056" t="s">
        <v>6</v>
      </c>
      <c r="C1056" t="s">
        <v>185</v>
      </c>
      <c r="D1056">
        <v>1</v>
      </c>
    </row>
    <row r="1057" spans="1:4" hidden="1" x14ac:dyDescent="0.35">
      <c r="A1057" t="s">
        <v>6</v>
      </c>
      <c r="B1057" t="s">
        <v>6</v>
      </c>
      <c r="C1057" t="s">
        <v>185</v>
      </c>
      <c r="D1057">
        <v>1</v>
      </c>
    </row>
    <row r="1058" spans="1:4" hidden="1" x14ac:dyDescent="0.35">
      <c r="A1058" t="s">
        <v>126</v>
      </c>
      <c r="B1058" t="s">
        <v>6</v>
      </c>
      <c r="C1058" t="s">
        <v>185</v>
      </c>
      <c r="D1058">
        <v>1</v>
      </c>
    </row>
    <row r="1059" spans="1:4" hidden="1" x14ac:dyDescent="0.35">
      <c r="A1059" t="s">
        <v>126</v>
      </c>
      <c r="B1059" t="s">
        <v>6</v>
      </c>
      <c r="C1059" t="s">
        <v>185</v>
      </c>
      <c r="D1059">
        <v>1</v>
      </c>
    </row>
    <row r="1060" spans="1:4" hidden="1" x14ac:dyDescent="0.35">
      <c r="A1060" t="s">
        <v>6</v>
      </c>
      <c r="B1060" t="s">
        <v>6</v>
      </c>
      <c r="C1060" t="s">
        <v>185</v>
      </c>
      <c r="D1060">
        <v>1</v>
      </c>
    </row>
    <row r="1061" spans="1:4" hidden="1" x14ac:dyDescent="0.35">
      <c r="A1061" t="s">
        <v>6</v>
      </c>
      <c r="B1061" t="s">
        <v>6</v>
      </c>
      <c r="C1061" t="s">
        <v>185</v>
      </c>
      <c r="D1061">
        <v>1</v>
      </c>
    </row>
    <row r="1062" spans="1:4" hidden="1" x14ac:dyDescent="0.35">
      <c r="A1062" t="s">
        <v>6</v>
      </c>
      <c r="B1062" t="s">
        <v>6</v>
      </c>
      <c r="C1062" t="s">
        <v>185</v>
      </c>
      <c r="D1062">
        <v>1</v>
      </c>
    </row>
    <row r="1063" spans="1:4" hidden="1" x14ac:dyDescent="0.35">
      <c r="A1063" t="s">
        <v>6</v>
      </c>
      <c r="B1063" t="s">
        <v>6</v>
      </c>
      <c r="C1063" t="s">
        <v>185</v>
      </c>
      <c r="D1063">
        <v>1</v>
      </c>
    </row>
    <row r="1064" spans="1:4" hidden="1" x14ac:dyDescent="0.35">
      <c r="A1064" t="s">
        <v>126</v>
      </c>
      <c r="B1064" t="s">
        <v>6</v>
      </c>
      <c r="C1064" t="s">
        <v>185</v>
      </c>
      <c r="D1064">
        <v>1</v>
      </c>
    </row>
    <row r="1065" spans="1:4" hidden="1" x14ac:dyDescent="0.35">
      <c r="A1065" t="s">
        <v>126</v>
      </c>
      <c r="B1065" t="s">
        <v>6</v>
      </c>
      <c r="C1065" t="s">
        <v>185</v>
      </c>
      <c r="D1065">
        <v>1</v>
      </c>
    </row>
    <row r="1066" spans="1:4" hidden="1" x14ac:dyDescent="0.35">
      <c r="A1066" t="s">
        <v>126</v>
      </c>
      <c r="B1066" t="s">
        <v>6</v>
      </c>
      <c r="C1066" t="s">
        <v>185</v>
      </c>
      <c r="D1066">
        <v>1</v>
      </c>
    </row>
    <row r="1067" spans="1:4" hidden="1" x14ac:dyDescent="0.35">
      <c r="A1067" t="s">
        <v>126</v>
      </c>
      <c r="B1067" t="s">
        <v>6</v>
      </c>
      <c r="C1067" t="s">
        <v>185</v>
      </c>
      <c r="D1067">
        <v>1</v>
      </c>
    </row>
    <row r="1068" spans="1:4" hidden="1" x14ac:dyDescent="0.35">
      <c r="A1068" t="s">
        <v>126</v>
      </c>
      <c r="B1068" t="s">
        <v>6</v>
      </c>
      <c r="C1068" t="s">
        <v>185</v>
      </c>
      <c r="D1068">
        <v>1</v>
      </c>
    </row>
    <row r="1069" spans="1:4" hidden="1" x14ac:dyDescent="0.35">
      <c r="A1069" t="s">
        <v>126</v>
      </c>
      <c r="B1069" t="s">
        <v>6</v>
      </c>
      <c r="C1069" t="s">
        <v>185</v>
      </c>
      <c r="D1069">
        <v>1</v>
      </c>
    </row>
    <row r="1070" spans="1:4" hidden="1" x14ac:dyDescent="0.35">
      <c r="A1070" t="s">
        <v>126</v>
      </c>
      <c r="B1070" t="s">
        <v>6</v>
      </c>
      <c r="C1070" t="s">
        <v>185</v>
      </c>
      <c r="D1070">
        <v>1</v>
      </c>
    </row>
    <row r="1071" spans="1:4" hidden="1" x14ac:dyDescent="0.35">
      <c r="A1071" t="s">
        <v>126</v>
      </c>
      <c r="B1071" t="s">
        <v>6</v>
      </c>
      <c r="C1071" t="s">
        <v>185</v>
      </c>
      <c r="D1071">
        <v>1</v>
      </c>
    </row>
    <row r="1072" spans="1:4" hidden="1" x14ac:dyDescent="0.35">
      <c r="A1072" t="s">
        <v>6</v>
      </c>
      <c r="B1072" t="s">
        <v>6</v>
      </c>
      <c r="C1072" t="s">
        <v>185</v>
      </c>
      <c r="D1072">
        <v>1</v>
      </c>
    </row>
    <row r="1073" spans="1:4" hidden="1" x14ac:dyDescent="0.35">
      <c r="A1073" t="s">
        <v>6</v>
      </c>
      <c r="B1073" t="s">
        <v>6</v>
      </c>
      <c r="C1073" t="s">
        <v>185</v>
      </c>
      <c r="D1073">
        <v>1</v>
      </c>
    </row>
    <row r="1074" spans="1:4" hidden="1" x14ac:dyDescent="0.35">
      <c r="A1074" t="s">
        <v>6</v>
      </c>
      <c r="B1074" t="s">
        <v>6</v>
      </c>
      <c r="C1074" t="s">
        <v>185</v>
      </c>
      <c r="D1074">
        <v>1</v>
      </c>
    </row>
    <row r="1075" spans="1:4" hidden="1" x14ac:dyDescent="0.35">
      <c r="A1075" t="s">
        <v>126</v>
      </c>
      <c r="B1075" t="s">
        <v>6</v>
      </c>
      <c r="C1075" t="s">
        <v>185</v>
      </c>
      <c r="D1075">
        <v>1</v>
      </c>
    </row>
    <row r="1076" spans="1:4" hidden="1" x14ac:dyDescent="0.35">
      <c r="A1076" t="s">
        <v>126</v>
      </c>
      <c r="B1076" t="s">
        <v>6</v>
      </c>
      <c r="C1076" t="s">
        <v>185</v>
      </c>
      <c r="D1076">
        <v>1</v>
      </c>
    </row>
    <row r="1077" spans="1:4" hidden="1" x14ac:dyDescent="0.35">
      <c r="A1077" t="s">
        <v>126</v>
      </c>
      <c r="B1077" t="s">
        <v>6</v>
      </c>
      <c r="C1077" t="s">
        <v>185</v>
      </c>
      <c r="D1077">
        <v>1</v>
      </c>
    </row>
    <row r="1078" spans="1:4" hidden="1" x14ac:dyDescent="0.35">
      <c r="A1078" t="s">
        <v>126</v>
      </c>
      <c r="B1078" t="s">
        <v>6</v>
      </c>
      <c r="C1078" t="s">
        <v>185</v>
      </c>
      <c r="D1078">
        <v>1</v>
      </c>
    </row>
    <row r="1079" spans="1:4" hidden="1" x14ac:dyDescent="0.35">
      <c r="A1079" t="s">
        <v>126</v>
      </c>
      <c r="B1079" t="s">
        <v>6</v>
      </c>
      <c r="C1079" t="s">
        <v>185</v>
      </c>
      <c r="D1079">
        <v>1</v>
      </c>
    </row>
    <row r="1080" spans="1:4" hidden="1" x14ac:dyDescent="0.35">
      <c r="A1080" t="s">
        <v>126</v>
      </c>
      <c r="B1080" t="s">
        <v>6</v>
      </c>
      <c r="C1080" t="s">
        <v>185</v>
      </c>
      <c r="D1080">
        <v>1</v>
      </c>
    </row>
    <row r="1081" spans="1:4" hidden="1" x14ac:dyDescent="0.35">
      <c r="A1081" t="s">
        <v>6</v>
      </c>
      <c r="B1081" t="s">
        <v>6</v>
      </c>
      <c r="C1081" t="s">
        <v>185</v>
      </c>
      <c r="D1081">
        <v>1</v>
      </c>
    </row>
    <row r="1082" spans="1:4" hidden="1" x14ac:dyDescent="0.35">
      <c r="A1082" t="s">
        <v>6</v>
      </c>
      <c r="B1082" t="s">
        <v>6</v>
      </c>
      <c r="C1082" t="s">
        <v>185</v>
      </c>
      <c r="D1082">
        <v>1</v>
      </c>
    </row>
    <row r="1083" spans="1:4" hidden="1" x14ac:dyDescent="0.35">
      <c r="A1083" t="s">
        <v>6</v>
      </c>
      <c r="B1083" t="s">
        <v>6</v>
      </c>
      <c r="C1083" t="s">
        <v>185</v>
      </c>
      <c r="D1083">
        <v>1</v>
      </c>
    </row>
    <row r="1084" spans="1:4" hidden="1" x14ac:dyDescent="0.35">
      <c r="A1084" t="s">
        <v>126</v>
      </c>
      <c r="B1084" t="s">
        <v>6</v>
      </c>
      <c r="C1084" t="s">
        <v>185</v>
      </c>
      <c r="D1084">
        <v>1</v>
      </c>
    </row>
    <row r="1085" spans="1:4" hidden="1" x14ac:dyDescent="0.35">
      <c r="A1085" t="s">
        <v>126</v>
      </c>
      <c r="B1085" t="s">
        <v>6</v>
      </c>
      <c r="C1085" t="s">
        <v>185</v>
      </c>
      <c r="D1085">
        <v>1</v>
      </c>
    </row>
    <row r="1086" spans="1:4" hidden="1" x14ac:dyDescent="0.35">
      <c r="A1086" t="s">
        <v>126</v>
      </c>
      <c r="B1086" t="s">
        <v>6</v>
      </c>
      <c r="C1086" t="s">
        <v>185</v>
      </c>
      <c r="D1086">
        <v>1</v>
      </c>
    </row>
    <row r="1087" spans="1:4" hidden="1" x14ac:dyDescent="0.35">
      <c r="A1087" t="s">
        <v>126</v>
      </c>
      <c r="B1087" t="s">
        <v>6</v>
      </c>
      <c r="C1087" t="s">
        <v>185</v>
      </c>
      <c r="D1087">
        <v>1</v>
      </c>
    </row>
    <row r="1088" spans="1:4" hidden="1" x14ac:dyDescent="0.35">
      <c r="A1088" t="s">
        <v>126</v>
      </c>
      <c r="B1088" t="s">
        <v>6</v>
      </c>
      <c r="C1088" t="s">
        <v>185</v>
      </c>
      <c r="D1088">
        <v>1</v>
      </c>
    </row>
    <row r="1089" spans="1:4" hidden="1" x14ac:dyDescent="0.35">
      <c r="A1089" t="s">
        <v>126</v>
      </c>
      <c r="B1089" t="s">
        <v>6</v>
      </c>
      <c r="C1089" t="s">
        <v>185</v>
      </c>
      <c r="D1089">
        <v>1</v>
      </c>
    </row>
    <row r="1090" spans="1:4" hidden="1" x14ac:dyDescent="0.35">
      <c r="A1090" t="s">
        <v>126</v>
      </c>
      <c r="B1090" t="s">
        <v>6</v>
      </c>
      <c r="C1090" t="s">
        <v>185</v>
      </c>
      <c r="D1090">
        <v>1</v>
      </c>
    </row>
    <row r="1091" spans="1:4" hidden="1" x14ac:dyDescent="0.35">
      <c r="A1091" t="s">
        <v>6</v>
      </c>
      <c r="B1091" t="s">
        <v>6</v>
      </c>
      <c r="C1091" t="s">
        <v>185</v>
      </c>
      <c r="D1091">
        <v>1</v>
      </c>
    </row>
    <row r="1092" spans="1:4" hidden="1" x14ac:dyDescent="0.35">
      <c r="A1092" t="s">
        <v>6</v>
      </c>
      <c r="B1092" t="s">
        <v>6</v>
      </c>
      <c r="C1092" t="s">
        <v>185</v>
      </c>
      <c r="D1092">
        <v>1</v>
      </c>
    </row>
    <row r="1093" spans="1:4" hidden="1" x14ac:dyDescent="0.35">
      <c r="A1093" t="s">
        <v>6</v>
      </c>
      <c r="B1093" t="s">
        <v>6</v>
      </c>
      <c r="C1093" t="s">
        <v>185</v>
      </c>
      <c r="D1093">
        <v>1</v>
      </c>
    </row>
    <row r="1094" spans="1:4" hidden="1" x14ac:dyDescent="0.35">
      <c r="A1094" t="s">
        <v>6</v>
      </c>
      <c r="B1094" t="s">
        <v>6</v>
      </c>
      <c r="C1094" t="s">
        <v>185</v>
      </c>
      <c r="D1094">
        <v>1</v>
      </c>
    </row>
    <row r="1095" spans="1:4" hidden="1" x14ac:dyDescent="0.35">
      <c r="A1095" t="s">
        <v>6</v>
      </c>
      <c r="B1095" t="s">
        <v>6</v>
      </c>
      <c r="C1095" t="s">
        <v>185</v>
      </c>
      <c r="D1095">
        <v>1</v>
      </c>
    </row>
    <row r="1096" spans="1:4" hidden="1" x14ac:dyDescent="0.35">
      <c r="A1096" t="s">
        <v>6</v>
      </c>
      <c r="B1096" t="s">
        <v>6</v>
      </c>
      <c r="C1096" t="s">
        <v>185</v>
      </c>
      <c r="D1096">
        <v>1</v>
      </c>
    </row>
    <row r="1097" spans="1:4" hidden="1" x14ac:dyDescent="0.35">
      <c r="A1097" t="s">
        <v>6</v>
      </c>
      <c r="B1097" t="s">
        <v>6</v>
      </c>
      <c r="C1097" t="s">
        <v>185</v>
      </c>
      <c r="D1097">
        <v>1</v>
      </c>
    </row>
    <row r="1098" spans="1:4" hidden="1" x14ac:dyDescent="0.35">
      <c r="A1098" t="s">
        <v>6</v>
      </c>
      <c r="B1098" t="s">
        <v>6</v>
      </c>
      <c r="C1098" t="s">
        <v>185</v>
      </c>
      <c r="D1098">
        <v>1</v>
      </c>
    </row>
    <row r="1099" spans="1:4" hidden="1" x14ac:dyDescent="0.35">
      <c r="A1099" t="s">
        <v>6</v>
      </c>
      <c r="B1099" t="s">
        <v>6</v>
      </c>
      <c r="C1099" t="s">
        <v>185</v>
      </c>
      <c r="D1099">
        <v>1</v>
      </c>
    </row>
    <row r="1100" spans="1:4" hidden="1" x14ac:dyDescent="0.35">
      <c r="A1100" t="s">
        <v>6</v>
      </c>
      <c r="B1100" t="s">
        <v>6</v>
      </c>
      <c r="C1100" t="s">
        <v>185</v>
      </c>
      <c r="D1100">
        <v>1</v>
      </c>
    </row>
    <row r="1101" spans="1:4" hidden="1" x14ac:dyDescent="0.35">
      <c r="A1101" t="s">
        <v>126</v>
      </c>
      <c r="B1101" t="s">
        <v>6</v>
      </c>
      <c r="C1101" t="s">
        <v>185</v>
      </c>
      <c r="D1101">
        <v>1</v>
      </c>
    </row>
    <row r="1102" spans="1:4" hidden="1" x14ac:dyDescent="0.35">
      <c r="A1102" t="s">
        <v>126</v>
      </c>
      <c r="B1102" t="s">
        <v>6</v>
      </c>
      <c r="C1102" t="s">
        <v>185</v>
      </c>
      <c r="D1102">
        <v>1</v>
      </c>
    </row>
    <row r="1103" spans="1:4" hidden="1" x14ac:dyDescent="0.35">
      <c r="A1103" t="s">
        <v>126</v>
      </c>
      <c r="B1103" t="s">
        <v>6</v>
      </c>
      <c r="C1103" t="s">
        <v>185</v>
      </c>
      <c r="D1103">
        <v>1</v>
      </c>
    </row>
    <row r="1104" spans="1:4" hidden="1" x14ac:dyDescent="0.35">
      <c r="A1104" t="s">
        <v>126</v>
      </c>
      <c r="B1104" t="s">
        <v>6</v>
      </c>
      <c r="C1104" t="s">
        <v>185</v>
      </c>
      <c r="D1104">
        <v>1</v>
      </c>
    </row>
    <row r="1105" spans="1:4" hidden="1" x14ac:dyDescent="0.35">
      <c r="A1105" t="s">
        <v>126</v>
      </c>
      <c r="B1105" t="s">
        <v>6</v>
      </c>
      <c r="C1105" t="s">
        <v>185</v>
      </c>
      <c r="D1105">
        <v>1</v>
      </c>
    </row>
    <row r="1106" spans="1:4" hidden="1" x14ac:dyDescent="0.35">
      <c r="A1106" t="s">
        <v>6</v>
      </c>
      <c r="B1106" t="s">
        <v>6</v>
      </c>
      <c r="C1106" t="s">
        <v>185</v>
      </c>
      <c r="D1106">
        <v>1</v>
      </c>
    </row>
    <row r="1107" spans="1:4" hidden="1" x14ac:dyDescent="0.35">
      <c r="A1107" t="s">
        <v>6</v>
      </c>
      <c r="B1107" t="s">
        <v>6</v>
      </c>
      <c r="C1107" t="s">
        <v>185</v>
      </c>
      <c r="D1107">
        <v>1</v>
      </c>
    </row>
    <row r="1108" spans="1:4" hidden="1" x14ac:dyDescent="0.35">
      <c r="A1108" t="s">
        <v>6</v>
      </c>
      <c r="B1108" t="s">
        <v>6</v>
      </c>
      <c r="C1108" t="s">
        <v>185</v>
      </c>
      <c r="D1108">
        <v>1</v>
      </c>
    </row>
    <row r="1109" spans="1:4" hidden="1" x14ac:dyDescent="0.35">
      <c r="A1109" t="s">
        <v>126</v>
      </c>
      <c r="B1109" t="s">
        <v>6</v>
      </c>
      <c r="C1109" t="s">
        <v>185</v>
      </c>
      <c r="D1109">
        <v>1</v>
      </c>
    </row>
    <row r="1110" spans="1:4" hidden="1" x14ac:dyDescent="0.35">
      <c r="A1110" t="s">
        <v>126</v>
      </c>
      <c r="B1110" t="s">
        <v>6</v>
      </c>
      <c r="C1110" t="s">
        <v>185</v>
      </c>
      <c r="D1110">
        <v>1</v>
      </c>
    </row>
    <row r="1111" spans="1:4" hidden="1" x14ac:dyDescent="0.35">
      <c r="A1111" t="s">
        <v>6</v>
      </c>
      <c r="B1111" t="s">
        <v>6</v>
      </c>
      <c r="C1111" t="s">
        <v>185</v>
      </c>
      <c r="D1111">
        <v>1</v>
      </c>
    </row>
    <row r="1112" spans="1:4" hidden="1" x14ac:dyDescent="0.35">
      <c r="A1112" t="s">
        <v>6</v>
      </c>
      <c r="B1112" t="s">
        <v>6</v>
      </c>
      <c r="C1112" t="s">
        <v>185</v>
      </c>
      <c r="D1112">
        <v>1</v>
      </c>
    </row>
    <row r="1113" spans="1:4" hidden="1" x14ac:dyDescent="0.35">
      <c r="A1113" t="s">
        <v>126</v>
      </c>
      <c r="B1113" t="s">
        <v>6</v>
      </c>
      <c r="C1113" t="s">
        <v>185</v>
      </c>
      <c r="D1113">
        <v>1</v>
      </c>
    </row>
    <row r="1114" spans="1:4" hidden="1" x14ac:dyDescent="0.35">
      <c r="A1114" t="s">
        <v>6</v>
      </c>
      <c r="B1114" t="s">
        <v>6</v>
      </c>
      <c r="C1114" t="s">
        <v>185</v>
      </c>
      <c r="D1114">
        <v>1</v>
      </c>
    </row>
    <row r="1115" spans="1:4" hidden="1" x14ac:dyDescent="0.35">
      <c r="A1115" t="s">
        <v>6</v>
      </c>
      <c r="B1115" t="s">
        <v>6</v>
      </c>
      <c r="C1115" t="s">
        <v>185</v>
      </c>
      <c r="D1115">
        <v>1</v>
      </c>
    </row>
    <row r="1116" spans="1:4" hidden="1" x14ac:dyDescent="0.35">
      <c r="A1116" t="s">
        <v>6</v>
      </c>
      <c r="B1116" t="s">
        <v>6</v>
      </c>
      <c r="C1116" t="s">
        <v>185</v>
      </c>
      <c r="D1116">
        <v>1</v>
      </c>
    </row>
    <row r="1117" spans="1:4" hidden="1" x14ac:dyDescent="0.35">
      <c r="A1117" t="s">
        <v>6</v>
      </c>
      <c r="B1117" t="s">
        <v>6</v>
      </c>
      <c r="C1117" t="s">
        <v>185</v>
      </c>
      <c r="D1117">
        <v>1</v>
      </c>
    </row>
    <row r="1118" spans="1:4" hidden="1" x14ac:dyDescent="0.35">
      <c r="A1118" t="s">
        <v>6</v>
      </c>
      <c r="B1118" t="s">
        <v>6</v>
      </c>
      <c r="C1118" t="s">
        <v>185</v>
      </c>
      <c r="D1118">
        <v>1</v>
      </c>
    </row>
    <row r="1119" spans="1:4" hidden="1" x14ac:dyDescent="0.35">
      <c r="A1119" t="s">
        <v>6</v>
      </c>
      <c r="B1119" t="s">
        <v>6</v>
      </c>
      <c r="C1119" t="s">
        <v>185</v>
      </c>
      <c r="D1119">
        <v>1</v>
      </c>
    </row>
    <row r="1120" spans="1:4" hidden="1" x14ac:dyDescent="0.35">
      <c r="A1120" t="s">
        <v>6</v>
      </c>
      <c r="B1120" t="s">
        <v>6</v>
      </c>
      <c r="C1120" t="s">
        <v>185</v>
      </c>
      <c r="D1120">
        <v>1</v>
      </c>
    </row>
    <row r="1121" spans="1:4" hidden="1" x14ac:dyDescent="0.35">
      <c r="A1121" t="s">
        <v>126</v>
      </c>
      <c r="B1121" t="s">
        <v>6</v>
      </c>
      <c r="C1121" t="s">
        <v>185</v>
      </c>
      <c r="D1121">
        <v>1</v>
      </c>
    </row>
    <row r="1122" spans="1:4" hidden="1" x14ac:dyDescent="0.35">
      <c r="A1122" t="s">
        <v>126</v>
      </c>
      <c r="B1122" t="s">
        <v>6</v>
      </c>
      <c r="C1122" t="s">
        <v>185</v>
      </c>
      <c r="D1122">
        <v>1</v>
      </c>
    </row>
    <row r="1123" spans="1:4" hidden="1" x14ac:dyDescent="0.35">
      <c r="A1123" t="s">
        <v>126</v>
      </c>
      <c r="B1123" t="s">
        <v>6</v>
      </c>
      <c r="C1123" t="s">
        <v>185</v>
      </c>
      <c r="D1123">
        <v>1</v>
      </c>
    </row>
    <row r="1124" spans="1:4" hidden="1" x14ac:dyDescent="0.35">
      <c r="A1124" t="s">
        <v>126</v>
      </c>
      <c r="B1124" t="s">
        <v>6</v>
      </c>
      <c r="C1124" t="s">
        <v>185</v>
      </c>
      <c r="D1124">
        <v>1</v>
      </c>
    </row>
    <row r="1125" spans="1:4" hidden="1" x14ac:dyDescent="0.35">
      <c r="A1125" t="s">
        <v>6</v>
      </c>
      <c r="B1125" t="s">
        <v>6</v>
      </c>
      <c r="C1125" t="s">
        <v>185</v>
      </c>
      <c r="D1125">
        <v>1</v>
      </c>
    </row>
    <row r="1126" spans="1:4" hidden="1" x14ac:dyDescent="0.35">
      <c r="A1126" t="s">
        <v>6</v>
      </c>
      <c r="B1126" t="s">
        <v>6</v>
      </c>
      <c r="C1126" t="s">
        <v>185</v>
      </c>
      <c r="D1126">
        <v>1</v>
      </c>
    </row>
    <row r="1127" spans="1:4" hidden="1" x14ac:dyDescent="0.35">
      <c r="A1127" t="s">
        <v>6</v>
      </c>
      <c r="B1127" t="s">
        <v>6</v>
      </c>
      <c r="C1127" t="s">
        <v>185</v>
      </c>
      <c r="D1127">
        <v>1</v>
      </c>
    </row>
    <row r="1128" spans="1:4" hidden="1" x14ac:dyDescent="0.35">
      <c r="A1128" t="s">
        <v>6</v>
      </c>
      <c r="B1128" t="s">
        <v>6</v>
      </c>
      <c r="C1128" t="s">
        <v>185</v>
      </c>
      <c r="D1128">
        <v>1</v>
      </c>
    </row>
    <row r="1129" spans="1:4" hidden="1" x14ac:dyDescent="0.35">
      <c r="A1129" t="s">
        <v>6</v>
      </c>
      <c r="B1129" t="s">
        <v>6</v>
      </c>
      <c r="C1129" t="s">
        <v>185</v>
      </c>
      <c r="D1129">
        <v>1</v>
      </c>
    </row>
    <row r="1130" spans="1:4" hidden="1" x14ac:dyDescent="0.35">
      <c r="A1130" t="s">
        <v>126</v>
      </c>
      <c r="B1130" t="s">
        <v>6</v>
      </c>
      <c r="C1130" t="s">
        <v>185</v>
      </c>
      <c r="D1130">
        <v>1</v>
      </c>
    </row>
    <row r="1131" spans="1:4" hidden="1" x14ac:dyDescent="0.35">
      <c r="A1131" t="s">
        <v>126</v>
      </c>
      <c r="B1131" t="s">
        <v>6</v>
      </c>
      <c r="C1131" t="s">
        <v>185</v>
      </c>
      <c r="D1131">
        <v>1</v>
      </c>
    </row>
    <row r="1132" spans="1:4" hidden="1" x14ac:dyDescent="0.35">
      <c r="A1132" t="s">
        <v>126</v>
      </c>
      <c r="B1132" t="s">
        <v>6</v>
      </c>
      <c r="C1132" t="s">
        <v>185</v>
      </c>
      <c r="D1132">
        <v>1</v>
      </c>
    </row>
    <row r="1133" spans="1:4" hidden="1" x14ac:dyDescent="0.35">
      <c r="A1133" t="s">
        <v>126</v>
      </c>
      <c r="B1133" t="s">
        <v>6</v>
      </c>
      <c r="C1133" t="s">
        <v>185</v>
      </c>
      <c r="D1133">
        <v>1</v>
      </c>
    </row>
    <row r="1134" spans="1:4" hidden="1" x14ac:dyDescent="0.35">
      <c r="A1134" t="s">
        <v>126</v>
      </c>
      <c r="B1134" t="s">
        <v>6</v>
      </c>
      <c r="C1134" t="s">
        <v>185</v>
      </c>
      <c r="D1134">
        <v>1</v>
      </c>
    </row>
    <row r="1135" spans="1:4" hidden="1" x14ac:dyDescent="0.35">
      <c r="A1135" t="s">
        <v>126</v>
      </c>
      <c r="B1135" t="s">
        <v>6</v>
      </c>
      <c r="C1135" t="s">
        <v>185</v>
      </c>
      <c r="D1135">
        <v>1</v>
      </c>
    </row>
    <row r="1136" spans="1:4" hidden="1" x14ac:dyDescent="0.35">
      <c r="A1136" t="s">
        <v>126</v>
      </c>
      <c r="B1136" t="s">
        <v>6</v>
      </c>
      <c r="C1136" t="s">
        <v>185</v>
      </c>
      <c r="D1136">
        <v>1</v>
      </c>
    </row>
    <row r="1137" spans="1:4" hidden="1" x14ac:dyDescent="0.35">
      <c r="A1137" t="s">
        <v>6</v>
      </c>
      <c r="B1137" t="s">
        <v>6</v>
      </c>
      <c r="C1137" t="s">
        <v>185</v>
      </c>
      <c r="D1137">
        <v>1</v>
      </c>
    </row>
    <row r="1138" spans="1:4" hidden="1" x14ac:dyDescent="0.35">
      <c r="A1138" t="s">
        <v>6</v>
      </c>
      <c r="B1138" t="s">
        <v>6</v>
      </c>
      <c r="C1138" t="s">
        <v>185</v>
      </c>
      <c r="D1138">
        <v>1</v>
      </c>
    </row>
    <row r="1139" spans="1:4" hidden="1" x14ac:dyDescent="0.35">
      <c r="A1139" t="s">
        <v>6</v>
      </c>
      <c r="B1139" t="s">
        <v>6</v>
      </c>
      <c r="C1139" t="s">
        <v>185</v>
      </c>
      <c r="D1139">
        <v>1</v>
      </c>
    </row>
    <row r="1140" spans="1:4" hidden="1" x14ac:dyDescent="0.35">
      <c r="A1140" t="s">
        <v>6</v>
      </c>
      <c r="B1140" t="s">
        <v>6</v>
      </c>
      <c r="C1140" t="s">
        <v>185</v>
      </c>
      <c r="D1140">
        <v>1</v>
      </c>
    </row>
    <row r="1141" spans="1:4" hidden="1" x14ac:dyDescent="0.35">
      <c r="A1141" t="s">
        <v>6</v>
      </c>
      <c r="B1141" t="s">
        <v>6</v>
      </c>
      <c r="C1141" t="s">
        <v>185</v>
      </c>
      <c r="D1141">
        <v>1</v>
      </c>
    </row>
    <row r="1142" spans="1:4" hidden="1" x14ac:dyDescent="0.35">
      <c r="A1142" t="s">
        <v>6</v>
      </c>
      <c r="B1142" t="s">
        <v>6</v>
      </c>
      <c r="C1142" t="s">
        <v>185</v>
      </c>
      <c r="D1142">
        <v>1</v>
      </c>
    </row>
    <row r="1143" spans="1:4" hidden="1" x14ac:dyDescent="0.35">
      <c r="A1143" t="s">
        <v>126</v>
      </c>
      <c r="B1143" t="s">
        <v>6</v>
      </c>
      <c r="C1143" t="s">
        <v>185</v>
      </c>
      <c r="D1143">
        <v>1</v>
      </c>
    </row>
    <row r="1144" spans="1:4" hidden="1" x14ac:dyDescent="0.35">
      <c r="A1144" t="s">
        <v>126</v>
      </c>
      <c r="B1144" t="s">
        <v>6</v>
      </c>
      <c r="C1144" t="s">
        <v>185</v>
      </c>
      <c r="D1144">
        <v>1</v>
      </c>
    </row>
    <row r="1145" spans="1:4" hidden="1" x14ac:dyDescent="0.35">
      <c r="A1145" t="s">
        <v>6</v>
      </c>
      <c r="B1145" t="s">
        <v>6</v>
      </c>
      <c r="C1145" t="s">
        <v>185</v>
      </c>
      <c r="D1145">
        <v>1</v>
      </c>
    </row>
    <row r="1146" spans="1:4" hidden="1" x14ac:dyDescent="0.35">
      <c r="A1146" t="s">
        <v>6</v>
      </c>
      <c r="B1146" t="s">
        <v>6</v>
      </c>
      <c r="C1146" t="s">
        <v>185</v>
      </c>
      <c r="D1146">
        <v>1</v>
      </c>
    </row>
    <row r="1147" spans="1:4" hidden="1" x14ac:dyDescent="0.35">
      <c r="A1147" t="s">
        <v>6</v>
      </c>
      <c r="B1147" t="s">
        <v>6</v>
      </c>
      <c r="C1147" t="s">
        <v>185</v>
      </c>
      <c r="D1147">
        <v>1</v>
      </c>
    </row>
    <row r="1148" spans="1:4" hidden="1" x14ac:dyDescent="0.35">
      <c r="A1148" t="s">
        <v>126</v>
      </c>
      <c r="B1148" t="s">
        <v>6</v>
      </c>
      <c r="C1148" t="s">
        <v>185</v>
      </c>
      <c r="D1148">
        <v>1</v>
      </c>
    </row>
    <row r="1149" spans="1:4" hidden="1" x14ac:dyDescent="0.35">
      <c r="A1149" t="s">
        <v>126</v>
      </c>
      <c r="B1149" t="s">
        <v>6</v>
      </c>
      <c r="C1149" t="s">
        <v>185</v>
      </c>
      <c r="D1149">
        <v>1</v>
      </c>
    </row>
    <row r="1150" spans="1:4" hidden="1" x14ac:dyDescent="0.35">
      <c r="A1150" t="s">
        <v>126</v>
      </c>
      <c r="B1150" t="s">
        <v>6</v>
      </c>
      <c r="C1150" t="s">
        <v>185</v>
      </c>
      <c r="D1150">
        <v>1</v>
      </c>
    </row>
    <row r="1151" spans="1:4" hidden="1" x14ac:dyDescent="0.35">
      <c r="A1151" t="s">
        <v>6</v>
      </c>
      <c r="B1151" t="s">
        <v>6</v>
      </c>
      <c r="C1151" t="s">
        <v>185</v>
      </c>
      <c r="D1151">
        <v>1</v>
      </c>
    </row>
    <row r="1152" spans="1:4" hidden="1" x14ac:dyDescent="0.35">
      <c r="A1152" t="s">
        <v>6</v>
      </c>
      <c r="B1152" t="s">
        <v>6</v>
      </c>
      <c r="C1152" t="s">
        <v>185</v>
      </c>
      <c r="D1152">
        <v>1</v>
      </c>
    </row>
    <row r="1153" spans="1:4" hidden="1" x14ac:dyDescent="0.35">
      <c r="A1153" t="s">
        <v>6</v>
      </c>
      <c r="B1153" t="s">
        <v>6</v>
      </c>
      <c r="C1153" t="s">
        <v>185</v>
      </c>
      <c r="D1153">
        <v>1</v>
      </c>
    </row>
    <row r="1154" spans="1:4" hidden="1" x14ac:dyDescent="0.35">
      <c r="A1154" t="s">
        <v>6</v>
      </c>
      <c r="B1154" t="s">
        <v>6</v>
      </c>
      <c r="C1154" t="s">
        <v>185</v>
      </c>
      <c r="D1154">
        <v>1</v>
      </c>
    </row>
    <row r="1155" spans="1:4" hidden="1" x14ac:dyDescent="0.35">
      <c r="A1155" t="s">
        <v>126</v>
      </c>
      <c r="B1155" t="s">
        <v>6</v>
      </c>
      <c r="C1155" t="s">
        <v>185</v>
      </c>
      <c r="D1155">
        <v>1</v>
      </c>
    </row>
    <row r="1156" spans="1:4" hidden="1" x14ac:dyDescent="0.35">
      <c r="A1156" t="s">
        <v>126</v>
      </c>
      <c r="B1156" t="s">
        <v>6</v>
      </c>
      <c r="C1156" t="s">
        <v>185</v>
      </c>
      <c r="D1156">
        <v>1</v>
      </c>
    </row>
    <row r="1157" spans="1:4" hidden="1" x14ac:dyDescent="0.35">
      <c r="A1157" t="s">
        <v>126</v>
      </c>
      <c r="B1157" t="s">
        <v>6</v>
      </c>
      <c r="C1157" t="s">
        <v>185</v>
      </c>
      <c r="D1157">
        <v>1</v>
      </c>
    </row>
    <row r="1158" spans="1:4" hidden="1" x14ac:dyDescent="0.35">
      <c r="A1158" t="s">
        <v>6</v>
      </c>
      <c r="B1158" t="s">
        <v>6</v>
      </c>
      <c r="C1158" t="s">
        <v>185</v>
      </c>
      <c r="D1158">
        <v>1</v>
      </c>
    </row>
    <row r="1159" spans="1:4" hidden="1" x14ac:dyDescent="0.35">
      <c r="A1159" t="s">
        <v>6</v>
      </c>
      <c r="B1159" t="s">
        <v>6</v>
      </c>
      <c r="C1159" t="s">
        <v>185</v>
      </c>
      <c r="D1159">
        <v>1</v>
      </c>
    </row>
    <row r="1160" spans="1:4" hidden="1" x14ac:dyDescent="0.35">
      <c r="A1160" t="s">
        <v>6</v>
      </c>
      <c r="B1160" t="s">
        <v>6</v>
      </c>
      <c r="C1160" t="s">
        <v>185</v>
      </c>
      <c r="D1160">
        <v>1</v>
      </c>
    </row>
    <row r="1161" spans="1:4" hidden="1" x14ac:dyDescent="0.35">
      <c r="A1161" t="s">
        <v>6</v>
      </c>
      <c r="B1161" t="s">
        <v>6</v>
      </c>
      <c r="C1161" t="s">
        <v>185</v>
      </c>
      <c r="D1161">
        <v>1</v>
      </c>
    </row>
    <row r="1162" spans="1:4" hidden="1" x14ac:dyDescent="0.35">
      <c r="A1162" t="s">
        <v>6</v>
      </c>
      <c r="B1162" t="s">
        <v>6</v>
      </c>
      <c r="C1162" t="s">
        <v>185</v>
      </c>
      <c r="D1162">
        <v>1</v>
      </c>
    </row>
    <row r="1163" spans="1:4" hidden="1" x14ac:dyDescent="0.35">
      <c r="A1163" t="s">
        <v>126</v>
      </c>
      <c r="B1163" t="s">
        <v>6</v>
      </c>
      <c r="C1163" t="s">
        <v>185</v>
      </c>
      <c r="D1163">
        <v>1</v>
      </c>
    </row>
    <row r="1164" spans="1:4" hidden="1" x14ac:dyDescent="0.35">
      <c r="A1164" t="s">
        <v>43</v>
      </c>
      <c r="B1164" t="s">
        <v>5</v>
      </c>
      <c r="C1164" t="s">
        <v>185</v>
      </c>
      <c r="D1164">
        <v>1</v>
      </c>
    </row>
    <row r="1165" spans="1:4" hidden="1" x14ac:dyDescent="0.35">
      <c r="A1165" t="s">
        <v>50</v>
      </c>
      <c r="B1165" t="s">
        <v>5</v>
      </c>
      <c r="C1165" t="s">
        <v>185</v>
      </c>
      <c r="D1165">
        <v>1</v>
      </c>
    </row>
    <row r="1166" spans="1:4" hidden="1" x14ac:dyDescent="0.35">
      <c r="A1166" t="s">
        <v>50</v>
      </c>
      <c r="B1166" t="s">
        <v>5</v>
      </c>
      <c r="C1166" t="s">
        <v>185</v>
      </c>
      <c r="D1166">
        <v>1</v>
      </c>
    </row>
    <row r="1167" spans="1:4" hidden="1" x14ac:dyDescent="0.35">
      <c r="A1167" t="s">
        <v>50</v>
      </c>
      <c r="B1167" t="s">
        <v>5</v>
      </c>
      <c r="C1167" t="s">
        <v>185</v>
      </c>
      <c r="D1167">
        <v>1</v>
      </c>
    </row>
    <row r="1168" spans="1:4" hidden="1" x14ac:dyDescent="0.35">
      <c r="A1168" t="s">
        <v>50</v>
      </c>
      <c r="B1168" t="s">
        <v>5</v>
      </c>
      <c r="C1168" t="s">
        <v>185</v>
      </c>
      <c r="D1168">
        <v>1</v>
      </c>
    </row>
    <row r="1169" spans="1:4" hidden="1" x14ac:dyDescent="0.35">
      <c r="A1169" t="s">
        <v>57</v>
      </c>
      <c r="B1169" t="s">
        <v>5</v>
      </c>
      <c r="C1169" t="s">
        <v>185</v>
      </c>
      <c r="D1169">
        <v>1</v>
      </c>
    </row>
    <row r="1170" spans="1:4" hidden="1" x14ac:dyDescent="0.35">
      <c r="A1170" t="s">
        <v>57</v>
      </c>
      <c r="B1170" t="s">
        <v>5</v>
      </c>
      <c r="C1170" t="s">
        <v>185</v>
      </c>
      <c r="D1170">
        <v>1</v>
      </c>
    </row>
    <row r="1171" spans="1:4" hidden="1" x14ac:dyDescent="0.35">
      <c r="A1171" t="s">
        <v>67</v>
      </c>
      <c r="B1171" t="s">
        <v>5</v>
      </c>
      <c r="C1171" t="s">
        <v>185</v>
      </c>
      <c r="D1171">
        <v>1</v>
      </c>
    </row>
    <row r="1172" spans="1:4" hidden="1" x14ac:dyDescent="0.35">
      <c r="A1172" t="s">
        <v>67</v>
      </c>
      <c r="B1172" t="s">
        <v>5</v>
      </c>
      <c r="C1172" t="s">
        <v>185</v>
      </c>
      <c r="D1172">
        <v>1</v>
      </c>
    </row>
    <row r="1173" spans="1:4" hidden="1" x14ac:dyDescent="0.35">
      <c r="A1173" t="s">
        <v>67</v>
      </c>
      <c r="B1173" t="s">
        <v>5</v>
      </c>
      <c r="C1173" t="s">
        <v>185</v>
      </c>
      <c r="D1173">
        <v>1</v>
      </c>
    </row>
    <row r="1174" spans="1:4" hidden="1" x14ac:dyDescent="0.35">
      <c r="A1174" t="s">
        <v>67</v>
      </c>
      <c r="B1174" t="s">
        <v>5</v>
      </c>
      <c r="C1174" t="s">
        <v>185</v>
      </c>
      <c r="D1174">
        <v>1</v>
      </c>
    </row>
    <row r="1175" spans="1:4" hidden="1" x14ac:dyDescent="0.35">
      <c r="A1175" t="s">
        <v>67</v>
      </c>
      <c r="B1175" t="s">
        <v>5</v>
      </c>
      <c r="C1175" t="s">
        <v>185</v>
      </c>
      <c r="D1175">
        <v>1</v>
      </c>
    </row>
    <row r="1176" spans="1:4" hidden="1" x14ac:dyDescent="0.35">
      <c r="A1176" t="s">
        <v>67</v>
      </c>
      <c r="B1176" t="s">
        <v>5</v>
      </c>
      <c r="C1176" t="s">
        <v>185</v>
      </c>
      <c r="D1176">
        <v>1</v>
      </c>
    </row>
    <row r="1177" spans="1:4" hidden="1" x14ac:dyDescent="0.35">
      <c r="A1177" t="s">
        <v>67</v>
      </c>
      <c r="B1177" t="s">
        <v>5</v>
      </c>
      <c r="C1177" t="s">
        <v>185</v>
      </c>
      <c r="D1177">
        <v>1</v>
      </c>
    </row>
    <row r="1178" spans="1:4" hidden="1" x14ac:dyDescent="0.35">
      <c r="A1178" t="s">
        <v>67</v>
      </c>
      <c r="B1178" t="s">
        <v>5</v>
      </c>
      <c r="C1178" t="s">
        <v>185</v>
      </c>
      <c r="D1178">
        <v>1</v>
      </c>
    </row>
    <row r="1179" spans="1:4" hidden="1" x14ac:dyDescent="0.35">
      <c r="A1179" t="s">
        <v>67</v>
      </c>
      <c r="B1179" t="s">
        <v>5</v>
      </c>
      <c r="C1179" t="s">
        <v>185</v>
      </c>
      <c r="D1179">
        <v>1</v>
      </c>
    </row>
    <row r="1180" spans="1:4" hidden="1" x14ac:dyDescent="0.35">
      <c r="A1180" t="s">
        <v>67</v>
      </c>
      <c r="B1180" t="s">
        <v>5</v>
      </c>
      <c r="C1180" t="s">
        <v>185</v>
      </c>
      <c r="D1180">
        <v>1</v>
      </c>
    </row>
    <row r="1181" spans="1:4" hidden="1" x14ac:dyDescent="0.35">
      <c r="A1181" t="s">
        <v>76</v>
      </c>
      <c r="B1181" t="s">
        <v>5</v>
      </c>
      <c r="C1181" t="s">
        <v>185</v>
      </c>
      <c r="D1181">
        <v>1</v>
      </c>
    </row>
    <row r="1182" spans="1:4" hidden="1" x14ac:dyDescent="0.35">
      <c r="A1182" t="s">
        <v>103</v>
      </c>
      <c r="B1182" t="s">
        <v>5</v>
      </c>
      <c r="C1182" t="s">
        <v>185</v>
      </c>
      <c r="D1182">
        <v>1</v>
      </c>
    </row>
    <row r="1183" spans="1:4" hidden="1" x14ac:dyDescent="0.35">
      <c r="A1183" t="s">
        <v>122</v>
      </c>
      <c r="B1183" t="s">
        <v>5</v>
      </c>
      <c r="C1183" t="s">
        <v>185</v>
      </c>
      <c r="D1183">
        <v>1</v>
      </c>
    </row>
    <row r="1184" spans="1:4" hidden="1" x14ac:dyDescent="0.35">
      <c r="A1184" t="s">
        <v>128</v>
      </c>
      <c r="B1184" t="s">
        <v>5</v>
      </c>
      <c r="C1184" t="s">
        <v>185</v>
      </c>
      <c r="D1184">
        <v>1</v>
      </c>
    </row>
    <row r="1185" spans="1:4" hidden="1" x14ac:dyDescent="0.35">
      <c r="A1185" t="s">
        <v>128</v>
      </c>
      <c r="B1185" t="s">
        <v>5</v>
      </c>
      <c r="C1185" t="s">
        <v>185</v>
      </c>
      <c r="D1185">
        <v>1</v>
      </c>
    </row>
    <row r="1186" spans="1:4" hidden="1" x14ac:dyDescent="0.35">
      <c r="A1186" t="s">
        <v>128</v>
      </c>
      <c r="B1186" t="s">
        <v>5</v>
      </c>
      <c r="C1186" t="s">
        <v>185</v>
      </c>
      <c r="D1186">
        <v>1</v>
      </c>
    </row>
    <row r="1187" spans="1:4" hidden="1" x14ac:dyDescent="0.35">
      <c r="A1187" t="s">
        <v>128</v>
      </c>
      <c r="B1187" t="s">
        <v>5</v>
      </c>
      <c r="C1187" t="s">
        <v>185</v>
      </c>
      <c r="D1187">
        <v>1</v>
      </c>
    </row>
    <row r="1188" spans="1:4" hidden="1" x14ac:dyDescent="0.35">
      <c r="A1188" t="s">
        <v>128</v>
      </c>
      <c r="B1188" t="s">
        <v>5</v>
      </c>
      <c r="C1188" t="s">
        <v>185</v>
      </c>
      <c r="D1188">
        <v>1</v>
      </c>
    </row>
    <row r="1189" spans="1:4" hidden="1" x14ac:dyDescent="0.35">
      <c r="A1189" t="s">
        <v>128</v>
      </c>
      <c r="B1189" t="s">
        <v>5</v>
      </c>
      <c r="C1189" t="s">
        <v>185</v>
      </c>
      <c r="D1189">
        <v>1</v>
      </c>
    </row>
    <row r="1190" spans="1:4" hidden="1" x14ac:dyDescent="0.35">
      <c r="A1190" t="s">
        <v>128</v>
      </c>
      <c r="B1190" t="s">
        <v>5</v>
      </c>
      <c r="C1190" t="s">
        <v>185</v>
      </c>
      <c r="D1190">
        <v>1</v>
      </c>
    </row>
    <row r="1191" spans="1:4" hidden="1" x14ac:dyDescent="0.35">
      <c r="A1191" t="s">
        <v>128</v>
      </c>
      <c r="B1191" t="s">
        <v>5</v>
      </c>
      <c r="C1191" t="s">
        <v>185</v>
      </c>
      <c r="D1191">
        <v>1</v>
      </c>
    </row>
    <row r="1192" spans="1:4" hidden="1" x14ac:dyDescent="0.35">
      <c r="A1192" t="s">
        <v>129</v>
      </c>
      <c r="B1192" t="s">
        <v>5</v>
      </c>
      <c r="C1192" t="s">
        <v>185</v>
      </c>
      <c r="D1192">
        <v>1</v>
      </c>
    </row>
    <row r="1193" spans="1:4" hidden="1" x14ac:dyDescent="0.35">
      <c r="A1193" t="s">
        <v>43</v>
      </c>
      <c r="B1193" t="s">
        <v>5</v>
      </c>
      <c r="C1193" t="s">
        <v>185</v>
      </c>
      <c r="D1193">
        <v>1</v>
      </c>
    </row>
    <row r="1194" spans="1:4" hidden="1" x14ac:dyDescent="0.35">
      <c r="A1194" t="s">
        <v>50</v>
      </c>
      <c r="B1194" t="s">
        <v>5</v>
      </c>
      <c r="C1194" t="s">
        <v>185</v>
      </c>
      <c r="D1194">
        <v>1</v>
      </c>
    </row>
    <row r="1195" spans="1:4" hidden="1" x14ac:dyDescent="0.35">
      <c r="A1195" t="s">
        <v>50</v>
      </c>
      <c r="B1195" t="s">
        <v>5</v>
      </c>
      <c r="C1195" t="s">
        <v>185</v>
      </c>
      <c r="D1195">
        <v>1</v>
      </c>
    </row>
    <row r="1196" spans="1:4" hidden="1" x14ac:dyDescent="0.35">
      <c r="A1196" t="s">
        <v>50</v>
      </c>
      <c r="B1196" t="s">
        <v>5</v>
      </c>
      <c r="C1196" t="s">
        <v>185</v>
      </c>
      <c r="D1196">
        <v>1</v>
      </c>
    </row>
    <row r="1197" spans="1:4" hidden="1" x14ac:dyDescent="0.35">
      <c r="A1197" t="s">
        <v>50</v>
      </c>
      <c r="B1197" t="s">
        <v>5</v>
      </c>
      <c r="C1197" t="s">
        <v>185</v>
      </c>
      <c r="D1197">
        <v>1</v>
      </c>
    </row>
    <row r="1198" spans="1:4" hidden="1" x14ac:dyDescent="0.35">
      <c r="A1198" t="s">
        <v>57</v>
      </c>
      <c r="B1198" t="s">
        <v>5</v>
      </c>
      <c r="C1198" t="s">
        <v>185</v>
      </c>
      <c r="D1198">
        <v>1</v>
      </c>
    </row>
    <row r="1199" spans="1:4" hidden="1" x14ac:dyDescent="0.35">
      <c r="A1199" t="s">
        <v>58</v>
      </c>
      <c r="B1199" t="s">
        <v>5</v>
      </c>
      <c r="C1199" t="s">
        <v>185</v>
      </c>
      <c r="D1199">
        <v>1</v>
      </c>
    </row>
    <row r="1200" spans="1:4" hidden="1" x14ac:dyDescent="0.35">
      <c r="A1200" t="s">
        <v>65</v>
      </c>
      <c r="B1200" t="s">
        <v>5</v>
      </c>
      <c r="C1200" t="s">
        <v>185</v>
      </c>
      <c r="D1200">
        <v>1</v>
      </c>
    </row>
    <row r="1201" spans="1:4" hidden="1" x14ac:dyDescent="0.35">
      <c r="A1201" t="s">
        <v>65</v>
      </c>
      <c r="B1201" t="s">
        <v>5</v>
      </c>
      <c r="C1201" t="s">
        <v>185</v>
      </c>
      <c r="D1201">
        <v>1</v>
      </c>
    </row>
    <row r="1202" spans="1:4" hidden="1" x14ac:dyDescent="0.35">
      <c r="A1202" t="s">
        <v>67</v>
      </c>
      <c r="B1202" t="s">
        <v>5</v>
      </c>
      <c r="C1202" t="s">
        <v>185</v>
      </c>
      <c r="D1202">
        <v>1</v>
      </c>
    </row>
    <row r="1203" spans="1:4" hidden="1" x14ac:dyDescent="0.35">
      <c r="A1203" t="s">
        <v>67</v>
      </c>
      <c r="B1203" t="s">
        <v>5</v>
      </c>
      <c r="C1203" t="s">
        <v>185</v>
      </c>
      <c r="D1203">
        <v>1</v>
      </c>
    </row>
    <row r="1204" spans="1:4" hidden="1" x14ac:dyDescent="0.35">
      <c r="A1204" t="s">
        <v>67</v>
      </c>
      <c r="B1204" t="s">
        <v>5</v>
      </c>
      <c r="C1204" t="s">
        <v>185</v>
      </c>
      <c r="D1204">
        <v>1</v>
      </c>
    </row>
    <row r="1205" spans="1:4" hidden="1" x14ac:dyDescent="0.35">
      <c r="A1205" t="s">
        <v>67</v>
      </c>
      <c r="B1205" t="s">
        <v>5</v>
      </c>
      <c r="C1205" t="s">
        <v>185</v>
      </c>
      <c r="D1205">
        <v>1</v>
      </c>
    </row>
    <row r="1206" spans="1:4" hidden="1" x14ac:dyDescent="0.35">
      <c r="A1206" t="s">
        <v>67</v>
      </c>
      <c r="B1206" t="s">
        <v>5</v>
      </c>
      <c r="C1206" t="s">
        <v>185</v>
      </c>
      <c r="D1206">
        <v>1</v>
      </c>
    </row>
    <row r="1207" spans="1:4" hidden="1" x14ac:dyDescent="0.35">
      <c r="A1207" t="s">
        <v>67</v>
      </c>
      <c r="B1207" t="s">
        <v>5</v>
      </c>
      <c r="C1207" t="s">
        <v>185</v>
      </c>
      <c r="D1207">
        <v>1</v>
      </c>
    </row>
    <row r="1208" spans="1:4" hidden="1" x14ac:dyDescent="0.35">
      <c r="A1208" t="s">
        <v>67</v>
      </c>
      <c r="B1208" t="s">
        <v>5</v>
      </c>
      <c r="C1208" t="s">
        <v>185</v>
      </c>
      <c r="D1208">
        <v>1</v>
      </c>
    </row>
    <row r="1209" spans="1:4" hidden="1" x14ac:dyDescent="0.35">
      <c r="A1209" t="s">
        <v>67</v>
      </c>
      <c r="B1209" t="s">
        <v>5</v>
      </c>
      <c r="C1209" t="s">
        <v>185</v>
      </c>
      <c r="D1209">
        <v>1</v>
      </c>
    </row>
    <row r="1210" spans="1:4" hidden="1" x14ac:dyDescent="0.35">
      <c r="A1210" t="s">
        <v>67</v>
      </c>
      <c r="B1210" t="s">
        <v>5</v>
      </c>
      <c r="C1210" t="s">
        <v>185</v>
      </c>
      <c r="D1210">
        <v>1</v>
      </c>
    </row>
    <row r="1211" spans="1:4" hidden="1" x14ac:dyDescent="0.35">
      <c r="A1211" t="s">
        <v>67</v>
      </c>
      <c r="B1211" t="s">
        <v>5</v>
      </c>
      <c r="C1211" t="s">
        <v>185</v>
      </c>
      <c r="D1211">
        <v>1</v>
      </c>
    </row>
    <row r="1212" spans="1:4" hidden="1" x14ac:dyDescent="0.35">
      <c r="A1212" t="s">
        <v>67</v>
      </c>
      <c r="B1212" t="s">
        <v>5</v>
      </c>
      <c r="C1212" t="s">
        <v>185</v>
      </c>
      <c r="D1212">
        <v>1</v>
      </c>
    </row>
    <row r="1213" spans="1:4" hidden="1" x14ac:dyDescent="0.35">
      <c r="A1213" t="s">
        <v>67</v>
      </c>
      <c r="B1213" t="s">
        <v>5</v>
      </c>
      <c r="C1213" t="s">
        <v>185</v>
      </c>
      <c r="D1213">
        <v>1</v>
      </c>
    </row>
    <row r="1214" spans="1:4" hidden="1" x14ac:dyDescent="0.35">
      <c r="A1214" t="s">
        <v>142</v>
      </c>
      <c r="B1214" t="s">
        <v>5</v>
      </c>
      <c r="C1214" t="s">
        <v>185</v>
      </c>
      <c r="D1214">
        <v>1</v>
      </c>
    </row>
    <row r="1215" spans="1:4" hidden="1" x14ac:dyDescent="0.35">
      <c r="A1215" t="s">
        <v>74</v>
      </c>
      <c r="B1215" t="s">
        <v>5</v>
      </c>
      <c r="C1215" t="s">
        <v>185</v>
      </c>
      <c r="D1215">
        <v>1</v>
      </c>
    </row>
    <row r="1216" spans="1:4" hidden="1" x14ac:dyDescent="0.35">
      <c r="A1216" t="s">
        <v>76</v>
      </c>
      <c r="B1216" t="s">
        <v>5</v>
      </c>
      <c r="C1216" t="s">
        <v>185</v>
      </c>
      <c r="D1216">
        <v>1</v>
      </c>
    </row>
    <row r="1217" spans="1:4" hidden="1" x14ac:dyDescent="0.35">
      <c r="A1217" t="s">
        <v>77</v>
      </c>
      <c r="B1217" t="s">
        <v>5</v>
      </c>
      <c r="C1217" t="s">
        <v>185</v>
      </c>
      <c r="D1217">
        <v>1</v>
      </c>
    </row>
    <row r="1218" spans="1:4" hidden="1" x14ac:dyDescent="0.35">
      <c r="A1218" t="s">
        <v>128</v>
      </c>
      <c r="B1218" t="s">
        <v>5</v>
      </c>
      <c r="C1218" t="s">
        <v>185</v>
      </c>
      <c r="D1218">
        <v>1</v>
      </c>
    </row>
    <row r="1219" spans="1:4" hidden="1" x14ac:dyDescent="0.35">
      <c r="A1219" t="s">
        <v>128</v>
      </c>
      <c r="B1219" t="s">
        <v>5</v>
      </c>
      <c r="C1219" t="s">
        <v>185</v>
      </c>
      <c r="D1219">
        <v>1</v>
      </c>
    </row>
    <row r="1220" spans="1:4" hidden="1" x14ac:dyDescent="0.35">
      <c r="A1220" t="s">
        <v>128</v>
      </c>
      <c r="B1220" t="s">
        <v>5</v>
      </c>
      <c r="C1220" t="s">
        <v>185</v>
      </c>
      <c r="D1220">
        <v>1</v>
      </c>
    </row>
    <row r="1221" spans="1:4" hidden="1" x14ac:dyDescent="0.35">
      <c r="A1221" t="s">
        <v>128</v>
      </c>
      <c r="B1221" t="s">
        <v>5</v>
      </c>
      <c r="C1221" t="s">
        <v>185</v>
      </c>
      <c r="D1221">
        <v>1</v>
      </c>
    </row>
    <row r="1222" spans="1:4" hidden="1" x14ac:dyDescent="0.35">
      <c r="A1222" t="s">
        <v>128</v>
      </c>
      <c r="B1222" t="s">
        <v>5</v>
      </c>
      <c r="C1222" t="s">
        <v>185</v>
      </c>
      <c r="D1222">
        <v>1</v>
      </c>
    </row>
    <row r="1223" spans="1:4" hidden="1" x14ac:dyDescent="0.35">
      <c r="A1223" t="s">
        <v>50</v>
      </c>
      <c r="B1223" t="s">
        <v>5</v>
      </c>
      <c r="C1223" t="s">
        <v>185</v>
      </c>
      <c r="D1223">
        <v>1</v>
      </c>
    </row>
    <row r="1224" spans="1:4" hidden="1" x14ac:dyDescent="0.35">
      <c r="A1224" t="s">
        <v>50</v>
      </c>
      <c r="B1224" t="s">
        <v>5</v>
      </c>
      <c r="C1224" t="s">
        <v>185</v>
      </c>
      <c r="D1224">
        <v>1</v>
      </c>
    </row>
    <row r="1225" spans="1:4" hidden="1" x14ac:dyDescent="0.35">
      <c r="A1225" t="s">
        <v>50</v>
      </c>
      <c r="B1225" t="s">
        <v>5</v>
      </c>
      <c r="C1225" t="s">
        <v>185</v>
      </c>
      <c r="D1225">
        <v>1</v>
      </c>
    </row>
    <row r="1226" spans="1:4" hidden="1" x14ac:dyDescent="0.35">
      <c r="A1226" t="s">
        <v>50</v>
      </c>
      <c r="B1226" t="s">
        <v>5</v>
      </c>
      <c r="C1226" t="s">
        <v>185</v>
      </c>
      <c r="D1226">
        <v>1</v>
      </c>
    </row>
    <row r="1227" spans="1:4" hidden="1" x14ac:dyDescent="0.35">
      <c r="A1227" t="s">
        <v>50</v>
      </c>
      <c r="B1227" t="s">
        <v>5</v>
      </c>
      <c r="C1227" t="s">
        <v>185</v>
      </c>
      <c r="D1227">
        <v>1</v>
      </c>
    </row>
    <row r="1228" spans="1:4" hidden="1" x14ac:dyDescent="0.35">
      <c r="A1228" t="s">
        <v>50</v>
      </c>
      <c r="B1228" t="s">
        <v>5</v>
      </c>
      <c r="C1228" t="s">
        <v>185</v>
      </c>
      <c r="D1228">
        <v>1</v>
      </c>
    </row>
    <row r="1229" spans="1:4" hidden="1" x14ac:dyDescent="0.35">
      <c r="A1229" t="s">
        <v>50</v>
      </c>
      <c r="B1229" t="s">
        <v>5</v>
      </c>
      <c r="C1229" t="s">
        <v>185</v>
      </c>
      <c r="D1229">
        <v>1</v>
      </c>
    </row>
    <row r="1230" spans="1:4" hidden="1" x14ac:dyDescent="0.35">
      <c r="A1230" t="s">
        <v>50</v>
      </c>
      <c r="B1230" t="s">
        <v>5</v>
      </c>
      <c r="C1230" t="s">
        <v>185</v>
      </c>
      <c r="D1230">
        <v>1</v>
      </c>
    </row>
    <row r="1231" spans="1:4" hidden="1" x14ac:dyDescent="0.35">
      <c r="A1231" t="s">
        <v>50</v>
      </c>
      <c r="B1231" t="s">
        <v>5</v>
      </c>
      <c r="C1231" t="s">
        <v>185</v>
      </c>
      <c r="D1231">
        <v>1</v>
      </c>
    </row>
    <row r="1232" spans="1:4" hidden="1" x14ac:dyDescent="0.35">
      <c r="A1232" t="s">
        <v>50</v>
      </c>
      <c r="B1232" t="s">
        <v>5</v>
      </c>
      <c r="C1232" t="s">
        <v>185</v>
      </c>
      <c r="D1232">
        <v>1</v>
      </c>
    </row>
    <row r="1233" spans="1:4" hidden="1" x14ac:dyDescent="0.35">
      <c r="A1233" t="s">
        <v>51</v>
      </c>
      <c r="B1233" t="s">
        <v>5</v>
      </c>
      <c r="C1233" t="s">
        <v>185</v>
      </c>
      <c r="D1233">
        <v>1</v>
      </c>
    </row>
    <row r="1234" spans="1:4" hidden="1" x14ac:dyDescent="0.35">
      <c r="A1234" t="s">
        <v>51</v>
      </c>
      <c r="B1234" t="s">
        <v>5</v>
      </c>
      <c r="C1234" t="s">
        <v>185</v>
      </c>
      <c r="D1234">
        <v>1</v>
      </c>
    </row>
    <row r="1235" spans="1:4" hidden="1" x14ac:dyDescent="0.35">
      <c r="A1235" t="s">
        <v>53</v>
      </c>
      <c r="B1235" t="s">
        <v>5</v>
      </c>
      <c r="C1235" t="s">
        <v>185</v>
      </c>
      <c r="D1235">
        <v>1</v>
      </c>
    </row>
    <row r="1236" spans="1:4" hidden="1" x14ac:dyDescent="0.35">
      <c r="A1236" t="s">
        <v>142</v>
      </c>
      <c r="B1236" t="s">
        <v>5</v>
      </c>
      <c r="C1236" t="s">
        <v>185</v>
      </c>
      <c r="D1236">
        <v>1</v>
      </c>
    </row>
    <row r="1237" spans="1:4" hidden="1" x14ac:dyDescent="0.35">
      <c r="A1237" t="s">
        <v>67</v>
      </c>
      <c r="B1237" t="s">
        <v>5</v>
      </c>
      <c r="C1237" t="s">
        <v>185</v>
      </c>
      <c r="D1237">
        <v>1</v>
      </c>
    </row>
    <row r="1238" spans="1:4" hidden="1" x14ac:dyDescent="0.35">
      <c r="A1238" t="s">
        <v>104</v>
      </c>
      <c r="B1238" t="s">
        <v>5</v>
      </c>
      <c r="C1238" t="s">
        <v>185</v>
      </c>
      <c r="D1238">
        <v>1</v>
      </c>
    </row>
    <row r="1239" spans="1:4" hidden="1" x14ac:dyDescent="0.35">
      <c r="A1239" t="s">
        <v>106</v>
      </c>
      <c r="B1239" t="s">
        <v>5</v>
      </c>
      <c r="C1239" t="s">
        <v>185</v>
      </c>
      <c r="D1239">
        <v>1</v>
      </c>
    </row>
    <row r="1240" spans="1:4" hidden="1" x14ac:dyDescent="0.35">
      <c r="A1240" t="s">
        <v>106</v>
      </c>
      <c r="B1240" t="s">
        <v>5</v>
      </c>
      <c r="C1240" t="s">
        <v>185</v>
      </c>
      <c r="D1240">
        <v>1</v>
      </c>
    </row>
    <row r="1241" spans="1:4" hidden="1" x14ac:dyDescent="0.35">
      <c r="A1241" t="s">
        <v>125</v>
      </c>
      <c r="B1241" t="s">
        <v>5</v>
      </c>
      <c r="C1241" t="s">
        <v>185</v>
      </c>
      <c r="D1241">
        <v>1</v>
      </c>
    </row>
    <row r="1242" spans="1:4" hidden="1" x14ac:dyDescent="0.35">
      <c r="A1242" t="s">
        <v>128</v>
      </c>
      <c r="B1242" t="s">
        <v>5</v>
      </c>
      <c r="C1242" t="s">
        <v>185</v>
      </c>
      <c r="D1242">
        <v>1</v>
      </c>
    </row>
    <row r="1243" spans="1:4" hidden="1" x14ac:dyDescent="0.35">
      <c r="A1243" t="s">
        <v>128</v>
      </c>
      <c r="B1243" t="s">
        <v>5</v>
      </c>
      <c r="C1243" t="s">
        <v>185</v>
      </c>
      <c r="D1243">
        <v>1</v>
      </c>
    </row>
    <row r="1244" spans="1:4" hidden="1" x14ac:dyDescent="0.35">
      <c r="A1244" t="s">
        <v>128</v>
      </c>
      <c r="B1244" t="s">
        <v>5</v>
      </c>
      <c r="C1244" t="s">
        <v>185</v>
      </c>
      <c r="D1244">
        <v>1</v>
      </c>
    </row>
    <row r="1245" spans="1:4" hidden="1" x14ac:dyDescent="0.35">
      <c r="A1245" t="s">
        <v>128</v>
      </c>
      <c r="B1245" t="s">
        <v>5</v>
      </c>
      <c r="C1245" t="s">
        <v>185</v>
      </c>
      <c r="D1245">
        <v>1</v>
      </c>
    </row>
    <row r="1246" spans="1:4" hidden="1" x14ac:dyDescent="0.35">
      <c r="A1246" t="s">
        <v>128</v>
      </c>
      <c r="B1246" t="s">
        <v>5</v>
      </c>
      <c r="C1246" t="s">
        <v>185</v>
      </c>
      <c r="D1246">
        <v>1</v>
      </c>
    </row>
    <row r="1247" spans="1:4" hidden="1" x14ac:dyDescent="0.35">
      <c r="A1247" t="s">
        <v>30</v>
      </c>
      <c r="B1247" t="s">
        <v>5</v>
      </c>
      <c r="C1247" t="s">
        <v>185</v>
      </c>
      <c r="D1247">
        <v>1</v>
      </c>
    </row>
    <row r="1248" spans="1:4" hidden="1" x14ac:dyDescent="0.35">
      <c r="A1248" t="s">
        <v>50</v>
      </c>
      <c r="B1248" t="s">
        <v>5</v>
      </c>
      <c r="C1248" t="s">
        <v>185</v>
      </c>
      <c r="D1248">
        <v>1</v>
      </c>
    </row>
    <row r="1249" spans="1:4" hidden="1" x14ac:dyDescent="0.35">
      <c r="A1249" t="s">
        <v>50</v>
      </c>
      <c r="B1249" t="s">
        <v>5</v>
      </c>
      <c r="C1249" t="s">
        <v>185</v>
      </c>
      <c r="D1249">
        <v>1</v>
      </c>
    </row>
    <row r="1250" spans="1:4" hidden="1" x14ac:dyDescent="0.35">
      <c r="A1250" t="s">
        <v>50</v>
      </c>
      <c r="B1250" t="s">
        <v>5</v>
      </c>
      <c r="C1250" t="s">
        <v>185</v>
      </c>
      <c r="D1250">
        <v>1</v>
      </c>
    </row>
    <row r="1251" spans="1:4" hidden="1" x14ac:dyDescent="0.35">
      <c r="A1251" t="s">
        <v>50</v>
      </c>
      <c r="B1251" t="s">
        <v>5</v>
      </c>
      <c r="C1251" t="s">
        <v>185</v>
      </c>
      <c r="D1251">
        <v>1</v>
      </c>
    </row>
    <row r="1252" spans="1:4" hidden="1" x14ac:dyDescent="0.35">
      <c r="A1252" t="s">
        <v>50</v>
      </c>
      <c r="B1252" t="s">
        <v>5</v>
      </c>
      <c r="C1252" t="s">
        <v>185</v>
      </c>
      <c r="D1252">
        <v>1</v>
      </c>
    </row>
    <row r="1253" spans="1:4" hidden="1" x14ac:dyDescent="0.35">
      <c r="A1253" t="s">
        <v>50</v>
      </c>
      <c r="B1253" t="s">
        <v>5</v>
      </c>
      <c r="C1253" t="s">
        <v>185</v>
      </c>
      <c r="D1253">
        <v>1</v>
      </c>
    </row>
    <row r="1254" spans="1:4" hidden="1" x14ac:dyDescent="0.35">
      <c r="A1254" t="s">
        <v>50</v>
      </c>
      <c r="B1254" t="s">
        <v>5</v>
      </c>
      <c r="C1254" t="s">
        <v>185</v>
      </c>
      <c r="D1254">
        <v>1</v>
      </c>
    </row>
    <row r="1255" spans="1:4" hidden="1" x14ac:dyDescent="0.35">
      <c r="A1255" t="s">
        <v>50</v>
      </c>
      <c r="B1255" t="s">
        <v>5</v>
      </c>
      <c r="C1255" t="s">
        <v>185</v>
      </c>
      <c r="D1255">
        <v>1</v>
      </c>
    </row>
    <row r="1256" spans="1:4" hidden="1" x14ac:dyDescent="0.35">
      <c r="A1256" t="s">
        <v>50</v>
      </c>
      <c r="B1256" t="s">
        <v>5</v>
      </c>
      <c r="C1256" t="s">
        <v>185</v>
      </c>
      <c r="D1256">
        <v>1</v>
      </c>
    </row>
    <row r="1257" spans="1:4" hidden="1" x14ac:dyDescent="0.35">
      <c r="A1257" t="s">
        <v>51</v>
      </c>
      <c r="B1257" t="s">
        <v>5</v>
      </c>
      <c r="C1257" t="s">
        <v>185</v>
      </c>
      <c r="D1257">
        <v>1</v>
      </c>
    </row>
    <row r="1258" spans="1:4" hidden="1" x14ac:dyDescent="0.35">
      <c r="A1258" t="s">
        <v>52</v>
      </c>
      <c r="B1258" t="s">
        <v>5</v>
      </c>
      <c r="C1258" t="s">
        <v>185</v>
      </c>
      <c r="D1258">
        <v>1</v>
      </c>
    </row>
    <row r="1259" spans="1:4" hidden="1" x14ac:dyDescent="0.35">
      <c r="A1259" t="s">
        <v>53</v>
      </c>
      <c r="B1259" t="s">
        <v>5</v>
      </c>
      <c r="C1259" t="s">
        <v>185</v>
      </c>
      <c r="D1259">
        <v>1</v>
      </c>
    </row>
    <row r="1260" spans="1:4" hidden="1" x14ac:dyDescent="0.35">
      <c r="A1260" t="s">
        <v>58</v>
      </c>
      <c r="B1260" t="s">
        <v>5</v>
      </c>
      <c r="C1260" t="s">
        <v>185</v>
      </c>
      <c r="D1260">
        <v>1</v>
      </c>
    </row>
    <row r="1261" spans="1:4" hidden="1" x14ac:dyDescent="0.35">
      <c r="A1261" t="s">
        <v>67</v>
      </c>
      <c r="B1261" t="s">
        <v>5</v>
      </c>
      <c r="C1261" t="s">
        <v>185</v>
      </c>
      <c r="D1261">
        <v>1</v>
      </c>
    </row>
    <row r="1262" spans="1:4" hidden="1" x14ac:dyDescent="0.35">
      <c r="A1262" t="s">
        <v>67</v>
      </c>
      <c r="B1262" t="s">
        <v>5</v>
      </c>
      <c r="C1262" t="s">
        <v>185</v>
      </c>
      <c r="D1262">
        <v>1</v>
      </c>
    </row>
    <row r="1263" spans="1:4" hidden="1" x14ac:dyDescent="0.35">
      <c r="A1263" t="s">
        <v>142</v>
      </c>
      <c r="B1263" t="s">
        <v>5</v>
      </c>
      <c r="C1263" t="s">
        <v>185</v>
      </c>
      <c r="D1263">
        <v>1</v>
      </c>
    </row>
    <row r="1264" spans="1:4" hidden="1" x14ac:dyDescent="0.35">
      <c r="A1264" t="s">
        <v>97</v>
      </c>
      <c r="B1264" t="s">
        <v>5</v>
      </c>
      <c r="C1264" t="s">
        <v>185</v>
      </c>
      <c r="D1264">
        <v>1</v>
      </c>
    </row>
    <row r="1265" spans="1:4" hidden="1" x14ac:dyDescent="0.35">
      <c r="A1265" t="s">
        <v>101</v>
      </c>
      <c r="B1265" t="s">
        <v>5</v>
      </c>
      <c r="C1265" t="s">
        <v>185</v>
      </c>
      <c r="D1265">
        <v>1</v>
      </c>
    </row>
    <row r="1266" spans="1:4" hidden="1" x14ac:dyDescent="0.35">
      <c r="A1266" t="s">
        <v>106</v>
      </c>
      <c r="B1266" t="s">
        <v>5</v>
      </c>
      <c r="C1266" t="s">
        <v>185</v>
      </c>
      <c r="D1266">
        <v>1</v>
      </c>
    </row>
    <row r="1267" spans="1:4" hidden="1" x14ac:dyDescent="0.35">
      <c r="A1267" t="s">
        <v>115</v>
      </c>
      <c r="B1267" t="s">
        <v>5</v>
      </c>
      <c r="C1267" t="s">
        <v>185</v>
      </c>
      <c r="D1267">
        <v>1</v>
      </c>
    </row>
    <row r="1268" spans="1:4" hidden="1" x14ac:dyDescent="0.35">
      <c r="A1268" t="s">
        <v>128</v>
      </c>
      <c r="B1268" t="s">
        <v>5</v>
      </c>
      <c r="C1268" t="s">
        <v>185</v>
      </c>
      <c r="D1268">
        <v>1</v>
      </c>
    </row>
    <row r="1269" spans="1:4" hidden="1" x14ac:dyDescent="0.35">
      <c r="A1269" t="s">
        <v>128</v>
      </c>
      <c r="B1269" t="s">
        <v>5</v>
      </c>
      <c r="C1269" t="s">
        <v>185</v>
      </c>
      <c r="D1269">
        <v>1</v>
      </c>
    </row>
    <row r="1270" spans="1:4" hidden="1" x14ac:dyDescent="0.35">
      <c r="A1270" t="s">
        <v>128</v>
      </c>
      <c r="B1270" t="s">
        <v>5</v>
      </c>
      <c r="C1270" t="s">
        <v>185</v>
      </c>
      <c r="D1270">
        <v>1</v>
      </c>
    </row>
    <row r="1271" spans="1:4" hidden="1" x14ac:dyDescent="0.35">
      <c r="A1271" t="s">
        <v>128</v>
      </c>
      <c r="B1271" t="s">
        <v>5</v>
      </c>
      <c r="C1271" t="s">
        <v>185</v>
      </c>
      <c r="D1271">
        <v>1</v>
      </c>
    </row>
    <row r="1272" spans="1:4" hidden="1" x14ac:dyDescent="0.35">
      <c r="A1272" t="s">
        <v>128</v>
      </c>
      <c r="B1272" t="s">
        <v>5</v>
      </c>
      <c r="C1272" t="s">
        <v>185</v>
      </c>
      <c r="D1272">
        <v>1</v>
      </c>
    </row>
    <row r="1273" spans="1:4" hidden="1" x14ac:dyDescent="0.35">
      <c r="A1273" t="s">
        <v>128</v>
      </c>
      <c r="B1273" t="s">
        <v>5</v>
      </c>
      <c r="C1273" t="s">
        <v>185</v>
      </c>
      <c r="D1273">
        <v>1</v>
      </c>
    </row>
    <row r="1274" spans="1:4" hidden="1" x14ac:dyDescent="0.35">
      <c r="A1274" t="s">
        <v>129</v>
      </c>
      <c r="B1274" t="s">
        <v>5</v>
      </c>
      <c r="C1274" t="s">
        <v>185</v>
      </c>
      <c r="D1274">
        <v>1</v>
      </c>
    </row>
    <row r="1275" spans="1:4" hidden="1" x14ac:dyDescent="0.35">
      <c r="A1275" t="s">
        <v>50</v>
      </c>
      <c r="B1275" t="s">
        <v>5</v>
      </c>
      <c r="C1275" t="s">
        <v>185</v>
      </c>
      <c r="D1275">
        <v>1</v>
      </c>
    </row>
    <row r="1276" spans="1:4" hidden="1" x14ac:dyDescent="0.35">
      <c r="A1276" t="s">
        <v>50</v>
      </c>
      <c r="B1276" t="s">
        <v>5</v>
      </c>
      <c r="C1276" t="s">
        <v>185</v>
      </c>
      <c r="D1276">
        <v>1</v>
      </c>
    </row>
    <row r="1277" spans="1:4" hidden="1" x14ac:dyDescent="0.35">
      <c r="A1277" t="s">
        <v>50</v>
      </c>
      <c r="B1277" t="s">
        <v>5</v>
      </c>
      <c r="C1277" t="s">
        <v>185</v>
      </c>
      <c r="D1277">
        <v>1</v>
      </c>
    </row>
    <row r="1278" spans="1:4" hidden="1" x14ac:dyDescent="0.35">
      <c r="A1278" t="s">
        <v>50</v>
      </c>
      <c r="B1278" t="s">
        <v>5</v>
      </c>
      <c r="C1278" t="s">
        <v>185</v>
      </c>
      <c r="D1278">
        <v>1</v>
      </c>
    </row>
    <row r="1279" spans="1:4" hidden="1" x14ac:dyDescent="0.35">
      <c r="A1279" t="s">
        <v>50</v>
      </c>
      <c r="B1279" t="s">
        <v>5</v>
      </c>
      <c r="C1279" t="s">
        <v>185</v>
      </c>
      <c r="D1279">
        <v>1</v>
      </c>
    </row>
    <row r="1280" spans="1:4" hidden="1" x14ac:dyDescent="0.35">
      <c r="A1280" t="s">
        <v>50</v>
      </c>
      <c r="B1280" t="s">
        <v>5</v>
      </c>
      <c r="C1280" t="s">
        <v>185</v>
      </c>
      <c r="D1280">
        <v>1</v>
      </c>
    </row>
    <row r="1281" spans="1:4" hidden="1" x14ac:dyDescent="0.35">
      <c r="A1281" t="s">
        <v>50</v>
      </c>
      <c r="B1281" t="s">
        <v>5</v>
      </c>
      <c r="C1281" t="s">
        <v>185</v>
      </c>
      <c r="D1281">
        <v>1</v>
      </c>
    </row>
    <row r="1282" spans="1:4" hidden="1" x14ac:dyDescent="0.35">
      <c r="A1282" t="s">
        <v>50</v>
      </c>
      <c r="B1282" t="s">
        <v>5</v>
      </c>
      <c r="C1282" t="s">
        <v>185</v>
      </c>
      <c r="D1282">
        <v>1</v>
      </c>
    </row>
    <row r="1283" spans="1:4" hidden="1" x14ac:dyDescent="0.35">
      <c r="A1283" t="s">
        <v>50</v>
      </c>
      <c r="B1283" t="s">
        <v>5</v>
      </c>
      <c r="C1283" t="s">
        <v>185</v>
      </c>
      <c r="D1283">
        <v>1</v>
      </c>
    </row>
    <row r="1284" spans="1:4" hidden="1" x14ac:dyDescent="0.35">
      <c r="A1284" t="s">
        <v>51</v>
      </c>
      <c r="B1284" t="s">
        <v>5</v>
      </c>
      <c r="C1284" t="s">
        <v>185</v>
      </c>
      <c r="D1284">
        <v>1</v>
      </c>
    </row>
    <row r="1285" spans="1:4" hidden="1" x14ac:dyDescent="0.35">
      <c r="A1285" t="s">
        <v>58</v>
      </c>
      <c r="B1285" t="s">
        <v>5</v>
      </c>
      <c r="C1285" t="s">
        <v>185</v>
      </c>
      <c r="D1285">
        <v>1</v>
      </c>
    </row>
    <row r="1286" spans="1:4" hidden="1" x14ac:dyDescent="0.35">
      <c r="A1286" t="s">
        <v>63</v>
      </c>
      <c r="B1286" t="s">
        <v>5</v>
      </c>
      <c r="C1286" t="s">
        <v>185</v>
      </c>
      <c r="D1286">
        <v>1</v>
      </c>
    </row>
    <row r="1287" spans="1:4" hidden="1" x14ac:dyDescent="0.35">
      <c r="A1287" t="s">
        <v>67</v>
      </c>
      <c r="B1287" t="s">
        <v>5</v>
      </c>
      <c r="C1287" t="s">
        <v>185</v>
      </c>
      <c r="D1287">
        <v>1</v>
      </c>
    </row>
    <row r="1288" spans="1:4" hidden="1" x14ac:dyDescent="0.35">
      <c r="A1288" t="s">
        <v>67</v>
      </c>
      <c r="B1288" t="s">
        <v>5</v>
      </c>
      <c r="C1288" t="s">
        <v>185</v>
      </c>
      <c r="D1288">
        <v>1</v>
      </c>
    </row>
    <row r="1289" spans="1:4" hidden="1" x14ac:dyDescent="0.35">
      <c r="A1289" t="s">
        <v>67</v>
      </c>
      <c r="B1289" t="s">
        <v>5</v>
      </c>
      <c r="C1289" t="s">
        <v>185</v>
      </c>
      <c r="D1289">
        <v>1</v>
      </c>
    </row>
    <row r="1290" spans="1:4" hidden="1" x14ac:dyDescent="0.35">
      <c r="A1290" t="s">
        <v>67</v>
      </c>
      <c r="B1290" t="s">
        <v>5</v>
      </c>
      <c r="C1290" t="s">
        <v>185</v>
      </c>
      <c r="D1290">
        <v>1</v>
      </c>
    </row>
    <row r="1291" spans="1:4" hidden="1" x14ac:dyDescent="0.35">
      <c r="A1291" t="s">
        <v>67</v>
      </c>
      <c r="B1291" t="s">
        <v>5</v>
      </c>
      <c r="C1291" t="s">
        <v>185</v>
      </c>
      <c r="D1291">
        <v>1</v>
      </c>
    </row>
    <row r="1292" spans="1:4" hidden="1" x14ac:dyDescent="0.35">
      <c r="A1292" t="s">
        <v>77</v>
      </c>
      <c r="B1292" t="s">
        <v>5</v>
      </c>
      <c r="C1292" t="s">
        <v>185</v>
      </c>
      <c r="D1292">
        <v>1</v>
      </c>
    </row>
    <row r="1293" spans="1:4" hidden="1" x14ac:dyDescent="0.35">
      <c r="A1293" t="s">
        <v>128</v>
      </c>
      <c r="B1293" t="s">
        <v>5</v>
      </c>
      <c r="C1293" t="s">
        <v>185</v>
      </c>
      <c r="D1293">
        <v>1</v>
      </c>
    </row>
    <row r="1294" spans="1:4" hidden="1" x14ac:dyDescent="0.35">
      <c r="A1294" t="s">
        <v>128</v>
      </c>
      <c r="B1294" t="s">
        <v>5</v>
      </c>
      <c r="C1294" t="s">
        <v>185</v>
      </c>
      <c r="D1294">
        <v>1</v>
      </c>
    </row>
    <row r="1295" spans="1:4" hidden="1" x14ac:dyDescent="0.35">
      <c r="A1295" t="s">
        <v>128</v>
      </c>
      <c r="B1295" t="s">
        <v>5</v>
      </c>
      <c r="C1295" t="s">
        <v>185</v>
      </c>
      <c r="D1295">
        <v>1</v>
      </c>
    </row>
    <row r="1296" spans="1:4" hidden="1" x14ac:dyDescent="0.35">
      <c r="A1296" t="s">
        <v>128</v>
      </c>
      <c r="B1296" t="s">
        <v>5</v>
      </c>
      <c r="C1296" t="s">
        <v>185</v>
      </c>
      <c r="D1296">
        <v>1</v>
      </c>
    </row>
    <row r="1297" spans="1:4" hidden="1" x14ac:dyDescent="0.35">
      <c r="A1297" t="s">
        <v>128</v>
      </c>
      <c r="B1297" t="s">
        <v>5</v>
      </c>
      <c r="C1297" t="s">
        <v>185</v>
      </c>
      <c r="D1297">
        <v>1</v>
      </c>
    </row>
    <row r="1298" spans="1:4" hidden="1" x14ac:dyDescent="0.35">
      <c r="A1298" t="s">
        <v>138</v>
      </c>
      <c r="B1298" t="s">
        <v>5</v>
      </c>
      <c r="C1298" t="s">
        <v>185</v>
      </c>
      <c r="D1298">
        <v>1</v>
      </c>
    </row>
    <row r="1299" spans="1:4" hidden="1" x14ac:dyDescent="0.35">
      <c r="A1299" t="s">
        <v>50</v>
      </c>
      <c r="B1299" t="s">
        <v>5</v>
      </c>
      <c r="C1299" t="s">
        <v>185</v>
      </c>
      <c r="D1299">
        <v>1</v>
      </c>
    </row>
    <row r="1300" spans="1:4" hidden="1" x14ac:dyDescent="0.35">
      <c r="A1300" t="s">
        <v>50</v>
      </c>
      <c r="B1300" t="s">
        <v>5</v>
      </c>
      <c r="C1300" t="s">
        <v>185</v>
      </c>
      <c r="D1300">
        <v>1</v>
      </c>
    </row>
    <row r="1301" spans="1:4" hidden="1" x14ac:dyDescent="0.35">
      <c r="A1301" t="s">
        <v>50</v>
      </c>
      <c r="B1301" t="s">
        <v>5</v>
      </c>
      <c r="C1301" t="s">
        <v>185</v>
      </c>
      <c r="D1301">
        <v>1</v>
      </c>
    </row>
    <row r="1302" spans="1:4" hidden="1" x14ac:dyDescent="0.35">
      <c r="A1302" t="s">
        <v>50</v>
      </c>
      <c r="B1302" t="s">
        <v>5</v>
      </c>
      <c r="C1302" t="s">
        <v>185</v>
      </c>
      <c r="D1302">
        <v>1</v>
      </c>
    </row>
    <row r="1303" spans="1:4" hidden="1" x14ac:dyDescent="0.35">
      <c r="A1303" t="s">
        <v>50</v>
      </c>
      <c r="B1303" t="s">
        <v>5</v>
      </c>
      <c r="C1303" t="s">
        <v>185</v>
      </c>
      <c r="D1303">
        <v>1</v>
      </c>
    </row>
    <row r="1304" spans="1:4" hidden="1" x14ac:dyDescent="0.35">
      <c r="A1304" t="s">
        <v>50</v>
      </c>
      <c r="B1304" t="s">
        <v>5</v>
      </c>
      <c r="C1304" t="s">
        <v>185</v>
      </c>
      <c r="D1304">
        <v>1</v>
      </c>
    </row>
    <row r="1305" spans="1:4" hidden="1" x14ac:dyDescent="0.35">
      <c r="A1305" t="s">
        <v>50</v>
      </c>
      <c r="B1305" t="s">
        <v>5</v>
      </c>
      <c r="C1305" t="s">
        <v>185</v>
      </c>
      <c r="D1305">
        <v>1</v>
      </c>
    </row>
    <row r="1306" spans="1:4" hidden="1" x14ac:dyDescent="0.35">
      <c r="A1306" t="s">
        <v>51</v>
      </c>
      <c r="B1306" t="s">
        <v>5</v>
      </c>
      <c r="C1306" t="s">
        <v>185</v>
      </c>
      <c r="D1306">
        <v>1</v>
      </c>
    </row>
    <row r="1307" spans="1:4" hidden="1" x14ac:dyDescent="0.35">
      <c r="A1307" t="s">
        <v>51</v>
      </c>
      <c r="B1307" t="s">
        <v>5</v>
      </c>
      <c r="C1307" t="s">
        <v>185</v>
      </c>
      <c r="D1307">
        <v>1</v>
      </c>
    </row>
    <row r="1308" spans="1:4" hidden="1" x14ac:dyDescent="0.35">
      <c r="A1308" t="s">
        <v>51</v>
      </c>
      <c r="B1308" t="s">
        <v>5</v>
      </c>
      <c r="C1308" t="s">
        <v>185</v>
      </c>
      <c r="D1308">
        <v>1</v>
      </c>
    </row>
    <row r="1309" spans="1:4" hidden="1" x14ac:dyDescent="0.35">
      <c r="A1309" t="s">
        <v>53</v>
      </c>
      <c r="B1309" t="s">
        <v>5</v>
      </c>
      <c r="C1309" t="s">
        <v>185</v>
      </c>
      <c r="D1309">
        <v>1</v>
      </c>
    </row>
    <row r="1310" spans="1:4" hidden="1" x14ac:dyDescent="0.35">
      <c r="A1310" t="s">
        <v>53</v>
      </c>
      <c r="B1310" t="s">
        <v>5</v>
      </c>
      <c r="C1310" t="s">
        <v>185</v>
      </c>
      <c r="D1310">
        <v>1</v>
      </c>
    </row>
    <row r="1311" spans="1:4" hidden="1" x14ac:dyDescent="0.35">
      <c r="A1311" t="s">
        <v>57</v>
      </c>
      <c r="B1311" t="s">
        <v>5</v>
      </c>
      <c r="C1311" t="s">
        <v>185</v>
      </c>
      <c r="D1311">
        <v>1</v>
      </c>
    </row>
    <row r="1312" spans="1:4" hidden="1" x14ac:dyDescent="0.35">
      <c r="A1312" t="s">
        <v>65</v>
      </c>
      <c r="B1312" t="s">
        <v>5</v>
      </c>
      <c r="C1312" t="s">
        <v>185</v>
      </c>
      <c r="D1312">
        <v>1</v>
      </c>
    </row>
    <row r="1313" spans="1:4" hidden="1" x14ac:dyDescent="0.35">
      <c r="A1313" t="s">
        <v>67</v>
      </c>
      <c r="B1313" t="s">
        <v>5</v>
      </c>
      <c r="C1313" t="s">
        <v>185</v>
      </c>
      <c r="D1313">
        <v>1</v>
      </c>
    </row>
    <row r="1314" spans="1:4" hidden="1" x14ac:dyDescent="0.35">
      <c r="A1314" t="s">
        <v>67</v>
      </c>
      <c r="B1314" t="s">
        <v>5</v>
      </c>
      <c r="C1314" t="s">
        <v>185</v>
      </c>
      <c r="D1314">
        <v>1</v>
      </c>
    </row>
    <row r="1315" spans="1:4" hidden="1" x14ac:dyDescent="0.35">
      <c r="A1315" t="s">
        <v>85</v>
      </c>
      <c r="B1315" t="s">
        <v>5</v>
      </c>
      <c r="C1315" t="s">
        <v>185</v>
      </c>
      <c r="D1315">
        <v>1</v>
      </c>
    </row>
    <row r="1316" spans="1:4" hidden="1" x14ac:dyDescent="0.35">
      <c r="A1316" t="s">
        <v>98</v>
      </c>
      <c r="B1316" t="s">
        <v>5</v>
      </c>
      <c r="C1316" t="s">
        <v>185</v>
      </c>
      <c r="D1316">
        <v>1</v>
      </c>
    </row>
    <row r="1317" spans="1:4" hidden="1" x14ac:dyDescent="0.35">
      <c r="A1317" t="s">
        <v>101</v>
      </c>
      <c r="B1317" t="s">
        <v>5</v>
      </c>
      <c r="C1317" t="s">
        <v>185</v>
      </c>
      <c r="D1317">
        <v>1</v>
      </c>
    </row>
    <row r="1318" spans="1:4" hidden="1" x14ac:dyDescent="0.35">
      <c r="A1318" t="s">
        <v>103</v>
      </c>
      <c r="B1318" t="s">
        <v>5</v>
      </c>
      <c r="C1318" t="s">
        <v>185</v>
      </c>
      <c r="D1318">
        <v>1</v>
      </c>
    </row>
    <row r="1319" spans="1:4" hidden="1" x14ac:dyDescent="0.35">
      <c r="A1319" t="s">
        <v>103</v>
      </c>
      <c r="B1319" t="s">
        <v>5</v>
      </c>
      <c r="C1319" t="s">
        <v>185</v>
      </c>
      <c r="D1319">
        <v>1</v>
      </c>
    </row>
    <row r="1320" spans="1:4" hidden="1" x14ac:dyDescent="0.35">
      <c r="A1320" t="s">
        <v>103</v>
      </c>
      <c r="B1320" t="s">
        <v>5</v>
      </c>
      <c r="C1320" t="s">
        <v>185</v>
      </c>
      <c r="D1320">
        <v>1</v>
      </c>
    </row>
    <row r="1321" spans="1:4" hidden="1" x14ac:dyDescent="0.35">
      <c r="A1321" t="s">
        <v>103</v>
      </c>
      <c r="B1321" t="s">
        <v>5</v>
      </c>
      <c r="C1321" t="s">
        <v>185</v>
      </c>
      <c r="D1321">
        <v>1</v>
      </c>
    </row>
    <row r="1322" spans="1:4" hidden="1" x14ac:dyDescent="0.35">
      <c r="A1322" t="s">
        <v>104</v>
      </c>
      <c r="B1322" t="s">
        <v>5</v>
      </c>
      <c r="C1322" t="s">
        <v>185</v>
      </c>
      <c r="D1322">
        <v>1</v>
      </c>
    </row>
    <row r="1323" spans="1:4" hidden="1" x14ac:dyDescent="0.35">
      <c r="A1323" t="s">
        <v>106</v>
      </c>
      <c r="B1323" t="s">
        <v>5</v>
      </c>
      <c r="C1323" t="s">
        <v>185</v>
      </c>
      <c r="D1323">
        <v>1</v>
      </c>
    </row>
    <row r="1324" spans="1:4" hidden="1" x14ac:dyDescent="0.35">
      <c r="A1324" t="s">
        <v>106</v>
      </c>
      <c r="B1324" t="s">
        <v>5</v>
      </c>
      <c r="C1324" t="s">
        <v>185</v>
      </c>
      <c r="D1324">
        <v>1</v>
      </c>
    </row>
    <row r="1325" spans="1:4" hidden="1" x14ac:dyDescent="0.35">
      <c r="A1325" t="s">
        <v>106</v>
      </c>
      <c r="B1325" t="s">
        <v>5</v>
      </c>
      <c r="C1325" t="s">
        <v>185</v>
      </c>
      <c r="D1325">
        <v>1</v>
      </c>
    </row>
    <row r="1326" spans="1:4" hidden="1" x14ac:dyDescent="0.35">
      <c r="A1326" t="s">
        <v>128</v>
      </c>
      <c r="B1326" t="s">
        <v>5</v>
      </c>
      <c r="C1326" t="s">
        <v>185</v>
      </c>
      <c r="D1326">
        <v>1</v>
      </c>
    </row>
    <row r="1327" spans="1:4" hidden="1" x14ac:dyDescent="0.35">
      <c r="A1327" t="s">
        <v>128</v>
      </c>
      <c r="B1327" t="s">
        <v>5</v>
      </c>
      <c r="C1327" t="s">
        <v>185</v>
      </c>
      <c r="D1327">
        <v>1</v>
      </c>
    </row>
    <row r="1328" spans="1:4" hidden="1" x14ac:dyDescent="0.35">
      <c r="A1328" t="s">
        <v>128</v>
      </c>
      <c r="B1328" t="s">
        <v>5</v>
      </c>
      <c r="C1328" t="s">
        <v>185</v>
      </c>
      <c r="D1328">
        <v>1</v>
      </c>
    </row>
    <row r="1329" spans="1:4" hidden="1" x14ac:dyDescent="0.35">
      <c r="A1329" t="s">
        <v>128</v>
      </c>
      <c r="B1329" t="s">
        <v>5</v>
      </c>
      <c r="C1329" t="s">
        <v>185</v>
      </c>
      <c r="D1329">
        <v>1</v>
      </c>
    </row>
    <row r="1330" spans="1:4" hidden="1" x14ac:dyDescent="0.35">
      <c r="A1330" t="s">
        <v>128</v>
      </c>
      <c r="B1330" t="s">
        <v>5</v>
      </c>
      <c r="C1330" t="s">
        <v>185</v>
      </c>
      <c r="D1330">
        <v>1</v>
      </c>
    </row>
    <row r="1331" spans="1:4" hidden="1" x14ac:dyDescent="0.35">
      <c r="A1331" t="s">
        <v>50</v>
      </c>
      <c r="B1331" t="s">
        <v>5</v>
      </c>
      <c r="C1331" t="s">
        <v>185</v>
      </c>
      <c r="D1331">
        <v>1</v>
      </c>
    </row>
    <row r="1332" spans="1:4" hidden="1" x14ac:dyDescent="0.35">
      <c r="A1332" t="s">
        <v>50</v>
      </c>
      <c r="B1332" t="s">
        <v>5</v>
      </c>
      <c r="C1332" t="s">
        <v>185</v>
      </c>
      <c r="D1332">
        <v>1</v>
      </c>
    </row>
    <row r="1333" spans="1:4" hidden="1" x14ac:dyDescent="0.35">
      <c r="A1333" t="s">
        <v>50</v>
      </c>
      <c r="B1333" t="s">
        <v>5</v>
      </c>
      <c r="C1333" t="s">
        <v>185</v>
      </c>
      <c r="D1333">
        <v>1</v>
      </c>
    </row>
    <row r="1334" spans="1:4" hidden="1" x14ac:dyDescent="0.35">
      <c r="A1334" t="s">
        <v>50</v>
      </c>
      <c r="B1334" t="s">
        <v>5</v>
      </c>
      <c r="C1334" t="s">
        <v>185</v>
      </c>
      <c r="D1334">
        <v>1</v>
      </c>
    </row>
    <row r="1335" spans="1:4" hidden="1" x14ac:dyDescent="0.35">
      <c r="A1335" t="s">
        <v>50</v>
      </c>
      <c r="B1335" t="s">
        <v>5</v>
      </c>
      <c r="C1335" t="s">
        <v>185</v>
      </c>
      <c r="D1335">
        <v>1</v>
      </c>
    </row>
    <row r="1336" spans="1:4" hidden="1" x14ac:dyDescent="0.35">
      <c r="A1336" t="s">
        <v>50</v>
      </c>
      <c r="B1336" t="s">
        <v>5</v>
      </c>
      <c r="C1336" t="s">
        <v>185</v>
      </c>
      <c r="D1336">
        <v>1</v>
      </c>
    </row>
    <row r="1337" spans="1:4" hidden="1" x14ac:dyDescent="0.35">
      <c r="A1337" t="s">
        <v>50</v>
      </c>
      <c r="B1337" t="s">
        <v>5</v>
      </c>
      <c r="C1337" t="s">
        <v>185</v>
      </c>
      <c r="D1337">
        <v>1</v>
      </c>
    </row>
    <row r="1338" spans="1:4" hidden="1" x14ac:dyDescent="0.35">
      <c r="A1338" t="s">
        <v>50</v>
      </c>
      <c r="B1338" t="s">
        <v>5</v>
      </c>
      <c r="C1338" t="s">
        <v>185</v>
      </c>
      <c r="D1338">
        <v>1</v>
      </c>
    </row>
    <row r="1339" spans="1:4" hidden="1" x14ac:dyDescent="0.35">
      <c r="A1339" t="s">
        <v>50</v>
      </c>
      <c r="B1339" t="s">
        <v>5</v>
      </c>
      <c r="C1339" t="s">
        <v>185</v>
      </c>
      <c r="D1339">
        <v>1</v>
      </c>
    </row>
    <row r="1340" spans="1:4" hidden="1" x14ac:dyDescent="0.35">
      <c r="A1340" t="s">
        <v>50</v>
      </c>
      <c r="B1340" t="s">
        <v>5</v>
      </c>
      <c r="C1340" t="s">
        <v>185</v>
      </c>
      <c r="D1340">
        <v>1</v>
      </c>
    </row>
    <row r="1341" spans="1:4" hidden="1" x14ac:dyDescent="0.35">
      <c r="A1341" t="s">
        <v>50</v>
      </c>
      <c r="B1341" t="s">
        <v>5</v>
      </c>
      <c r="C1341" t="s">
        <v>185</v>
      </c>
      <c r="D1341">
        <v>1</v>
      </c>
    </row>
    <row r="1342" spans="1:4" hidden="1" x14ac:dyDescent="0.35">
      <c r="A1342" t="s">
        <v>50</v>
      </c>
      <c r="B1342" t="s">
        <v>5</v>
      </c>
      <c r="C1342" t="s">
        <v>185</v>
      </c>
      <c r="D1342">
        <v>1</v>
      </c>
    </row>
    <row r="1343" spans="1:4" hidden="1" x14ac:dyDescent="0.35">
      <c r="A1343" t="s">
        <v>50</v>
      </c>
      <c r="B1343" t="s">
        <v>5</v>
      </c>
      <c r="C1343" t="s">
        <v>185</v>
      </c>
      <c r="D1343">
        <v>1</v>
      </c>
    </row>
    <row r="1344" spans="1:4" hidden="1" x14ac:dyDescent="0.35">
      <c r="A1344" t="s">
        <v>50</v>
      </c>
      <c r="B1344" t="s">
        <v>5</v>
      </c>
      <c r="C1344" t="s">
        <v>185</v>
      </c>
      <c r="D1344">
        <v>1</v>
      </c>
    </row>
    <row r="1345" spans="1:4" hidden="1" x14ac:dyDescent="0.35">
      <c r="A1345" t="s">
        <v>57</v>
      </c>
      <c r="B1345" t="s">
        <v>5</v>
      </c>
      <c r="C1345" t="s">
        <v>185</v>
      </c>
      <c r="D1345">
        <v>1</v>
      </c>
    </row>
    <row r="1346" spans="1:4" hidden="1" x14ac:dyDescent="0.35">
      <c r="A1346" t="s">
        <v>57</v>
      </c>
      <c r="B1346" t="s">
        <v>5</v>
      </c>
      <c r="C1346" t="s">
        <v>185</v>
      </c>
      <c r="D1346">
        <v>1</v>
      </c>
    </row>
    <row r="1347" spans="1:4" hidden="1" x14ac:dyDescent="0.35">
      <c r="A1347" t="s">
        <v>67</v>
      </c>
      <c r="B1347" t="s">
        <v>5</v>
      </c>
      <c r="C1347" t="s">
        <v>185</v>
      </c>
      <c r="D1347">
        <v>1</v>
      </c>
    </row>
    <row r="1348" spans="1:4" hidden="1" x14ac:dyDescent="0.35">
      <c r="A1348" t="s">
        <v>67</v>
      </c>
      <c r="B1348" t="s">
        <v>5</v>
      </c>
      <c r="C1348" t="s">
        <v>185</v>
      </c>
      <c r="D1348">
        <v>1</v>
      </c>
    </row>
    <row r="1349" spans="1:4" hidden="1" x14ac:dyDescent="0.35">
      <c r="A1349" t="s">
        <v>67</v>
      </c>
      <c r="B1349" t="s">
        <v>5</v>
      </c>
      <c r="C1349" t="s">
        <v>185</v>
      </c>
      <c r="D1349">
        <v>1</v>
      </c>
    </row>
    <row r="1350" spans="1:4" hidden="1" x14ac:dyDescent="0.35">
      <c r="A1350" t="s">
        <v>67</v>
      </c>
      <c r="B1350" t="s">
        <v>5</v>
      </c>
      <c r="C1350" t="s">
        <v>185</v>
      </c>
      <c r="D1350">
        <v>1</v>
      </c>
    </row>
    <row r="1351" spans="1:4" hidden="1" x14ac:dyDescent="0.35">
      <c r="A1351" t="s">
        <v>67</v>
      </c>
      <c r="B1351" t="s">
        <v>5</v>
      </c>
      <c r="C1351" t="s">
        <v>185</v>
      </c>
      <c r="D1351">
        <v>1</v>
      </c>
    </row>
    <row r="1352" spans="1:4" hidden="1" x14ac:dyDescent="0.35">
      <c r="A1352" t="s">
        <v>67</v>
      </c>
      <c r="B1352" t="s">
        <v>5</v>
      </c>
      <c r="C1352" t="s">
        <v>185</v>
      </c>
      <c r="D1352">
        <v>1</v>
      </c>
    </row>
    <row r="1353" spans="1:4" hidden="1" x14ac:dyDescent="0.35">
      <c r="A1353" t="s">
        <v>67</v>
      </c>
      <c r="B1353" t="s">
        <v>5</v>
      </c>
      <c r="C1353" t="s">
        <v>185</v>
      </c>
      <c r="D1353">
        <v>1</v>
      </c>
    </row>
    <row r="1354" spans="1:4" hidden="1" x14ac:dyDescent="0.35">
      <c r="A1354" t="s">
        <v>67</v>
      </c>
      <c r="B1354" t="s">
        <v>5</v>
      </c>
      <c r="C1354" t="s">
        <v>185</v>
      </c>
      <c r="D1354">
        <v>1</v>
      </c>
    </row>
    <row r="1355" spans="1:4" hidden="1" x14ac:dyDescent="0.35">
      <c r="A1355" t="s">
        <v>67</v>
      </c>
      <c r="B1355" t="s">
        <v>5</v>
      </c>
      <c r="C1355" t="s">
        <v>185</v>
      </c>
      <c r="D1355">
        <v>1</v>
      </c>
    </row>
    <row r="1356" spans="1:4" hidden="1" x14ac:dyDescent="0.35">
      <c r="A1356" t="s">
        <v>67</v>
      </c>
      <c r="B1356" t="s">
        <v>5</v>
      </c>
      <c r="C1356" t="s">
        <v>185</v>
      </c>
      <c r="D1356">
        <v>1</v>
      </c>
    </row>
    <row r="1357" spans="1:4" hidden="1" x14ac:dyDescent="0.35">
      <c r="A1357" t="s">
        <v>76</v>
      </c>
      <c r="B1357" t="s">
        <v>5</v>
      </c>
      <c r="C1357" t="s">
        <v>185</v>
      </c>
      <c r="D1357">
        <v>1</v>
      </c>
    </row>
    <row r="1358" spans="1:4" hidden="1" x14ac:dyDescent="0.35">
      <c r="A1358" t="s">
        <v>85</v>
      </c>
      <c r="B1358" t="s">
        <v>5</v>
      </c>
      <c r="C1358" t="s">
        <v>185</v>
      </c>
      <c r="D1358">
        <v>1</v>
      </c>
    </row>
    <row r="1359" spans="1:4" hidden="1" x14ac:dyDescent="0.35">
      <c r="A1359" t="s">
        <v>96</v>
      </c>
      <c r="B1359" t="s">
        <v>5</v>
      </c>
      <c r="C1359" t="s">
        <v>185</v>
      </c>
      <c r="D1359">
        <v>1</v>
      </c>
    </row>
    <row r="1360" spans="1:4" hidden="1" x14ac:dyDescent="0.35">
      <c r="A1360" t="s">
        <v>97</v>
      </c>
      <c r="B1360" t="s">
        <v>5</v>
      </c>
      <c r="C1360" t="s">
        <v>185</v>
      </c>
      <c r="D1360">
        <v>1</v>
      </c>
    </row>
    <row r="1361" spans="1:4" hidden="1" x14ac:dyDescent="0.35">
      <c r="A1361" t="s">
        <v>103</v>
      </c>
      <c r="B1361" t="s">
        <v>5</v>
      </c>
      <c r="C1361" t="s">
        <v>185</v>
      </c>
      <c r="D1361">
        <v>1</v>
      </c>
    </row>
    <row r="1362" spans="1:4" hidden="1" x14ac:dyDescent="0.35">
      <c r="A1362" t="s">
        <v>119</v>
      </c>
      <c r="B1362" t="s">
        <v>5</v>
      </c>
      <c r="C1362" t="s">
        <v>185</v>
      </c>
      <c r="D1362">
        <v>1</v>
      </c>
    </row>
    <row r="1363" spans="1:4" hidden="1" x14ac:dyDescent="0.35">
      <c r="A1363" t="s">
        <v>128</v>
      </c>
      <c r="B1363" t="s">
        <v>5</v>
      </c>
      <c r="C1363" t="s">
        <v>185</v>
      </c>
      <c r="D1363">
        <v>1</v>
      </c>
    </row>
    <row r="1364" spans="1:4" hidden="1" x14ac:dyDescent="0.35">
      <c r="A1364" t="s">
        <v>128</v>
      </c>
      <c r="B1364" t="s">
        <v>5</v>
      </c>
      <c r="C1364" t="s">
        <v>185</v>
      </c>
      <c r="D1364">
        <v>1</v>
      </c>
    </row>
    <row r="1365" spans="1:4" hidden="1" x14ac:dyDescent="0.35">
      <c r="A1365" t="s">
        <v>128</v>
      </c>
      <c r="B1365" t="s">
        <v>5</v>
      </c>
      <c r="C1365" t="s">
        <v>185</v>
      </c>
      <c r="D1365">
        <v>1</v>
      </c>
    </row>
    <row r="1366" spans="1:4" hidden="1" x14ac:dyDescent="0.35">
      <c r="A1366" t="s">
        <v>128</v>
      </c>
      <c r="B1366" t="s">
        <v>5</v>
      </c>
      <c r="C1366" t="s">
        <v>185</v>
      </c>
      <c r="D1366">
        <v>1</v>
      </c>
    </row>
    <row r="1367" spans="1:4" hidden="1" x14ac:dyDescent="0.35">
      <c r="A1367" t="s">
        <v>128</v>
      </c>
      <c r="B1367" t="s">
        <v>5</v>
      </c>
      <c r="C1367" t="s">
        <v>185</v>
      </c>
      <c r="D1367">
        <v>1</v>
      </c>
    </row>
    <row r="1368" spans="1:4" hidden="1" x14ac:dyDescent="0.35">
      <c r="A1368" t="s">
        <v>128</v>
      </c>
      <c r="B1368" t="s">
        <v>5</v>
      </c>
      <c r="C1368" t="s">
        <v>185</v>
      </c>
      <c r="D1368">
        <v>1</v>
      </c>
    </row>
    <row r="1369" spans="1:4" hidden="1" x14ac:dyDescent="0.35">
      <c r="A1369" t="s">
        <v>128</v>
      </c>
      <c r="B1369" t="s">
        <v>5</v>
      </c>
      <c r="C1369" t="s">
        <v>185</v>
      </c>
      <c r="D1369">
        <v>1</v>
      </c>
    </row>
    <row r="1370" spans="1:4" hidden="1" x14ac:dyDescent="0.35">
      <c r="A1370" t="s">
        <v>128</v>
      </c>
      <c r="B1370" t="s">
        <v>5</v>
      </c>
      <c r="C1370" t="s">
        <v>185</v>
      </c>
      <c r="D1370">
        <v>1</v>
      </c>
    </row>
    <row r="1371" spans="1:4" hidden="1" x14ac:dyDescent="0.35">
      <c r="A1371" t="s">
        <v>128</v>
      </c>
      <c r="B1371" t="s">
        <v>5</v>
      </c>
      <c r="C1371" t="s">
        <v>185</v>
      </c>
      <c r="D1371">
        <v>1</v>
      </c>
    </row>
    <row r="1372" spans="1:4" hidden="1" x14ac:dyDescent="0.35">
      <c r="A1372" t="s">
        <v>128</v>
      </c>
      <c r="B1372" t="s">
        <v>5</v>
      </c>
      <c r="C1372" t="s">
        <v>185</v>
      </c>
      <c r="D1372">
        <v>1</v>
      </c>
    </row>
    <row r="1373" spans="1:4" hidden="1" x14ac:dyDescent="0.35">
      <c r="A1373" t="s">
        <v>128</v>
      </c>
      <c r="B1373" t="s">
        <v>5</v>
      </c>
      <c r="C1373" t="s">
        <v>185</v>
      </c>
      <c r="D1373">
        <v>1</v>
      </c>
    </row>
    <row r="1374" spans="1:4" hidden="1" x14ac:dyDescent="0.35">
      <c r="A1374" t="s">
        <v>128</v>
      </c>
      <c r="B1374" t="s">
        <v>5</v>
      </c>
      <c r="C1374" t="s">
        <v>185</v>
      </c>
      <c r="D1374">
        <v>1</v>
      </c>
    </row>
    <row r="1375" spans="1:4" hidden="1" x14ac:dyDescent="0.35">
      <c r="A1375" t="s">
        <v>128</v>
      </c>
      <c r="B1375" t="s">
        <v>5</v>
      </c>
      <c r="C1375" t="s">
        <v>185</v>
      </c>
      <c r="D1375">
        <v>1</v>
      </c>
    </row>
    <row r="1376" spans="1:4" hidden="1" x14ac:dyDescent="0.35">
      <c r="A1376" t="s">
        <v>128</v>
      </c>
      <c r="B1376" t="s">
        <v>5</v>
      </c>
      <c r="C1376" t="s">
        <v>185</v>
      </c>
      <c r="D1376">
        <v>1</v>
      </c>
    </row>
    <row r="1377" spans="1:4" hidden="1" x14ac:dyDescent="0.35">
      <c r="A1377" t="s">
        <v>128</v>
      </c>
      <c r="B1377" t="s">
        <v>5</v>
      </c>
      <c r="C1377" t="s">
        <v>185</v>
      </c>
      <c r="D1377">
        <v>1</v>
      </c>
    </row>
    <row r="1378" spans="1:4" hidden="1" x14ac:dyDescent="0.35">
      <c r="A1378" t="s">
        <v>128</v>
      </c>
      <c r="B1378" t="s">
        <v>5</v>
      </c>
      <c r="C1378" t="s">
        <v>185</v>
      </c>
      <c r="D1378">
        <v>1</v>
      </c>
    </row>
    <row r="1379" spans="1:4" hidden="1" x14ac:dyDescent="0.35">
      <c r="A1379" t="s">
        <v>50</v>
      </c>
      <c r="B1379" t="s">
        <v>5</v>
      </c>
      <c r="C1379" t="s">
        <v>185</v>
      </c>
      <c r="D1379">
        <v>1</v>
      </c>
    </row>
    <row r="1380" spans="1:4" hidden="1" x14ac:dyDescent="0.35">
      <c r="A1380" t="s">
        <v>50</v>
      </c>
      <c r="B1380" t="s">
        <v>5</v>
      </c>
      <c r="C1380" t="s">
        <v>185</v>
      </c>
      <c r="D1380">
        <v>1</v>
      </c>
    </row>
    <row r="1381" spans="1:4" hidden="1" x14ac:dyDescent="0.35">
      <c r="A1381" t="s">
        <v>50</v>
      </c>
      <c r="B1381" t="s">
        <v>5</v>
      </c>
      <c r="C1381" t="s">
        <v>185</v>
      </c>
      <c r="D1381">
        <v>1</v>
      </c>
    </row>
    <row r="1382" spans="1:4" hidden="1" x14ac:dyDescent="0.35">
      <c r="A1382" t="s">
        <v>50</v>
      </c>
      <c r="B1382" t="s">
        <v>5</v>
      </c>
      <c r="C1382" t="s">
        <v>185</v>
      </c>
      <c r="D1382">
        <v>1</v>
      </c>
    </row>
    <row r="1383" spans="1:4" hidden="1" x14ac:dyDescent="0.35">
      <c r="A1383" t="s">
        <v>67</v>
      </c>
      <c r="B1383" t="s">
        <v>5</v>
      </c>
      <c r="C1383" t="s">
        <v>185</v>
      </c>
      <c r="D1383">
        <v>1</v>
      </c>
    </row>
    <row r="1384" spans="1:4" hidden="1" x14ac:dyDescent="0.35">
      <c r="A1384" t="s">
        <v>67</v>
      </c>
      <c r="B1384" t="s">
        <v>5</v>
      </c>
      <c r="C1384" t="s">
        <v>185</v>
      </c>
      <c r="D1384">
        <v>1</v>
      </c>
    </row>
    <row r="1385" spans="1:4" hidden="1" x14ac:dyDescent="0.35">
      <c r="A1385" t="s">
        <v>101</v>
      </c>
      <c r="B1385" t="s">
        <v>5</v>
      </c>
      <c r="C1385" t="s">
        <v>185</v>
      </c>
      <c r="D1385">
        <v>1</v>
      </c>
    </row>
    <row r="1386" spans="1:4" hidden="1" x14ac:dyDescent="0.35">
      <c r="A1386" t="s">
        <v>106</v>
      </c>
      <c r="B1386" t="s">
        <v>5</v>
      </c>
      <c r="C1386" t="s">
        <v>185</v>
      </c>
      <c r="D1386">
        <v>1</v>
      </c>
    </row>
    <row r="1387" spans="1:4" hidden="1" x14ac:dyDescent="0.35">
      <c r="A1387" t="s">
        <v>128</v>
      </c>
      <c r="B1387" t="s">
        <v>5</v>
      </c>
      <c r="C1387" t="s">
        <v>185</v>
      </c>
      <c r="D1387">
        <v>1</v>
      </c>
    </row>
    <row r="1388" spans="1:4" hidden="1" x14ac:dyDescent="0.35">
      <c r="A1388" t="s">
        <v>128</v>
      </c>
      <c r="B1388" t="s">
        <v>5</v>
      </c>
      <c r="C1388" t="s">
        <v>185</v>
      </c>
      <c r="D1388">
        <v>1</v>
      </c>
    </row>
    <row r="1389" spans="1:4" hidden="1" x14ac:dyDescent="0.35">
      <c r="A1389" t="s">
        <v>128</v>
      </c>
      <c r="B1389" t="s">
        <v>5</v>
      </c>
      <c r="C1389" t="s">
        <v>185</v>
      </c>
      <c r="D1389">
        <v>1</v>
      </c>
    </row>
    <row r="1390" spans="1:4" hidden="1" x14ac:dyDescent="0.35">
      <c r="A1390" t="s">
        <v>128</v>
      </c>
      <c r="B1390" t="s">
        <v>5</v>
      </c>
      <c r="C1390" t="s">
        <v>185</v>
      </c>
      <c r="D1390">
        <v>1</v>
      </c>
    </row>
    <row r="1391" spans="1:4" hidden="1" x14ac:dyDescent="0.35">
      <c r="A1391" t="s">
        <v>128</v>
      </c>
      <c r="B1391" t="s">
        <v>5</v>
      </c>
      <c r="C1391" t="s">
        <v>185</v>
      </c>
      <c r="D1391">
        <v>1</v>
      </c>
    </row>
    <row r="1392" spans="1:4" hidden="1" x14ac:dyDescent="0.35">
      <c r="A1392" t="s">
        <v>128</v>
      </c>
      <c r="B1392" t="s">
        <v>5</v>
      </c>
      <c r="C1392" t="s">
        <v>185</v>
      </c>
      <c r="D1392">
        <v>1</v>
      </c>
    </row>
    <row r="1393" spans="1:4" hidden="1" x14ac:dyDescent="0.35">
      <c r="A1393" t="s">
        <v>50</v>
      </c>
      <c r="B1393" t="s">
        <v>5</v>
      </c>
      <c r="C1393" t="s">
        <v>185</v>
      </c>
      <c r="D1393">
        <v>1</v>
      </c>
    </row>
    <row r="1394" spans="1:4" hidden="1" x14ac:dyDescent="0.35">
      <c r="A1394" t="s">
        <v>50</v>
      </c>
      <c r="B1394" t="s">
        <v>5</v>
      </c>
      <c r="C1394" t="s">
        <v>185</v>
      </c>
      <c r="D1394">
        <v>1</v>
      </c>
    </row>
    <row r="1395" spans="1:4" hidden="1" x14ac:dyDescent="0.35">
      <c r="A1395" t="s">
        <v>67</v>
      </c>
      <c r="B1395" t="s">
        <v>5</v>
      </c>
      <c r="C1395" t="s">
        <v>185</v>
      </c>
      <c r="D1395">
        <v>1</v>
      </c>
    </row>
    <row r="1396" spans="1:4" hidden="1" x14ac:dyDescent="0.35">
      <c r="A1396" t="s">
        <v>128</v>
      </c>
      <c r="B1396" t="s">
        <v>5</v>
      </c>
      <c r="C1396" t="s">
        <v>185</v>
      </c>
      <c r="D1396">
        <v>1</v>
      </c>
    </row>
    <row r="1397" spans="1:4" hidden="1" x14ac:dyDescent="0.35">
      <c r="A1397" t="s">
        <v>50</v>
      </c>
      <c r="B1397" t="s">
        <v>5</v>
      </c>
      <c r="C1397" t="s">
        <v>185</v>
      </c>
      <c r="D1397">
        <v>1</v>
      </c>
    </row>
    <row r="1398" spans="1:4" hidden="1" x14ac:dyDescent="0.35">
      <c r="A1398" t="s">
        <v>50</v>
      </c>
      <c r="B1398" t="s">
        <v>5</v>
      </c>
      <c r="C1398" t="s">
        <v>185</v>
      </c>
      <c r="D1398">
        <v>1</v>
      </c>
    </row>
    <row r="1399" spans="1:4" hidden="1" x14ac:dyDescent="0.35">
      <c r="A1399" t="s">
        <v>50</v>
      </c>
      <c r="B1399" t="s">
        <v>5</v>
      </c>
      <c r="C1399" t="s">
        <v>185</v>
      </c>
      <c r="D1399">
        <v>1</v>
      </c>
    </row>
    <row r="1400" spans="1:4" hidden="1" x14ac:dyDescent="0.35">
      <c r="A1400" t="s">
        <v>50</v>
      </c>
      <c r="B1400" t="s">
        <v>5</v>
      </c>
      <c r="C1400" t="s">
        <v>185</v>
      </c>
      <c r="D1400">
        <v>1</v>
      </c>
    </row>
    <row r="1401" spans="1:4" hidden="1" x14ac:dyDescent="0.35">
      <c r="A1401" t="s">
        <v>50</v>
      </c>
      <c r="B1401" t="s">
        <v>5</v>
      </c>
      <c r="C1401" t="s">
        <v>185</v>
      </c>
      <c r="D1401">
        <v>1</v>
      </c>
    </row>
    <row r="1402" spans="1:4" hidden="1" x14ac:dyDescent="0.35">
      <c r="A1402" t="s">
        <v>50</v>
      </c>
      <c r="B1402" t="s">
        <v>5</v>
      </c>
      <c r="C1402" t="s">
        <v>185</v>
      </c>
      <c r="D1402">
        <v>1</v>
      </c>
    </row>
    <row r="1403" spans="1:4" hidden="1" x14ac:dyDescent="0.35">
      <c r="A1403" t="s">
        <v>50</v>
      </c>
      <c r="B1403" t="s">
        <v>5</v>
      </c>
      <c r="C1403" t="s">
        <v>185</v>
      </c>
      <c r="D1403">
        <v>1</v>
      </c>
    </row>
    <row r="1404" spans="1:4" hidden="1" x14ac:dyDescent="0.35">
      <c r="A1404" t="s">
        <v>50</v>
      </c>
      <c r="B1404" t="s">
        <v>5</v>
      </c>
      <c r="C1404" t="s">
        <v>185</v>
      </c>
      <c r="D1404">
        <v>1</v>
      </c>
    </row>
    <row r="1405" spans="1:4" hidden="1" x14ac:dyDescent="0.35">
      <c r="A1405" t="s">
        <v>50</v>
      </c>
      <c r="B1405" t="s">
        <v>5</v>
      </c>
      <c r="C1405" t="s">
        <v>185</v>
      </c>
      <c r="D1405">
        <v>1</v>
      </c>
    </row>
    <row r="1406" spans="1:4" hidden="1" x14ac:dyDescent="0.35">
      <c r="A1406" t="s">
        <v>50</v>
      </c>
      <c r="B1406" t="s">
        <v>5</v>
      </c>
      <c r="C1406" t="s">
        <v>185</v>
      </c>
      <c r="D1406">
        <v>1</v>
      </c>
    </row>
    <row r="1407" spans="1:4" hidden="1" x14ac:dyDescent="0.35">
      <c r="A1407" t="s">
        <v>67</v>
      </c>
      <c r="B1407" t="s">
        <v>5</v>
      </c>
      <c r="C1407" t="s">
        <v>185</v>
      </c>
      <c r="D1407">
        <v>1</v>
      </c>
    </row>
    <row r="1408" spans="1:4" hidden="1" x14ac:dyDescent="0.35">
      <c r="A1408" t="s">
        <v>67</v>
      </c>
      <c r="B1408" t="s">
        <v>5</v>
      </c>
      <c r="C1408" t="s">
        <v>185</v>
      </c>
      <c r="D1408">
        <v>1</v>
      </c>
    </row>
    <row r="1409" spans="1:4" hidden="1" x14ac:dyDescent="0.35">
      <c r="A1409" t="s">
        <v>67</v>
      </c>
      <c r="B1409" t="s">
        <v>5</v>
      </c>
      <c r="C1409" t="s">
        <v>185</v>
      </c>
      <c r="D1409">
        <v>1</v>
      </c>
    </row>
    <row r="1410" spans="1:4" hidden="1" x14ac:dyDescent="0.35">
      <c r="A1410" t="s">
        <v>93</v>
      </c>
      <c r="B1410" t="s">
        <v>5</v>
      </c>
      <c r="C1410" t="s">
        <v>185</v>
      </c>
      <c r="D1410">
        <v>1</v>
      </c>
    </row>
    <row r="1411" spans="1:4" hidden="1" x14ac:dyDescent="0.35">
      <c r="A1411" t="s">
        <v>93</v>
      </c>
      <c r="B1411" t="s">
        <v>5</v>
      </c>
      <c r="C1411" t="s">
        <v>185</v>
      </c>
      <c r="D1411">
        <v>1</v>
      </c>
    </row>
    <row r="1412" spans="1:4" hidden="1" x14ac:dyDescent="0.35">
      <c r="A1412" t="s">
        <v>128</v>
      </c>
      <c r="B1412" t="s">
        <v>5</v>
      </c>
      <c r="C1412" t="s">
        <v>185</v>
      </c>
      <c r="D1412">
        <v>1</v>
      </c>
    </row>
    <row r="1413" spans="1:4" hidden="1" x14ac:dyDescent="0.35">
      <c r="A1413" t="s">
        <v>128</v>
      </c>
      <c r="B1413" t="s">
        <v>5</v>
      </c>
      <c r="C1413" t="s">
        <v>185</v>
      </c>
      <c r="D1413">
        <v>1</v>
      </c>
    </row>
    <row r="1414" spans="1:4" hidden="1" x14ac:dyDescent="0.35">
      <c r="A1414" t="s">
        <v>128</v>
      </c>
      <c r="B1414" t="s">
        <v>5</v>
      </c>
      <c r="C1414" t="s">
        <v>185</v>
      </c>
      <c r="D1414">
        <v>1</v>
      </c>
    </row>
    <row r="1415" spans="1:4" hidden="1" x14ac:dyDescent="0.35">
      <c r="A1415" t="s">
        <v>128</v>
      </c>
      <c r="B1415" t="s">
        <v>5</v>
      </c>
      <c r="C1415" t="s">
        <v>185</v>
      </c>
      <c r="D1415">
        <v>1</v>
      </c>
    </row>
    <row r="1416" spans="1:4" hidden="1" x14ac:dyDescent="0.35">
      <c r="A1416" t="s">
        <v>128</v>
      </c>
      <c r="B1416" t="s">
        <v>5</v>
      </c>
      <c r="C1416" t="s">
        <v>185</v>
      </c>
      <c r="D1416">
        <v>1</v>
      </c>
    </row>
    <row r="1417" spans="1:4" hidden="1" x14ac:dyDescent="0.35">
      <c r="A1417" t="s">
        <v>128</v>
      </c>
      <c r="B1417" t="s">
        <v>5</v>
      </c>
      <c r="C1417" t="s">
        <v>185</v>
      </c>
      <c r="D1417">
        <v>1</v>
      </c>
    </row>
    <row r="1418" spans="1:4" hidden="1" x14ac:dyDescent="0.35">
      <c r="A1418" t="s">
        <v>128</v>
      </c>
      <c r="B1418" t="s">
        <v>5</v>
      </c>
      <c r="C1418" t="s">
        <v>185</v>
      </c>
      <c r="D1418">
        <v>1</v>
      </c>
    </row>
    <row r="1419" spans="1:4" hidden="1" x14ac:dyDescent="0.35">
      <c r="A1419" t="s">
        <v>128</v>
      </c>
      <c r="B1419" t="s">
        <v>5</v>
      </c>
      <c r="C1419" t="s">
        <v>185</v>
      </c>
      <c r="D1419">
        <v>1</v>
      </c>
    </row>
    <row r="1420" spans="1:4" hidden="1" x14ac:dyDescent="0.35">
      <c r="A1420" t="s">
        <v>128</v>
      </c>
      <c r="B1420" t="s">
        <v>5</v>
      </c>
      <c r="C1420" t="s">
        <v>185</v>
      </c>
      <c r="D1420">
        <v>1</v>
      </c>
    </row>
    <row r="1421" spans="1:4" hidden="1" x14ac:dyDescent="0.35">
      <c r="A1421" t="s">
        <v>34</v>
      </c>
      <c r="B1421" t="s">
        <v>5</v>
      </c>
      <c r="C1421" t="s">
        <v>185</v>
      </c>
      <c r="D1421">
        <v>1</v>
      </c>
    </row>
    <row r="1422" spans="1:4" hidden="1" x14ac:dyDescent="0.35">
      <c r="A1422" t="s">
        <v>50</v>
      </c>
      <c r="B1422" t="s">
        <v>5</v>
      </c>
      <c r="C1422" t="s">
        <v>185</v>
      </c>
      <c r="D1422">
        <v>1</v>
      </c>
    </row>
    <row r="1423" spans="1:4" hidden="1" x14ac:dyDescent="0.35">
      <c r="A1423" t="s">
        <v>50</v>
      </c>
      <c r="B1423" t="s">
        <v>5</v>
      </c>
      <c r="C1423" t="s">
        <v>185</v>
      </c>
      <c r="D1423">
        <v>1</v>
      </c>
    </row>
    <row r="1424" spans="1:4" hidden="1" x14ac:dyDescent="0.35">
      <c r="A1424" t="s">
        <v>50</v>
      </c>
      <c r="B1424" t="s">
        <v>5</v>
      </c>
      <c r="C1424" t="s">
        <v>185</v>
      </c>
      <c r="D1424">
        <v>1</v>
      </c>
    </row>
    <row r="1425" spans="1:4" hidden="1" x14ac:dyDescent="0.35">
      <c r="A1425" t="s">
        <v>50</v>
      </c>
      <c r="B1425" t="s">
        <v>5</v>
      </c>
      <c r="C1425" t="s">
        <v>185</v>
      </c>
      <c r="D1425">
        <v>1</v>
      </c>
    </row>
    <row r="1426" spans="1:4" hidden="1" x14ac:dyDescent="0.35">
      <c r="A1426" t="s">
        <v>50</v>
      </c>
      <c r="B1426" t="s">
        <v>5</v>
      </c>
      <c r="C1426" t="s">
        <v>185</v>
      </c>
      <c r="D1426">
        <v>1</v>
      </c>
    </row>
    <row r="1427" spans="1:4" hidden="1" x14ac:dyDescent="0.35">
      <c r="A1427" t="s">
        <v>50</v>
      </c>
      <c r="B1427" t="s">
        <v>5</v>
      </c>
      <c r="C1427" t="s">
        <v>185</v>
      </c>
      <c r="D1427">
        <v>1</v>
      </c>
    </row>
    <row r="1428" spans="1:4" hidden="1" x14ac:dyDescent="0.35">
      <c r="A1428" t="s">
        <v>50</v>
      </c>
      <c r="B1428" t="s">
        <v>5</v>
      </c>
      <c r="C1428" t="s">
        <v>185</v>
      </c>
      <c r="D1428">
        <v>1</v>
      </c>
    </row>
    <row r="1429" spans="1:4" hidden="1" x14ac:dyDescent="0.35">
      <c r="A1429" t="s">
        <v>50</v>
      </c>
      <c r="B1429" t="s">
        <v>5</v>
      </c>
      <c r="C1429" t="s">
        <v>185</v>
      </c>
      <c r="D1429">
        <v>1</v>
      </c>
    </row>
    <row r="1430" spans="1:4" hidden="1" x14ac:dyDescent="0.35">
      <c r="A1430" t="s">
        <v>50</v>
      </c>
      <c r="B1430" t="s">
        <v>5</v>
      </c>
      <c r="C1430" t="s">
        <v>185</v>
      </c>
      <c r="D1430">
        <v>1</v>
      </c>
    </row>
    <row r="1431" spans="1:4" hidden="1" x14ac:dyDescent="0.35">
      <c r="A1431" t="s">
        <v>50</v>
      </c>
      <c r="B1431" t="s">
        <v>5</v>
      </c>
      <c r="C1431" t="s">
        <v>185</v>
      </c>
      <c r="D1431">
        <v>1</v>
      </c>
    </row>
    <row r="1432" spans="1:4" hidden="1" x14ac:dyDescent="0.35">
      <c r="A1432" t="s">
        <v>50</v>
      </c>
      <c r="B1432" t="s">
        <v>5</v>
      </c>
      <c r="C1432" t="s">
        <v>185</v>
      </c>
      <c r="D1432">
        <v>1</v>
      </c>
    </row>
    <row r="1433" spans="1:4" hidden="1" x14ac:dyDescent="0.35">
      <c r="A1433" t="s">
        <v>50</v>
      </c>
      <c r="B1433" t="s">
        <v>5</v>
      </c>
      <c r="C1433" t="s">
        <v>185</v>
      </c>
      <c r="D1433">
        <v>1</v>
      </c>
    </row>
    <row r="1434" spans="1:4" hidden="1" x14ac:dyDescent="0.35">
      <c r="A1434" t="s">
        <v>52</v>
      </c>
      <c r="B1434" t="s">
        <v>5</v>
      </c>
      <c r="C1434" t="s">
        <v>185</v>
      </c>
      <c r="D1434">
        <v>1</v>
      </c>
    </row>
    <row r="1435" spans="1:4" hidden="1" x14ac:dyDescent="0.35">
      <c r="A1435" t="s">
        <v>82</v>
      </c>
      <c r="B1435" t="s">
        <v>5</v>
      </c>
      <c r="C1435" t="s">
        <v>185</v>
      </c>
      <c r="D1435">
        <v>1</v>
      </c>
    </row>
    <row r="1436" spans="1:4" hidden="1" x14ac:dyDescent="0.35">
      <c r="A1436" t="s">
        <v>96</v>
      </c>
      <c r="B1436" t="s">
        <v>5</v>
      </c>
      <c r="C1436" t="s">
        <v>185</v>
      </c>
      <c r="D1436">
        <v>1</v>
      </c>
    </row>
    <row r="1437" spans="1:4" hidden="1" x14ac:dyDescent="0.35">
      <c r="A1437" t="s">
        <v>98</v>
      </c>
      <c r="B1437" t="s">
        <v>5</v>
      </c>
      <c r="C1437" t="s">
        <v>185</v>
      </c>
      <c r="D1437">
        <v>1</v>
      </c>
    </row>
    <row r="1438" spans="1:4" hidden="1" x14ac:dyDescent="0.35">
      <c r="A1438" t="s">
        <v>101</v>
      </c>
      <c r="B1438" t="s">
        <v>5</v>
      </c>
      <c r="C1438" t="s">
        <v>185</v>
      </c>
      <c r="D1438">
        <v>1</v>
      </c>
    </row>
    <row r="1439" spans="1:4" hidden="1" x14ac:dyDescent="0.35">
      <c r="A1439" t="s">
        <v>102</v>
      </c>
      <c r="B1439" t="s">
        <v>5</v>
      </c>
      <c r="C1439" t="s">
        <v>185</v>
      </c>
      <c r="D1439">
        <v>1</v>
      </c>
    </row>
    <row r="1440" spans="1:4" hidden="1" x14ac:dyDescent="0.35">
      <c r="A1440" t="s">
        <v>128</v>
      </c>
      <c r="B1440" t="s">
        <v>5</v>
      </c>
      <c r="C1440" t="s">
        <v>185</v>
      </c>
      <c r="D1440">
        <v>1</v>
      </c>
    </row>
    <row r="1441" spans="1:4" hidden="1" x14ac:dyDescent="0.35">
      <c r="A1441" t="s">
        <v>128</v>
      </c>
      <c r="B1441" t="s">
        <v>5</v>
      </c>
      <c r="C1441" t="s">
        <v>185</v>
      </c>
      <c r="D1441">
        <v>1</v>
      </c>
    </row>
    <row r="1442" spans="1:4" hidden="1" x14ac:dyDescent="0.35">
      <c r="A1442" t="s">
        <v>128</v>
      </c>
      <c r="B1442" t="s">
        <v>5</v>
      </c>
      <c r="C1442" t="s">
        <v>185</v>
      </c>
      <c r="D1442">
        <v>1</v>
      </c>
    </row>
    <row r="1443" spans="1:4" hidden="1" x14ac:dyDescent="0.35">
      <c r="A1443" t="s">
        <v>128</v>
      </c>
      <c r="B1443" t="s">
        <v>5</v>
      </c>
      <c r="C1443" t="s">
        <v>185</v>
      </c>
      <c r="D1443">
        <v>1</v>
      </c>
    </row>
    <row r="1444" spans="1:4" hidden="1" x14ac:dyDescent="0.35">
      <c r="A1444" t="s">
        <v>128</v>
      </c>
      <c r="B1444" t="s">
        <v>5</v>
      </c>
      <c r="C1444" t="s">
        <v>185</v>
      </c>
      <c r="D1444">
        <v>1</v>
      </c>
    </row>
    <row r="1445" spans="1:4" hidden="1" x14ac:dyDescent="0.35">
      <c r="A1445" t="s">
        <v>128</v>
      </c>
      <c r="B1445" t="s">
        <v>5</v>
      </c>
      <c r="C1445" t="s">
        <v>185</v>
      </c>
      <c r="D1445">
        <v>1</v>
      </c>
    </row>
    <row r="1446" spans="1:4" hidden="1" x14ac:dyDescent="0.35">
      <c r="A1446" t="s">
        <v>129</v>
      </c>
      <c r="B1446" t="s">
        <v>5</v>
      </c>
      <c r="C1446" t="s">
        <v>185</v>
      </c>
      <c r="D1446">
        <v>1</v>
      </c>
    </row>
    <row r="1447" spans="1:4" hidden="1" x14ac:dyDescent="0.35">
      <c r="A1447" t="s">
        <v>50</v>
      </c>
      <c r="B1447" t="s">
        <v>5</v>
      </c>
      <c r="C1447" t="s">
        <v>185</v>
      </c>
      <c r="D1447">
        <v>1</v>
      </c>
    </row>
    <row r="1448" spans="1:4" hidden="1" x14ac:dyDescent="0.35">
      <c r="A1448" t="s">
        <v>50</v>
      </c>
      <c r="B1448" t="s">
        <v>5</v>
      </c>
      <c r="C1448" t="s">
        <v>185</v>
      </c>
      <c r="D1448">
        <v>1</v>
      </c>
    </row>
    <row r="1449" spans="1:4" hidden="1" x14ac:dyDescent="0.35">
      <c r="A1449" t="s">
        <v>50</v>
      </c>
      <c r="B1449" t="s">
        <v>5</v>
      </c>
      <c r="C1449" t="s">
        <v>185</v>
      </c>
      <c r="D1449">
        <v>1</v>
      </c>
    </row>
    <row r="1450" spans="1:4" hidden="1" x14ac:dyDescent="0.35">
      <c r="A1450" t="s">
        <v>50</v>
      </c>
      <c r="B1450" t="s">
        <v>5</v>
      </c>
      <c r="C1450" t="s">
        <v>185</v>
      </c>
      <c r="D1450">
        <v>1</v>
      </c>
    </row>
    <row r="1451" spans="1:4" hidden="1" x14ac:dyDescent="0.35">
      <c r="A1451" t="s">
        <v>50</v>
      </c>
      <c r="B1451" t="s">
        <v>5</v>
      </c>
      <c r="C1451" t="s">
        <v>185</v>
      </c>
      <c r="D1451">
        <v>1</v>
      </c>
    </row>
    <row r="1452" spans="1:4" hidden="1" x14ac:dyDescent="0.35">
      <c r="A1452" t="s">
        <v>50</v>
      </c>
      <c r="B1452" t="s">
        <v>5</v>
      </c>
      <c r="C1452" t="s">
        <v>185</v>
      </c>
      <c r="D1452">
        <v>1</v>
      </c>
    </row>
    <row r="1453" spans="1:4" hidden="1" x14ac:dyDescent="0.35">
      <c r="A1453" t="s">
        <v>50</v>
      </c>
      <c r="B1453" t="s">
        <v>5</v>
      </c>
      <c r="C1453" t="s">
        <v>185</v>
      </c>
      <c r="D1453">
        <v>1</v>
      </c>
    </row>
    <row r="1454" spans="1:4" hidden="1" x14ac:dyDescent="0.35">
      <c r="A1454" t="s">
        <v>50</v>
      </c>
      <c r="B1454" t="s">
        <v>5</v>
      </c>
      <c r="C1454" t="s">
        <v>185</v>
      </c>
      <c r="D1454">
        <v>1</v>
      </c>
    </row>
    <row r="1455" spans="1:4" hidden="1" x14ac:dyDescent="0.35">
      <c r="A1455" t="s">
        <v>50</v>
      </c>
      <c r="B1455" t="s">
        <v>5</v>
      </c>
      <c r="C1455" t="s">
        <v>185</v>
      </c>
      <c r="D1455">
        <v>1</v>
      </c>
    </row>
    <row r="1456" spans="1:4" hidden="1" x14ac:dyDescent="0.35">
      <c r="A1456" t="s">
        <v>50</v>
      </c>
      <c r="B1456" t="s">
        <v>5</v>
      </c>
      <c r="C1456" t="s">
        <v>185</v>
      </c>
      <c r="D1456">
        <v>1</v>
      </c>
    </row>
    <row r="1457" spans="1:4" hidden="1" x14ac:dyDescent="0.35">
      <c r="A1457" t="s">
        <v>50</v>
      </c>
      <c r="B1457" t="s">
        <v>5</v>
      </c>
      <c r="C1457" t="s">
        <v>185</v>
      </c>
      <c r="D1457">
        <v>1</v>
      </c>
    </row>
    <row r="1458" spans="1:4" hidden="1" x14ac:dyDescent="0.35">
      <c r="A1458" t="s">
        <v>51</v>
      </c>
      <c r="B1458" t="s">
        <v>5</v>
      </c>
      <c r="C1458" t="s">
        <v>185</v>
      </c>
      <c r="D1458">
        <v>1</v>
      </c>
    </row>
    <row r="1459" spans="1:4" hidden="1" x14ac:dyDescent="0.35">
      <c r="A1459" t="s">
        <v>52</v>
      </c>
      <c r="B1459" t="s">
        <v>5</v>
      </c>
      <c r="C1459" t="s">
        <v>185</v>
      </c>
      <c r="D1459">
        <v>1</v>
      </c>
    </row>
    <row r="1460" spans="1:4" hidden="1" x14ac:dyDescent="0.35">
      <c r="A1460" t="s">
        <v>85</v>
      </c>
      <c r="B1460" t="s">
        <v>5</v>
      </c>
      <c r="C1460" t="s">
        <v>185</v>
      </c>
      <c r="D1460">
        <v>1</v>
      </c>
    </row>
    <row r="1461" spans="1:4" hidden="1" x14ac:dyDescent="0.35">
      <c r="A1461" t="s">
        <v>99</v>
      </c>
      <c r="B1461" t="s">
        <v>5</v>
      </c>
      <c r="C1461" t="s">
        <v>185</v>
      </c>
      <c r="D1461">
        <v>1</v>
      </c>
    </row>
    <row r="1462" spans="1:4" hidden="1" x14ac:dyDescent="0.35">
      <c r="A1462" t="s">
        <v>101</v>
      </c>
      <c r="B1462" t="s">
        <v>5</v>
      </c>
      <c r="C1462" t="s">
        <v>185</v>
      </c>
      <c r="D1462">
        <v>1</v>
      </c>
    </row>
    <row r="1463" spans="1:4" hidden="1" x14ac:dyDescent="0.35">
      <c r="A1463" t="s">
        <v>106</v>
      </c>
      <c r="B1463" t="s">
        <v>5</v>
      </c>
      <c r="C1463" t="s">
        <v>185</v>
      </c>
      <c r="D1463">
        <v>1</v>
      </c>
    </row>
    <row r="1464" spans="1:4" hidden="1" x14ac:dyDescent="0.35">
      <c r="A1464" t="s">
        <v>106</v>
      </c>
      <c r="B1464" t="s">
        <v>5</v>
      </c>
      <c r="C1464" t="s">
        <v>185</v>
      </c>
      <c r="D1464">
        <v>1</v>
      </c>
    </row>
    <row r="1465" spans="1:4" hidden="1" x14ac:dyDescent="0.35">
      <c r="A1465" t="s">
        <v>128</v>
      </c>
      <c r="B1465" t="s">
        <v>5</v>
      </c>
      <c r="C1465" t="s">
        <v>185</v>
      </c>
      <c r="D1465">
        <v>1</v>
      </c>
    </row>
    <row r="1466" spans="1:4" hidden="1" x14ac:dyDescent="0.35">
      <c r="A1466" t="s">
        <v>128</v>
      </c>
      <c r="B1466" t="s">
        <v>5</v>
      </c>
      <c r="C1466" t="s">
        <v>185</v>
      </c>
      <c r="D1466">
        <v>1</v>
      </c>
    </row>
    <row r="1467" spans="1:4" hidden="1" x14ac:dyDescent="0.35">
      <c r="A1467" t="s">
        <v>128</v>
      </c>
      <c r="B1467" t="s">
        <v>5</v>
      </c>
      <c r="C1467" t="s">
        <v>185</v>
      </c>
      <c r="D1467">
        <v>1</v>
      </c>
    </row>
    <row r="1468" spans="1:4" hidden="1" x14ac:dyDescent="0.35">
      <c r="A1468" t="s">
        <v>128</v>
      </c>
      <c r="B1468" t="s">
        <v>5</v>
      </c>
      <c r="C1468" t="s">
        <v>185</v>
      </c>
      <c r="D1468">
        <v>1</v>
      </c>
    </row>
    <row r="1469" spans="1:4" hidden="1" x14ac:dyDescent="0.35">
      <c r="A1469" t="s">
        <v>50</v>
      </c>
      <c r="B1469" t="s">
        <v>5</v>
      </c>
      <c r="C1469" t="s">
        <v>185</v>
      </c>
      <c r="D1469">
        <v>1</v>
      </c>
    </row>
    <row r="1470" spans="1:4" hidden="1" x14ac:dyDescent="0.35">
      <c r="A1470" t="s">
        <v>50</v>
      </c>
      <c r="B1470" t="s">
        <v>5</v>
      </c>
      <c r="C1470" t="s">
        <v>185</v>
      </c>
      <c r="D1470">
        <v>1</v>
      </c>
    </row>
    <row r="1471" spans="1:4" hidden="1" x14ac:dyDescent="0.35">
      <c r="A1471" t="s">
        <v>50</v>
      </c>
      <c r="B1471" t="s">
        <v>5</v>
      </c>
      <c r="C1471" t="s">
        <v>185</v>
      </c>
      <c r="D1471">
        <v>1</v>
      </c>
    </row>
    <row r="1472" spans="1:4" hidden="1" x14ac:dyDescent="0.35">
      <c r="A1472" t="s">
        <v>50</v>
      </c>
      <c r="B1472" t="s">
        <v>5</v>
      </c>
      <c r="C1472" t="s">
        <v>185</v>
      </c>
      <c r="D1472">
        <v>1</v>
      </c>
    </row>
    <row r="1473" spans="1:4" hidden="1" x14ac:dyDescent="0.35">
      <c r="A1473" t="s">
        <v>50</v>
      </c>
      <c r="B1473" t="s">
        <v>5</v>
      </c>
      <c r="C1473" t="s">
        <v>185</v>
      </c>
      <c r="D1473">
        <v>1</v>
      </c>
    </row>
    <row r="1474" spans="1:4" hidden="1" x14ac:dyDescent="0.35">
      <c r="A1474" t="s">
        <v>50</v>
      </c>
      <c r="B1474" t="s">
        <v>5</v>
      </c>
      <c r="C1474" t="s">
        <v>185</v>
      </c>
      <c r="D1474">
        <v>1</v>
      </c>
    </row>
    <row r="1475" spans="1:4" hidden="1" x14ac:dyDescent="0.35">
      <c r="A1475" t="s">
        <v>50</v>
      </c>
      <c r="B1475" t="s">
        <v>5</v>
      </c>
      <c r="C1475" t="s">
        <v>185</v>
      </c>
      <c r="D1475">
        <v>1</v>
      </c>
    </row>
    <row r="1476" spans="1:4" hidden="1" x14ac:dyDescent="0.35">
      <c r="A1476" t="s">
        <v>50</v>
      </c>
      <c r="B1476" t="s">
        <v>5</v>
      </c>
      <c r="C1476" t="s">
        <v>185</v>
      </c>
      <c r="D1476">
        <v>1</v>
      </c>
    </row>
    <row r="1477" spans="1:4" hidden="1" x14ac:dyDescent="0.35">
      <c r="A1477" t="s">
        <v>50</v>
      </c>
      <c r="B1477" t="s">
        <v>5</v>
      </c>
      <c r="C1477" t="s">
        <v>185</v>
      </c>
      <c r="D1477">
        <v>1</v>
      </c>
    </row>
    <row r="1478" spans="1:4" hidden="1" x14ac:dyDescent="0.35">
      <c r="A1478" t="s">
        <v>51</v>
      </c>
      <c r="B1478" t="s">
        <v>5</v>
      </c>
      <c r="C1478" t="s">
        <v>185</v>
      </c>
      <c r="D1478">
        <v>1</v>
      </c>
    </row>
    <row r="1479" spans="1:4" hidden="1" x14ac:dyDescent="0.35">
      <c r="A1479" t="s">
        <v>51</v>
      </c>
      <c r="B1479" t="s">
        <v>5</v>
      </c>
      <c r="C1479" t="s">
        <v>185</v>
      </c>
      <c r="D1479">
        <v>1</v>
      </c>
    </row>
    <row r="1480" spans="1:4" hidden="1" x14ac:dyDescent="0.35">
      <c r="A1480" t="s">
        <v>52</v>
      </c>
      <c r="B1480" t="s">
        <v>5</v>
      </c>
      <c r="C1480" t="s">
        <v>185</v>
      </c>
      <c r="D1480">
        <v>1</v>
      </c>
    </row>
    <row r="1481" spans="1:4" hidden="1" x14ac:dyDescent="0.35">
      <c r="A1481" t="s">
        <v>53</v>
      </c>
      <c r="B1481" t="s">
        <v>5</v>
      </c>
      <c r="C1481" t="s">
        <v>185</v>
      </c>
      <c r="D1481">
        <v>1</v>
      </c>
    </row>
    <row r="1482" spans="1:4" hidden="1" x14ac:dyDescent="0.35">
      <c r="A1482" t="s">
        <v>97</v>
      </c>
      <c r="B1482" t="s">
        <v>5</v>
      </c>
      <c r="C1482" t="s">
        <v>185</v>
      </c>
      <c r="D1482">
        <v>1</v>
      </c>
    </row>
    <row r="1483" spans="1:4" hidden="1" x14ac:dyDescent="0.35">
      <c r="A1483" t="s">
        <v>106</v>
      </c>
      <c r="B1483" t="s">
        <v>5</v>
      </c>
      <c r="C1483" t="s">
        <v>185</v>
      </c>
      <c r="D1483">
        <v>1</v>
      </c>
    </row>
    <row r="1484" spans="1:4" hidden="1" x14ac:dyDescent="0.35">
      <c r="A1484" t="s">
        <v>128</v>
      </c>
      <c r="B1484" t="s">
        <v>5</v>
      </c>
      <c r="C1484" t="s">
        <v>185</v>
      </c>
      <c r="D1484">
        <v>1</v>
      </c>
    </row>
    <row r="1485" spans="1:4" hidden="1" x14ac:dyDescent="0.35">
      <c r="A1485" t="s">
        <v>128</v>
      </c>
      <c r="B1485" t="s">
        <v>5</v>
      </c>
      <c r="C1485" t="s">
        <v>185</v>
      </c>
      <c r="D1485">
        <v>1</v>
      </c>
    </row>
    <row r="1486" spans="1:4" hidden="1" x14ac:dyDescent="0.35">
      <c r="A1486" t="s">
        <v>128</v>
      </c>
      <c r="B1486" t="s">
        <v>5</v>
      </c>
      <c r="C1486" t="s">
        <v>185</v>
      </c>
      <c r="D1486">
        <v>1</v>
      </c>
    </row>
    <row r="1487" spans="1:4" hidden="1" x14ac:dyDescent="0.35">
      <c r="A1487" t="s">
        <v>30</v>
      </c>
      <c r="B1487" t="s">
        <v>5</v>
      </c>
      <c r="C1487" t="s">
        <v>185</v>
      </c>
      <c r="D1487">
        <v>1</v>
      </c>
    </row>
    <row r="1488" spans="1:4" hidden="1" x14ac:dyDescent="0.35">
      <c r="A1488" t="s">
        <v>50</v>
      </c>
      <c r="B1488" t="s">
        <v>5</v>
      </c>
      <c r="C1488" t="s">
        <v>185</v>
      </c>
      <c r="D1488">
        <v>1</v>
      </c>
    </row>
    <row r="1489" spans="1:4" hidden="1" x14ac:dyDescent="0.35">
      <c r="A1489" t="s">
        <v>50</v>
      </c>
      <c r="B1489" t="s">
        <v>5</v>
      </c>
      <c r="C1489" t="s">
        <v>185</v>
      </c>
      <c r="D1489">
        <v>1</v>
      </c>
    </row>
    <row r="1490" spans="1:4" hidden="1" x14ac:dyDescent="0.35">
      <c r="A1490" t="s">
        <v>67</v>
      </c>
      <c r="B1490" t="s">
        <v>5</v>
      </c>
      <c r="C1490" t="s">
        <v>185</v>
      </c>
      <c r="D1490">
        <v>1</v>
      </c>
    </row>
    <row r="1491" spans="1:4" hidden="1" x14ac:dyDescent="0.35">
      <c r="A1491" t="s">
        <v>128</v>
      </c>
      <c r="B1491" t="s">
        <v>5</v>
      </c>
      <c r="C1491" t="s">
        <v>185</v>
      </c>
      <c r="D1491">
        <v>1</v>
      </c>
    </row>
    <row r="1492" spans="1:4" hidden="1" x14ac:dyDescent="0.35">
      <c r="A1492" t="s">
        <v>50</v>
      </c>
      <c r="B1492" t="s">
        <v>5</v>
      </c>
      <c r="C1492" t="s">
        <v>185</v>
      </c>
      <c r="D1492">
        <v>1</v>
      </c>
    </row>
    <row r="1493" spans="1:4" hidden="1" x14ac:dyDescent="0.35">
      <c r="A1493" t="s">
        <v>50</v>
      </c>
      <c r="B1493" t="s">
        <v>5</v>
      </c>
      <c r="C1493" t="s">
        <v>185</v>
      </c>
      <c r="D1493">
        <v>1</v>
      </c>
    </row>
    <row r="1494" spans="1:4" hidden="1" x14ac:dyDescent="0.35">
      <c r="A1494" t="s">
        <v>67</v>
      </c>
      <c r="B1494" t="s">
        <v>5</v>
      </c>
      <c r="C1494" t="s">
        <v>185</v>
      </c>
      <c r="D1494">
        <v>1</v>
      </c>
    </row>
    <row r="1495" spans="1:4" hidden="1" x14ac:dyDescent="0.35">
      <c r="A1495" t="s">
        <v>67</v>
      </c>
      <c r="B1495" t="s">
        <v>5</v>
      </c>
      <c r="C1495" t="s">
        <v>185</v>
      </c>
      <c r="D1495">
        <v>1</v>
      </c>
    </row>
    <row r="1496" spans="1:4" hidden="1" x14ac:dyDescent="0.35">
      <c r="A1496" t="s">
        <v>67</v>
      </c>
      <c r="B1496" t="s">
        <v>5</v>
      </c>
      <c r="C1496" t="s">
        <v>185</v>
      </c>
      <c r="D1496">
        <v>1</v>
      </c>
    </row>
    <row r="1497" spans="1:4" hidden="1" x14ac:dyDescent="0.35">
      <c r="A1497" t="s">
        <v>8</v>
      </c>
      <c r="B1497" t="s">
        <v>8</v>
      </c>
      <c r="C1497" t="s">
        <v>185</v>
      </c>
      <c r="D1497">
        <v>1</v>
      </c>
    </row>
    <row r="1498" spans="1:4" hidden="1" x14ac:dyDescent="0.35">
      <c r="A1498" t="s">
        <v>8</v>
      </c>
      <c r="B1498" t="s">
        <v>8</v>
      </c>
      <c r="C1498" t="s">
        <v>185</v>
      </c>
      <c r="D1498">
        <v>1</v>
      </c>
    </row>
    <row r="1499" spans="1:4" hidden="1" x14ac:dyDescent="0.35">
      <c r="A1499" t="s">
        <v>8</v>
      </c>
      <c r="B1499" t="s">
        <v>8</v>
      </c>
      <c r="C1499" t="s">
        <v>185</v>
      </c>
      <c r="D1499">
        <v>1</v>
      </c>
    </row>
    <row r="1500" spans="1:4" hidden="1" x14ac:dyDescent="0.35">
      <c r="A1500" t="s">
        <v>8</v>
      </c>
      <c r="B1500" t="s">
        <v>8</v>
      </c>
      <c r="C1500" t="s">
        <v>185</v>
      </c>
      <c r="D1500">
        <v>1</v>
      </c>
    </row>
    <row r="1501" spans="1:4" hidden="1" x14ac:dyDescent="0.35">
      <c r="A1501" t="s">
        <v>8</v>
      </c>
      <c r="B1501" t="s">
        <v>8</v>
      </c>
      <c r="C1501" t="s">
        <v>185</v>
      </c>
      <c r="D1501">
        <v>1</v>
      </c>
    </row>
    <row r="1502" spans="1:4" hidden="1" x14ac:dyDescent="0.35">
      <c r="A1502" t="s">
        <v>8</v>
      </c>
      <c r="B1502" t="s">
        <v>8</v>
      </c>
      <c r="C1502" t="s">
        <v>185</v>
      </c>
      <c r="D1502">
        <v>1</v>
      </c>
    </row>
    <row r="1503" spans="1:4" hidden="1" x14ac:dyDescent="0.35">
      <c r="A1503" t="s">
        <v>8</v>
      </c>
      <c r="B1503" t="s">
        <v>8</v>
      </c>
      <c r="C1503" t="s">
        <v>185</v>
      </c>
      <c r="D1503">
        <v>1</v>
      </c>
    </row>
    <row r="1504" spans="1:4" hidden="1" x14ac:dyDescent="0.35">
      <c r="A1504" t="s">
        <v>8</v>
      </c>
      <c r="B1504" t="s">
        <v>8</v>
      </c>
      <c r="C1504" t="s">
        <v>185</v>
      </c>
      <c r="D1504">
        <v>1</v>
      </c>
    </row>
    <row r="1505" spans="1:4" hidden="1" x14ac:dyDescent="0.35">
      <c r="A1505" t="s">
        <v>8</v>
      </c>
      <c r="B1505" t="s">
        <v>8</v>
      </c>
      <c r="C1505" t="s">
        <v>185</v>
      </c>
      <c r="D1505">
        <v>1</v>
      </c>
    </row>
    <row r="1506" spans="1:4" hidden="1" x14ac:dyDescent="0.35">
      <c r="A1506" t="s">
        <v>8</v>
      </c>
      <c r="B1506" t="s">
        <v>8</v>
      </c>
      <c r="C1506" t="s">
        <v>185</v>
      </c>
      <c r="D1506">
        <v>1</v>
      </c>
    </row>
    <row r="1507" spans="1:4" hidden="1" x14ac:dyDescent="0.35">
      <c r="A1507" t="s">
        <v>8</v>
      </c>
      <c r="B1507" t="s">
        <v>8</v>
      </c>
      <c r="C1507" t="s">
        <v>185</v>
      </c>
      <c r="D1507">
        <v>1</v>
      </c>
    </row>
    <row r="1508" spans="1:4" hidden="1" x14ac:dyDescent="0.35">
      <c r="A1508" t="s">
        <v>8</v>
      </c>
      <c r="B1508" t="s">
        <v>8</v>
      </c>
      <c r="C1508" t="s">
        <v>185</v>
      </c>
      <c r="D1508">
        <v>1</v>
      </c>
    </row>
    <row r="1509" spans="1:4" hidden="1" x14ac:dyDescent="0.35">
      <c r="A1509" t="s">
        <v>8</v>
      </c>
      <c r="B1509" t="s">
        <v>8</v>
      </c>
      <c r="C1509" t="s">
        <v>185</v>
      </c>
      <c r="D1509">
        <v>1</v>
      </c>
    </row>
    <row r="1510" spans="1:4" hidden="1" x14ac:dyDescent="0.35">
      <c r="A1510" t="s">
        <v>8</v>
      </c>
      <c r="B1510" t="s">
        <v>8</v>
      </c>
      <c r="C1510" t="s">
        <v>185</v>
      </c>
      <c r="D1510">
        <v>1</v>
      </c>
    </row>
    <row r="1511" spans="1:4" hidden="1" x14ac:dyDescent="0.35">
      <c r="A1511" t="s">
        <v>8</v>
      </c>
      <c r="B1511" t="s">
        <v>8</v>
      </c>
      <c r="C1511" t="s">
        <v>185</v>
      </c>
      <c r="D1511">
        <v>1</v>
      </c>
    </row>
    <row r="1512" spans="1:4" hidden="1" x14ac:dyDescent="0.35">
      <c r="A1512" t="s">
        <v>8</v>
      </c>
      <c r="B1512" t="s">
        <v>8</v>
      </c>
      <c r="C1512" t="s">
        <v>185</v>
      </c>
      <c r="D1512">
        <v>1</v>
      </c>
    </row>
    <row r="1513" spans="1:4" hidden="1" x14ac:dyDescent="0.35">
      <c r="A1513" t="s">
        <v>8</v>
      </c>
      <c r="B1513" t="s">
        <v>8</v>
      </c>
      <c r="C1513" t="s">
        <v>185</v>
      </c>
      <c r="D1513">
        <v>1</v>
      </c>
    </row>
    <row r="1514" spans="1:4" hidden="1" x14ac:dyDescent="0.35">
      <c r="A1514" t="s">
        <v>8</v>
      </c>
      <c r="B1514" t="s">
        <v>8</v>
      </c>
      <c r="C1514" t="s">
        <v>185</v>
      </c>
      <c r="D1514">
        <v>1</v>
      </c>
    </row>
    <row r="1515" spans="1:4" hidden="1" x14ac:dyDescent="0.35">
      <c r="A1515" t="s">
        <v>8</v>
      </c>
      <c r="B1515" t="s">
        <v>8</v>
      </c>
      <c r="C1515" t="s">
        <v>185</v>
      </c>
      <c r="D1515">
        <v>1</v>
      </c>
    </row>
    <row r="1516" spans="1:4" hidden="1" x14ac:dyDescent="0.35">
      <c r="A1516" t="s">
        <v>8</v>
      </c>
      <c r="B1516" t="s">
        <v>8</v>
      </c>
      <c r="C1516" t="s">
        <v>185</v>
      </c>
      <c r="D1516">
        <v>1</v>
      </c>
    </row>
    <row r="1517" spans="1:4" hidden="1" x14ac:dyDescent="0.35">
      <c r="A1517" t="s">
        <v>8</v>
      </c>
      <c r="B1517" t="s">
        <v>8</v>
      </c>
      <c r="C1517" t="s">
        <v>185</v>
      </c>
      <c r="D1517">
        <v>1</v>
      </c>
    </row>
    <row r="1518" spans="1:4" hidden="1" x14ac:dyDescent="0.35">
      <c r="A1518" t="s">
        <v>8</v>
      </c>
      <c r="B1518" t="s">
        <v>8</v>
      </c>
      <c r="C1518" t="s">
        <v>185</v>
      </c>
      <c r="D1518">
        <v>1</v>
      </c>
    </row>
    <row r="1519" spans="1:4" hidden="1" x14ac:dyDescent="0.35">
      <c r="A1519">
        <v>0</v>
      </c>
      <c r="B1519" t="e">
        <v>#N/A</v>
      </c>
      <c r="C1519" t="s">
        <v>185</v>
      </c>
      <c r="D1519">
        <v>1</v>
      </c>
    </row>
    <row r="1520" spans="1:4" hidden="1" x14ac:dyDescent="0.35">
      <c r="A1520">
        <v>0</v>
      </c>
      <c r="B1520" t="e">
        <v>#N/A</v>
      </c>
      <c r="C1520" t="s">
        <v>185</v>
      </c>
      <c r="D1520">
        <v>1</v>
      </c>
    </row>
    <row r="1521" spans="1:4" hidden="1" x14ac:dyDescent="0.35">
      <c r="A1521">
        <v>0</v>
      </c>
      <c r="B1521" t="e">
        <v>#N/A</v>
      </c>
      <c r="C1521" t="s">
        <v>185</v>
      </c>
      <c r="D1521">
        <v>1</v>
      </c>
    </row>
    <row r="1522" spans="1:4" hidden="1" x14ac:dyDescent="0.35">
      <c r="A1522">
        <v>0</v>
      </c>
      <c r="B1522" t="e">
        <v>#N/A</v>
      </c>
      <c r="C1522" t="s">
        <v>185</v>
      </c>
      <c r="D1522">
        <v>1</v>
      </c>
    </row>
    <row r="1523" spans="1:4" hidden="1" x14ac:dyDescent="0.35">
      <c r="A1523">
        <v>0</v>
      </c>
      <c r="B1523" t="e">
        <v>#N/A</v>
      </c>
      <c r="C1523" t="s">
        <v>185</v>
      </c>
      <c r="D1523">
        <v>1</v>
      </c>
    </row>
    <row r="1524" spans="1:4" hidden="1" x14ac:dyDescent="0.35">
      <c r="A1524">
        <v>0</v>
      </c>
      <c r="B1524" t="e">
        <v>#N/A</v>
      </c>
      <c r="C1524" t="s">
        <v>185</v>
      </c>
      <c r="D1524">
        <v>1</v>
      </c>
    </row>
    <row r="1525" spans="1:4" hidden="1" x14ac:dyDescent="0.35"/>
  </sheetData>
  <autoFilter ref="A1:D1525" xr:uid="{5B67EDF9-8363-44B7-9C9F-746E80720E28}">
    <filterColumn colId="1">
      <filters>
        <filter val="Lepidoptera"/>
      </filters>
    </filterColumn>
    <filterColumn colId="2">
      <filters>
        <filter val="Oct"/>
      </filters>
    </filterColumn>
  </autoFilter>
  <sortState xmlns:xlrd2="http://schemas.microsoft.com/office/spreadsheetml/2017/richdata2" ref="A2:D1524">
    <sortCondition ref="C2:C1524"/>
    <sortCondition ref="B2:B1524"/>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96A61-8D14-494B-AC08-B683B7AB9C49}">
  <dimension ref="A1:A26"/>
  <sheetViews>
    <sheetView workbookViewId="0">
      <selection activeCell="I12" sqref="I12"/>
    </sheetView>
  </sheetViews>
  <sheetFormatPr defaultRowHeight="14.5" x14ac:dyDescent="0.35"/>
  <sheetData>
    <row r="1" spans="1:1" x14ac:dyDescent="0.35">
      <c r="A1" s="1" t="s">
        <v>140</v>
      </c>
    </row>
    <row r="2" spans="1:1" x14ac:dyDescent="0.35">
      <c r="A2" t="s">
        <v>50</v>
      </c>
    </row>
    <row r="3" spans="1:1" x14ac:dyDescent="0.35">
      <c r="A3" t="s">
        <v>51</v>
      </c>
    </row>
    <row r="4" spans="1:1" x14ac:dyDescent="0.35">
      <c r="A4" t="s">
        <v>52</v>
      </c>
    </row>
    <row r="5" spans="1:1" x14ac:dyDescent="0.35">
      <c r="A5" t="s">
        <v>53</v>
      </c>
    </row>
    <row r="6" spans="1:1" x14ac:dyDescent="0.35">
      <c r="A6" t="s">
        <v>67</v>
      </c>
    </row>
    <row r="7" spans="1:1" x14ac:dyDescent="0.35">
      <c r="A7" t="s">
        <v>99</v>
      </c>
    </row>
    <row r="8" spans="1:1" x14ac:dyDescent="0.35">
      <c r="A8" t="s">
        <v>101</v>
      </c>
    </row>
    <row r="9" spans="1:1" x14ac:dyDescent="0.35">
      <c r="A9" t="s">
        <v>103</v>
      </c>
    </row>
    <row r="10" spans="1:1" x14ac:dyDescent="0.35">
      <c r="A10" t="s">
        <v>106</v>
      </c>
    </row>
    <row r="11" spans="1:1" x14ac:dyDescent="0.35">
      <c r="A11" t="s">
        <v>124</v>
      </c>
    </row>
    <row r="12" spans="1:1" x14ac:dyDescent="0.35">
      <c r="A12" t="s">
        <v>128</v>
      </c>
    </row>
    <row r="13" spans="1:1" x14ac:dyDescent="0.35">
      <c r="A13" t="s">
        <v>27</v>
      </c>
    </row>
    <row r="14" spans="1:1" x14ac:dyDescent="0.35">
      <c r="A14" t="s">
        <v>57</v>
      </c>
    </row>
    <row r="15" spans="1:1" x14ac:dyDescent="0.35">
      <c r="A15" t="s">
        <v>91</v>
      </c>
    </row>
    <row r="16" spans="1:1" x14ac:dyDescent="0.35">
      <c r="A16" t="s">
        <v>129</v>
      </c>
    </row>
    <row r="17" spans="1:1" x14ac:dyDescent="0.35">
      <c r="A17" t="s">
        <v>34</v>
      </c>
    </row>
    <row r="18" spans="1:1" x14ac:dyDescent="0.35">
      <c r="A18" t="s">
        <v>29</v>
      </c>
    </row>
    <row r="19" spans="1:1" x14ac:dyDescent="0.35">
      <c r="A19" t="s">
        <v>30</v>
      </c>
    </row>
    <row r="20" spans="1:1" x14ac:dyDescent="0.35">
      <c r="A20" t="s">
        <v>47</v>
      </c>
    </row>
    <row r="21" spans="1:1" x14ac:dyDescent="0.35">
      <c r="A21" t="s">
        <v>58</v>
      </c>
    </row>
    <row r="22" spans="1:1" x14ac:dyDescent="0.35">
      <c r="A22" t="s">
        <v>142</v>
      </c>
    </row>
    <row r="23" spans="1:1" x14ac:dyDescent="0.35">
      <c r="A23" t="s">
        <v>96</v>
      </c>
    </row>
    <row r="24" spans="1:1" x14ac:dyDescent="0.35">
      <c r="A24" t="s">
        <v>104</v>
      </c>
    </row>
    <row r="25" spans="1:1" x14ac:dyDescent="0.35">
      <c r="A25" t="s">
        <v>108</v>
      </c>
    </row>
    <row r="26" spans="1:1" x14ac:dyDescent="0.35">
      <c r="A26"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MockData</vt:lpstr>
      <vt:lpstr>VLOOKUP_spp</vt:lpstr>
      <vt:lpstr>d_barchart_pics</vt:lpstr>
      <vt:lpstr>Order_table</vt:lpstr>
      <vt:lpstr>Taxa_table</vt:lpstr>
      <vt:lpstr>Filtered</vt:lpstr>
      <vt:lpstr>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Braatz</dc:creator>
  <cp:lastModifiedBy>Elizabeth Braatz</cp:lastModifiedBy>
  <dcterms:created xsi:type="dcterms:W3CDTF">2025-01-16T15:50:23Z</dcterms:created>
  <dcterms:modified xsi:type="dcterms:W3CDTF">2025-01-16T20:07:53Z</dcterms:modified>
</cp:coreProperties>
</file>