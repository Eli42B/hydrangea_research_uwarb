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Elizabeth\Documents\School\UW Arboretum Hydrangea research\UW Arboretum Hydrangea research\Hydrangea_R_code\Excel Files\"/>
    </mc:Choice>
  </mc:AlternateContent>
  <xr:revisionPtr revIDLastSave="0" documentId="8_{783D2993-0EE2-4A40-9104-736E59533250}" xr6:coauthVersionLast="47" xr6:coauthVersionMax="47" xr10:uidLastSave="{00000000-0000-0000-0000-000000000000}"/>
  <bookViews>
    <workbookView xWindow="1164" yWindow="468" windowWidth="22404" windowHeight="11868" activeTab="1" xr2:uid="{36947313-181C-4FE5-A34E-813FF457B72F}"/>
  </bookViews>
  <sheets>
    <sheet name="README" sheetId="9" r:id="rId1"/>
    <sheet name="DAgg4B" sheetId="5" r:id="rId2"/>
    <sheet name="Vlookup" sheetId="7" r:id="rId3"/>
    <sheet name="Pivot table" sheetId="4" r:id="rId4"/>
    <sheet name="Pivot table values" sheetId="6" r:id="rId5"/>
    <sheet name="Raw Data duplicates removed" sheetId="2" r:id="rId6"/>
    <sheet name="Keeping track" sheetId="10" r:id="rId7"/>
  </sheets>
  <calcPr calcId="0"/>
  <pivotCaches>
    <pivotCache cacheId="7" r:id="rId8"/>
  </pivotCaches>
</workbook>
</file>

<file path=xl/calcChain.xml><?xml version="1.0" encoding="utf-8"?>
<calcChain xmlns="http://schemas.openxmlformats.org/spreadsheetml/2006/main">
  <c r="E50" i="5" l="1"/>
  <c r="E51" i="5"/>
  <c r="E52" i="5"/>
  <c r="E53" i="5"/>
  <c r="E54"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2" i="5"/>
  <c r="J3" i="5"/>
  <c r="K3" i="5"/>
  <c r="L3" i="5"/>
  <c r="M3" i="5"/>
  <c r="N3" i="5"/>
  <c r="O3" i="5"/>
  <c r="P3" i="5"/>
  <c r="Q3" i="5"/>
  <c r="R3" i="5"/>
  <c r="S3" i="5"/>
  <c r="T3" i="5"/>
  <c r="U3" i="5"/>
  <c r="V3" i="5"/>
  <c r="W3" i="5"/>
  <c r="X3" i="5"/>
  <c r="Y3" i="5"/>
  <c r="Z3" i="5"/>
  <c r="AA3" i="5"/>
  <c r="AB3" i="5"/>
  <c r="AC3" i="5"/>
  <c r="AD3" i="5"/>
  <c r="AE3" i="5"/>
  <c r="AF3" i="5"/>
  <c r="AG3" i="5"/>
  <c r="AH3" i="5"/>
  <c r="AI3" i="5"/>
  <c r="AJ3" i="5"/>
  <c r="AK3" i="5"/>
  <c r="AL3" i="5"/>
  <c r="AM3" i="5"/>
  <c r="AN3" i="5"/>
  <c r="AO3" i="5"/>
  <c r="AP3" i="5"/>
  <c r="AQ3" i="5"/>
  <c r="AR3" i="5"/>
  <c r="AS3" i="5"/>
  <c r="AT3" i="5"/>
  <c r="AU3" i="5"/>
  <c r="AV3" i="5"/>
  <c r="AW3" i="5"/>
  <c r="AX3" i="5"/>
  <c r="AY3" i="5"/>
  <c r="AZ3" i="5"/>
  <c r="BA3" i="5"/>
  <c r="BB3" i="5"/>
  <c r="BC3" i="5"/>
  <c r="BD3" i="5"/>
  <c r="BE3" i="5"/>
  <c r="BF3" i="5"/>
  <c r="BG3" i="5"/>
  <c r="BH3" i="5"/>
  <c r="BI3" i="5"/>
  <c r="BJ3" i="5"/>
  <c r="BK3" i="5"/>
  <c r="BL3" i="5"/>
  <c r="BM3" i="5"/>
  <c r="BN3" i="5"/>
  <c r="BO3" i="5"/>
  <c r="BP3" i="5"/>
  <c r="BQ3" i="5"/>
  <c r="BR3" i="5"/>
  <c r="BS3" i="5"/>
  <c r="BT3" i="5"/>
  <c r="BU3" i="5"/>
  <c r="BV3" i="5"/>
  <c r="BW3" i="5"/>
  <c r="BX3" i="5"/>
  <c r="BY3" i="5"/>
  <c r="BZ3" i="5"/>
  <c r="J4" i="5"/>
  <c r="K4" i="5"/>
  <c r="L4" i="5"/>
  <c r="M4" i="5"/>
  <c r="N4" i="5"/>
  <c r="O4" i="5"/>
  <c r="P4" i="5"/>
  <c r="Q4" i="5"/>
  <c r="R4" i="5"/>
  <c r="S4" i="5"/>
  <c r="T4" i="5"/>
  <c r="U4" i="5"/>
  <c r="V4" i="5"/>
  <c r="W4" i="5"/>
  <c r="X4" i="5"/>
  <c r="Y4" i="5"/>
  <c r="Z4" i="5"/>
  <c r="AA4" i="5"/>
  <c r="AB4" i="5"/>
  <c r="AC4" i="5"/>
  <c r="AD4" i="5"/>
  <c r="AE4" i="5"/>
  <c r="AF4" i="5"/>
  <c r="AG4" i="5"/>
  <c r="AH4" i="5"/>
  <c r="AI4" i="5"/>
  <c r="AJ4" i="5"/>
  <c r="AK4" i="5"/>
  <c r="AL4" i="5"/>
  <c r="AM4" i="5"/>
  <c r="AN4" i="5"/>
  <c r="AO4" i="5"/>
  <c r="AP4" i="5"/>
  <c r="AQ4" i="5"/>
  <c r="AR4" i="5"/>
  <c r="AS4" i="5"/>
  <c r="AT4" i="5"/>
  <c r="AU4" i="5"/>
  <c r="AV4" i="5"/>
  <c r="AW4" i="5"/>
  <c r="AX4" i="5"/>
  <c r="AY4" i="5"/>
  <c r="AZ4" i="5"/>
  <c r="BA4" i="5"/>
  <c r="BB4" i="5"/>
  <c r="BC4" i="5"/>
  <c r="BD4" i="5"/>
  <c r="BE4" i="5"/>
  <c r="BF4" i="5"/>
  <c r="BG4" i="5"/>
  <c r="BH4" i="5"/>
  <c r="BI4" i="5"/>
  <c r="BJ4" i="5"/>
  <c r="BK4" i="5"/>
  <c r="BL4" i="5"/>
  <c r="BM4" i="5"/>
  <c r="BN4" i="5"/>
  <c r="BO4" i="5"/>
  <c r="BP4" i="5"/>
  <c r="BQ4" i="5"/>
  <c r="BR4" i="5"/>
  <c r="BS4" i="5"/>
  <c r="BT4" i="5"/>
  <c r="BU4" i="5"/>
  <c r="BV4" i="5"/>
  <c r="BW4" i="5"/>
  <c r="BX4" i="5"/>
  <c r="BY4" i="5"/>
  <c r="BZ4" i="5"/>
  <c r="J5" i="5"/>
  <c r="K5" i="5"/>
  <c r="L5" i="5"/>
  <c r="M5" i="5"/>
  <c r="N5" i="5"/>
  <c r="O5" i="5"/>
  <c r="P5" i="5"/>
  <c r="Q5" i="5"/>
  <c r="R5" i="5"/>
  <c r="S5" i="5"/>
  <c r="T5" i="5"/>
  <c r="U5" i="5"/>
  <c r="V5" i="5"/>
  <c r="W5" i="5"/>
  <c r="X5" i="5"/>
  <c r="Y5" i="5"/>
  <c r="Z5" i="5"/>
  <c r="AA5" i="5"/>
  <c r="AB5" i="5"/>
  <c r="AC5" i="5"/>
  <c r="AD5" i="5"/>
  <c r="AE5" i="5"/>
  <c r="AF5" i="5"/>
  <c r="AG5" i="5"/>
  <c r="AH5" i="5"/>
  <c r="AI5" i="5"/>
  <c r="AJ5" i="5"/>
  <c r="AK5" i="5"/>
  <c r="AL5" i="5"/>
  <c r="AM5" i="5"/>
  <c r="AN5" i="5"/>
  <c r="AO5" i="5"/>
  <c r="AP5" i="5"/>
  <c r="AQ5" i="5"/>
  <c r="AR5" i="5"/>
  <c r="AS5" i="5"/>
  <c r="AT5" i="5"/>
  <c r="AU5" i="5"/>
  <c r="AV5" i="5"/>
  <c r="AW5" i="5"/>
  <c r="AX5" i="5"/>
  <c r="AY5" i="5"/>
  <c r="AZ5" i="5"/>
  <c r="BA5" i="5"/>
  <c r="BB5" i="5"/>
  <c r="BC5" i="5"/>
  <c r="BD5" i="5"/>
  <c r="BE5" i="5"/>
  <c r="BF5" i="5"/>
  <c r="BG5" i="5"/>
  <c r="BH5" i="5"/>
  <c r="BI5" i="5"/>
  <c r="BJ5" i="5"/>
  <c r="BK5" i="5"/>
  <c r="BL5" i="5"/>
  <c r="BM5" i="5"/>
  <c r="BN5" i="5"/>
  <c r="BO5" i="5"/>
  <c r="BP5" i="5"/>
  <c r="BQ5" i="5"/>
  <c r="BR5" i="5"/>
  <c r="BS5" i="5"/>
  <c r="BT5" i="5"/>
  <c r="BU5" i="5"/>
  <c r="BV5" i="5"/>
  <c r="BW5" i="5"/>
  <c r="BX5" i="5"/>
  <c r="BY5" i="5"/>
  <c r="BZ5" i="5"/>
  <c r="J6" i="5"/>
  <c r="K6" i="5"/>
  <c r="L6" i="5"/>
  <c r="M6" i="5"/>
  <c r="N6" i="5"/>
  <c r="O6" i="5"/>
  <c r="P6" i="5"/>
  <c r="Q6" i="5"/>
  <c r="R6" i="5"/>
  <c r="S6" i="5"/>
  <c r="T6" i="5"/>
  <c r="U6" i="5"/>
  <c r="V6" i="5"/>
  <c r="W6" i="5"/>
  <c r="X6" i="5"/>
  <c r="Y6" i="5"/>
  <c r="Z6" i="5"/>
  <c r="AA6" i="5"/>
  <c r="AB6" i="5"/>
  <c r="AC6" i="5"/>
  <c r="AD6" i="5"/>
  <c r="AE6" i="5"/>
  <c r="AF6" i="5"/>
  <c r="AG6" i="5"/>
  <c r="AH6" i="5"/>
  <c r="AI6" i="5"/>
  <c r="AJ6" i="5"/>
  <c r="AK6" i="5"/>
  <c r="AL6" i="5"/>
  <c r="AM6" i="5"/>
  <c r="AN6" i="5"/>
  <c r="AO6" i="5"/>
  <c r="AP6" i="5"/>
  <c r="AQ6" i="5"/>
  <c r="AR6" i="5"/>
  <c r="AS6" i="5"/>
  <c r="AT6" i="5"/>
  <c r="AU6" i="5"/>
  <c r="AV6" i="5"/>
  <c r="AW6" i="5"/>
  <c r="AX6" i="5"/>
  <c r="AY6" i="5"/>
  <c r="AZ6" i="5"/>
  <c r="BA6" i="5"/>
  <c r="BB6" i="5"/>
  <c r="BC6" i="5"/>
  <c r="BD6" i="5"/>
  <c r="BE6" i="5"/>
  <c r="BF6" i="5"/>
  <c r="BG6" i="5"/>
  <c r="BH6" i="5"/>
  <c r="BI6" i="5"/>
  <c r="BJ6" i="5"/>
  <c r="BK6" i="5"/>
  <c r="BL6" i="5"/>
  <c r="BM6" i="5"/>
  <c r="BN6" i="5"/>
  <c r="BO6" i="5"/>
  <c r="BP6" i="5"/>
  <c r="BQ6" i="5"/>
  <c r="BR6" i="5"/>
  <c r="BS6" i="5"/>
  <c r="BT6" i="5"/>
  <c r="BU6" i="5"/>
  <c r="BV6" i="5"/>
  <c r="BW6" i="5"/>
  <c r="BX6" i="5"/>
  <c r="BY6" i="5"/>
  <c r="BZ6" i="5"/>
  <c r="J7" i="5"/>
  <c r="K7" i="5"/>
  <c r="L7" i="5"/>
  <c r="M7" i="5"/>
  <c r="N7" i="5"/>
  <c r="O7" i="5"/>
  <c r="P7" i="5"/>
  <c r="Q7" i="5"/>
  <c r="R7" i="5"/>
  <c r="S7" i="5"/>
  <c r="T7" i="5"/>
  <c r="U7" i="5"/>
  <c r="V7" i="5"/>
  <c r="W7" i="5"/>
  <c r="X7" i="5"/>
  <c r="Y7" i="5"/>
  <c r="Z7" i="5"/>
  <c r="AA7" i="5"/>
  <c r="AB7" i="5"/>
  <c r="AC7" i="5"/>
  <c r="AD7" i="5"/>
  <c r="AE7" i="5"/>
  <c r="AF7" i="5"/>
  <c r="AG7" i="5"/>
  <c r="AH7" i="5"/>
  <c r="AI7" i="5"/>
  <c r="AJ7" i="5"/>
  <c r="AK7" i="5"/>
  <c r="AL7" i="5"/>
  <c r="AM7" i="5"/>
  <c r="AN7" i="5"/>
  <c r="AO7" i="5"/>
  <c r="AP7" i="5"/>
  <c r="AQ7" i="5"/>
  <c r="AR7" i="5"/>
  <c r="AS7" i="5"/>
  <c r="AT7" i="5"/>
  <c r="AU7" i="5"/>
  <c r="AV7" i="5"/>
  <c r="AW7" i="5"/>
  <c r="AX7" i="5"/>
  <c r="AY7" i="5"/>
  <c r="AZ7" i="5"/>
  <c r="BA7" i="5"/>
  <c r="BB7" i="5"/>
  <c r="BC7" i="5"/>
  <c r="BD7" i="5"/>
  <c r="BE7" i="5"/>
  <c r="BF7" i="5"/>
  <c r="BG7" i="5"/>
  <c r="BH7" i="5"/>
  <c r="BI7" i="5"/>
  <c r="BJ7" i="5"/>
  <c r="BK7" i="5"/>
  <c r="BL7" i="5"/>
  <c r="BM7" i="5"/>
  <c r="BN7" i="5"/>
  <c r="BO7" i="5"/>
  <c r="BP7" i="5"/>
  <c r="BQ7" i="5"/>
  <c r="BR7" i="5"/>
  <c r="BS7" i="5"/>
  <c r="BT7" i="5"/>
  <c r="BU7" i="5"/>
  <c r="BV7" i="5"/>
  <c r="BW7" i="5"/>
  <c r="BX7" i="5"/>
  <c r="BY7" i="5"/>
  <c r="BZ7" i="5"/>
  <c r="J8" i="5"/>
  <c r="K8" i="5"/>
  <c r="L8" i="5"/>
  <c r="M8" i="5"/>
  <c r="N8" i="5"/>
  <c r="O8" i="5"/>
  <c r="P8" i="5"/>
  <c r="Q8" i="5"/>
  <c r="R8" i="5"/>
  <c r="S8" i="5"/>
  <c r="T8" i="5"/>
  <c r="U8" i="5"/>
  <c r="V8" i="5"/>
  <c r="W8" i="5"/>
  <c r="X8" i="5"/>
  <c r="Y8" i="5"/>
  <c r="Z8" i="5"/>
  <c r="AA8" i="5"/>
  <c r="AB8" i="5"/>
  <c r="AC8" i="5"/>
  <c r="AD8" i="5"/>
  <c r="AE8" i="5"/>
  <c r="AF8" i="5"/>
  <c r="AG8" i="5"/>
  <c r="AH8" i="5"/>
  <c r="AI8" i="5"/>
  <c r="AJ8" i="5"/>
  <c r="AK8" i="5"/>
  <c r="AL8" i="5"/>
  <c r="AM8" i="5"/>
  <c r="AN8" i="5"/>
  <c r="AO8" i="5"/>
  <c r="AP8" i="5"/>
  <c r="AQ8" i="5"/>
  <c r="AR8" i="5"/>
  <c r="AS8" i="5"/>
  <c r="AT8" i="5"/>
  <c r="AU8" i="5"/>
  <c r="AV8" i="5"/>
  <c r="AW8" i="5"/>
  <c r="AX8" i="5"/>
  <c r="AY8" i="5"/>
  <c r="AZ8" i="5"/>
  <c r="BA8" i="5"/>
  <c r="BB8" i="5"/>
  <c r="BC8" i="5"/>
  <c r="BD8" i="5"/>
  <c r="BE8" i="5"/>
  <c r="BF8" i="5"/>
  <c r="BG8" i="5"/>
  <c r="BH8" i="5"/>
  <c r="BI8" i="5"/>
  <c r="BJ8" i="5"/>
  <c r="BK8" i="5"/>
  <c r="BL8" i="5"/>
  <c r="BM8" i="5"/>
  <c r="BN8" i="5"/>
  <c r="BO8" i="5"/>
  <c r="BP8" i="5"/>
  <c r="BQ8" i="5"/>
  <c r="BR8" i="5"/>
  <c r="BS8" i="5"/>
  <c r="BT8" i="5"/>
  <c r="BU8" i="5"/>
  <c r="BV8" i="5"/>
  <c r="BW8" i="5"/>
  <c r="BX8" i="5"/>
  <c r="BY8" i="5"/>
  <c r="BZ8" i="5"/>
  <c r="J9" i="5"/>
  <c r="K9" i="5"/>
  <c r="L9" i="5"/>
  <c r="M9" i="5"/>
  <c r="N9" i="5"/>
  <c r="O9" i="5"/>
  <c r="P9" i="5"/>
  <c r="Q9" i="5"/>
  <c r="R9" i="5"/>
  <c r="S9" i="5"/>
  <c r="T9" i="5"/>
  <c r="U9" i="5"/>
  <c r="V9" i="5"/>
  <c r="W9" i="5"/>
  <c r="X9" i="5"/>
  <c r="Y9" i="5"/>
  <c r="Z9" i="5"/>
  <c r="AA9" i="5"/>
  <c r="AB9" i="5"/>
  <c r="AC9" i="5"/>
  <c r="AD9" i="5"/>
  <c r="AE9" i="5"/>
  <c r="AF9" i="5"/>
  <c r="AG9" i="5"/>
  <c r="AH9" i="5"/>
  <c r="AI9" i="5"/>
  <c r="AJ9" i="5"/>
  <c r="AK9" i="5"/>
  <c r="AL9" i="5"/>
  <c r="AM9" i="5"/>
  <c r="AN9" i="5"/>
  <c r="AO9" i="5"/>
  <c r="AP9" i="5"/>
  <c r="AQ9" i="5"/>
  <c r="AR9" i="5"/>
  <c r="AS9" i="5"/>
  <c r="AT9" i="5"/>
  <c r="AU9" i="5"/>
  <c r="AV9" i="5"/>
  <c r="AW9" i="5"/>
  <c r="AX9" i="5"/>
  <c r="AY9" i="5"/>
  <c r="AZ9" i="5"/>
  <c r="BA9" i="5"/>
  <c r="BB9" i="5"/>
  <c r="BC9" i="5"/>
  <c r="BD9" i="5"/>
  <c r="BE9" i="5"/>
  <c r="BF9" i="5"/>
  <c r="BG9" i="5"/>
  <c r="BH9" i="5"/>
  <c r="BI9" i="5"/>
  <c r="BJ9" i="5"/>
  <c r="BK9" i="5"/>
  <c r="BL9" i="5"/>
  <c r="BM9" i="5"/>
  <c r="BN9" i="5"/>
  <c r="BO9" i="5"/>
  <c r="BP9" i="5"/>
  <c r="BQ9" i="5"/>
  <c r="BR9" i="5"/>
  <c r="BS9" i="5"/>
  <c r="BT9" i="5"/>
  <c r="BU9" i="5"/>
  <c r="BV9" i="5"/>
  <c r="BW9" i="5"/>
  <c r="BX9" i="5"/>
  <c r="BY9" i="5"/>
  <c r="BZ9" i="5"/>
  <c r="J10" i="5"/>
  <c r="K10" i="5"/>
  <c r="L10" i="5"/>
  <c r="M10" i="5"/>
  <c r="N10" i="5"/>
  <c r="O10" i="5"/>
  <c r="P10" i="5"/>
  <c r="Q10" i="5"/>
  <c r="R10" i="5"/>
  <c r="S10" i="5"/>
  <c r="T10" i="5"/>
  <c r="U10" i="5"/>
  <c r="V10" i="5"/>
  <c r="W10" i="5"/>
  <c r="X10" i="5"/>
  <c r="Y10" i="5"/>
  <c r="Z10" i="5"/>
  <c r="AA10" i="5"/>
  <c r="AB10" i="5"/>
  <c r="AC10" i="5"/>
  <c r="AD10" i="5"/>
  <c r="AE10" i="5"/>
  <c r="AF10" i="5"/>
  <c r="AG10" i="5"/>
  <c r="AH10" i="5"/>
  <c r="AI10" i="5"/>
  <c r="AJ10" i="5"/>
  <c r="AK10" i="5"/>
  <c r="AL10" i="5"/>
  <c r="AM10" i="5"/>
  <c r="AN10" i="5"/>
  <c r="AO10" i="5"/>
  <c r="AP10" i="5"/>
  <c r="AQ10" i="5"/>
  <c r="AR10" i="5"/>
  <c r="AS10" i="5"/>
  <c r="AT10" i="5"/>
  <c r="AU10" i="5"/>
  <c r="AV10" i="5"/>
  <c r="AW10" i="5"/>
  <c r="AX10" i="5"/>
  <c r="AY10" i="5"/>
  <c r="AZ10" i="5"/>
  <c r="BA10" i="5"/>
  <c r="BB10" i="5"/>
  <c r="BC10" i="5"/>
  <c r="BD10" i="5"/>
  <c r="BE10" i="5"/>
  <c r="BF10" i="5"/>
  <c r="BG10" i="5"/>
  <c r="BH10" i="5"/>
  <c r="BI10" i="5"/>
  <c r="BJ10" i="5"/>
  <c r="BK10" i="5"/>
  <c r="BL10" i="5"/>
  <c r="BM10" i="5"/>
  <c r="BN10" i="5"/>
  <c r="BO10" i="5"/>
  <c r="BP10" i="5"/>
  <c r="BQ10" i="5"/>
  <c r="BR10" i="5"/>
  <c r="BS10" i="5"/>
  <c r="BT10" i="5"/>
  <c r="BU10" i="5"/>
  <c r="BV10" i="5"/>
  <c r="BW10" i="5"/>
  <c r="BX10" i="5"/>
  <c r="BY10" i="5"/>
  <c r="BZ10" i="5"/>
  <c r="J11" i="5"/>
  <c r="K11" i="5"/>
  <c r="L11" i="5"/>
  <c r="M11" i="5"/>
  <c r="N11" i="5"/>
  <c r="O11" i="5"/>
  <c r="P11" i="5"/>
  <c r="Q11" i="5"/>
  <c r="R11" i="5"/>
  <c r="S11" i="5"/>
  <c r="T11" i="5"/>
  <c r="U11" i="5"/>
  <c r="V11" i="5"/>
  <c r="W11" i="5"/>
  <c r="X11" i="5"/>
  <c r="Y11" i="5"/>
  <c r="Z11" i="5"/>
  <c r="AA11" i="5"/>
  <c r="AB11" i="5"/>
  <c r="AC11" i="5"/>
  <c r="AD11" i="5"/>
  <c r="AE11" i="5"/>
  <c r="AF11" i="5"/>
  <c r="AG11" i="5"/>
  <c r="AH11" i="5"/>
  <c r="AI11" i="5"/>
  <c r="AJ11" i="5"/>
  <c r="AK11" i="5"/>
  <c r="AL11" i="5"/>
  <c r="AM11" i="5"/>
  <c r="AN11" i="5"/>
  <c r="AO11" i="5"/>
  <c r="AP11" i="5"/>
  <c r="AQ11" i="5"/>
  <c r="AR11" i="5"/>
  <c r="AS11" i="5"/>
  <c r="AT11" i="5"/>
  <c r="AU11" i="5"/>
  <c r="AV11" i="5"/>
  <c r="AW11" i="5"/>
  <c r="AX11" i="5"/>
  <c r="AY11" i="5"/>
  <c r="AZ11" i="5"/>
  <c r="BA11" i="5"/>
  <c r="BB11" i="5"/>
  <c r="BC11" i="5"/>
  <c r="BD11" i="5"/>
  <c r="BE11" i="5"/>
  <c r="BF11" i="5"/>
  <c r="BG11" i="5"/>
  <c r="BH11" i="5"/>
  <c r="BI11" i="5"/>
  <c r="BJ11" i="5"/>
  <c r="BK11" i="5"/>
  <c r="BL11" i="5"/>
  <c r="BM11" i="5"/>
  <c r="BN11" i="5"/>
  <c r="BO11" i="5"/>
  <c r="BP11" i="5"/>
  <c r="BQ11" i="5"/>
  <c r="BR11" i="5"/>
  <c r="BS11" i="5"/>
  <c r="BT11" i="5"/>
  <c r="BU11" i="5"/>
  <c r="BV11" i="5"/>
  <c r="BW11" i="5"/>
  <c r="BX11" i="5"/>
  <c r="BY11" i="5"/>
  <c r="BZ11" i="5"/>
  <c r="J12" i="5"/>
  <c r="K12" i="5"/>
  <c r="L12" i="5"/>
  <c r="M12" i="5"/>
  <c r="N12" i="5"/>
  <c r="O12" i="5"/>
  <c r="P12" i="5"/>
  <c r="Q12" i="5"/>
  <c r="R12" i="5"/>
  <c r="S12" i="5"/>
  <c r="T12" i="5"/>
  <c r="U12" i="5"/>
  <c r="V12" i="5"/>
  <c r="W12" i="5"/>
  <c r="X12" i="5"/>
  <c r="Y12" i="5"/>
  <c r="Z12" i="5"/>
  <c r="AA12" i="5"/>
  <c r="AB12" i="5"/>
  <c r="AC12" i="5"/>
  <c r="AD12" i="5"/>
  <c r="AE12" i="5"/>
  <c r="AF12" i="5"/>
  <c r="AG12" i="5"/>
  <c r="AH12" i="5"/>
  <c r="AI12" i="5"/>
  <c r="AJ12" i="5"/>
  <c r="AK12" i="5"/>
  <c r="AL12" i="5"/>
  <c r="AM12" i="5"/>
  <c r="AN12" i="5"/>
  <c r="AO12" i="5"/>
  <c r="AP12" i="5"/>
  <c r="AQ12" i="5"/>
  <c r="AR12" i="5"/>
  <c r="AS12" i="5"/>
  <c r="AT12" i="5"/>
  <c r="AU12" i="5"/>
  <c r="AV12" i="5"/>
  <c r="AW12" i="5"/>
  <c r="AX12" i="5"/>
  <c r="AY12" i="5"/>
  <c r="AZ12" i="5"/>
  <c r="BA12" i="5"/>
  <c r="BB12" i="5"/>
  <c r="BC12" i="5"/>
  <c r="BD12" i="5"/>
  <c r="BE12" i="5"/>
  <c r="BF12" i="5"/>
  <c r="BG12" i="5"/>
  <c r="BH12" i="5"/>
  <c r="BI12" i="5"/>
  <c r="BJ12" i="5"/>
  <c r="BK12" i="5"/>
  <c r="BL12" i="5"/>
  <c r="BM12" i="5"/>
  <c r="BN12" i="5"/>
  <c r="BO12" i="5"/>
  <c r="BP12" i="5"/>
  <c r="BQ12" i="5"/>
  <c r="BR12" i="5"/>
  <c r="BS12" i="5"/>
  <c r="BT12" i="5"/>
  <c r="BU12" i="5"/>
  <c r="BV12" i="5"/>
  <c r="BW12" i="5"/>
  <c r="BX12" i="5"/>
  <c r="BY12" i="5"/>
  <c r="BZ12" i="5"/>
  <c r="J13" i="5"/>
  <c r="K13" i="5"/>
  <c r="L13" i="5"/>
  <c r="M13" i="5"/>
  <c r="N13" i="5"/>
  <c r="O13" i="5"/>
  <c r="P13" i="5"/>
  <c r="Q13" i="5"/>
  <c r="R13" i="5"/>
  <c r="S13" i="5"/>
  <c r="T13" i="5"/>
  <c r="U13" i="5"/>
  <c r="V13" i="5"/>
  <c r="W13" i="5"/>
  <c r="X13" i="5"/>
  <c r="Y13" i="5"/>
  <c r="Z13" i="5"/>
  <c r="AA13" i="5"/>
  <c r="AB13" i="5"/>
  <c r="AC13" i="5"/>
  <c r="AD13" i="5"/>
  <c r="AE13" i="5"/>
  <c r="AF13" i="5"/>
  <c r="AG13" i="5"/>
  <c r="AH13" i="5"/>
  <c r="AI13" i="5"/>
  <c r="AJ13" i="5"/>
  <c r="AK13" i="5"/>
  <c r="AL13" i="5"/>
  <c r="AM13" i="5"/>
  <c r="AN13" i="5"/>
  <c r="AO13" i="5"/>
  <c r="AP13" i="5"/>
  <c r="AQ13" i="5"/>
  <c r="AR13" i="5"/>
  <c r="AS13" i="5"/>
  <c r="AT13" i="5"/>
  <c r="AU13" i="5"/>
  <c r="AV13" i="5"/>
  <c r="AW13" i="5"/>
  <c r="AX13" i="5"/>
  <c r="AY13" i="5"/>
  <c r="AZ13" i="5"/>
  <c r="BA13" i="5"/>
  <c r="BB13" i="5"/>
  <c r="BC13" i="5"/>
  <c r="BD13" i="5"/>
  <c r="BE13" i="5"/>
  <c r="BF13" i="5"/>
  <c r="BG13" i="5"/>
  <c r="BH13" i="5"/>
  <c r="BI13" i="5"/>
  <c r="BJ13" i="5"/>
  <c r="BK13" i="5"/>
  <c r="BL13" i="5"/>
  <c r="BM13" i="5"/>
  <c r="BN13" i="5"/>
  <c r="BO13" i="5"/>
  <c r="BP13" i="5"/>
  <c r="BQ13" i="5"/>
  <c r="BR13" i="5"/>
  <c r="BS13" i="5"/>
  <c r="BT13" i="5"/>
  <c r="BU13" i="5"/>
  <c r="BV13" i="5"/>
  <c r="BW13" i="5"/>
  <c r="BX13" i="5"/>
  <c r="BY13" i="5"/>
  <c r="BZ13" i="5"/>
  <c r="J14" i="5"/>
  <c r="K14" i="5"/>
  <c r="L14" i="5"/>
  <c r="M14" i="5"/>
  <c r="N14" i="5"/>
  <c r="O14" i="5"/>
  <c r="P14" i="5"/>
  <c r="Q14" i="5"/>
  <c r="R14" i="5"/>
  <c r="S14" i="5"/>
  <c r="T14" i="5"/>
  <c r="U14" i="5"/>
  <c r="V14" i="5"/>
  <c r="W14" i="5"/>
  <c r="X14" i="5"/>
  <c r="Y14" i="5"/>
  <c r="Z14" i="5"/>
  <c r="AA14" i="5"/>
  <c r="AB14" i="5"/>
  <c r="AC14" i="5"/>
  <c r="AD14" i="5"/>
  <c r="AE14" i="5"/>
  <c r="AF14" i="5"/>
  <c r="AG14" i="5"/>
  <c r="AH14" i="5"/>
  <c r="AI14" i="5"/>
  <c r="AJ14" i="5"/>
  <c r="AK14" i="5"/>
  <c r="AL14" i="5"/>
  <c r="AM14" i="5"/>
  <c r="AN14" i="5"/>
  <c r="AO14" i="5"/>
  <c r="AP14" i="5"/>
  <c r="AQ14" i="5"/>
  <c r="AR14" i="5"/>
  <c r="AS14" i="5"/>
  <c r="AT14" i="5"/>
  <c r="AU14" i="5"/>
  <c r="AV14" i="5"/>
  <c r="AW14" i="5"/>
  <c r="AX14" i="5"/>
  <c r="AY14" i="5"/>
  <c r="AZ14" i="5"/>
  <c r="BA14" i="5"/>
  <c r="BB14" i="5"/>
  <c r="BC14" i="5"/>
  <c r="BD14" i="5"/>
  <c r="BE14" i="5"/>
  <c r="BF14" i="5"/>
  <c r="BG14" i="5"/>
  <c r="BH14" i="5"/>
  <c r="BI14" i="5"/>
  <c r="BJ14" i="5"/>
  <c r="BK14" i="5"/>
  <c r="BL14" i="5"/>
  <c r="BM14" i="5"/>
  <c r="BN14" i="5"/>
  <c r="BO14" i="5"/>
  <c r="BP14" i="5"/>
  <c r="BQ14" i="5"/>
  <c r="BR14" i="5"/>
  <c r="BS14" i="5"/>
  <c r="BT14" i="5"/>
  <c r="BU14" i="5"/>
  <c r="BV14" i="5"/>
  <c r="BW14" i="5"/>
  <c r="BX14" i="5"/>
  <c r="BY14" i="5"/>
  <c r="BZ14" i="5"/>
  <c r="J15" i="5"/>
  <c r="K15" i="5"/>
  <c r="L15" i="5"/>
  <c r="M15" i="5"/>
  <c r="N15" i="5"/>
  <c r="O15" i="5"/>
  <c r="P15" i="5"/>
  <c r="Q15" i="5"/>
  <c r="R15" i="5"/>
  <c r="S15" i="5"/>
  <c r="T15" i="5"/>
  <c r="U15" i="5"/>
  <c r="V15" i="5"/>
  <c r="W15" i="5"/>
  <c r="X15" i="5"/>
  <c r="Y15" i="5"/>
  <c r="Z15" i="5"/>
  <c r="AA15" i="5"/>
  <c r="AB15" i="5"/>
  <c r="AC15" i="5"/>
  <c r="AD15" i="5"/>
  <c r="AE15" i="5"/>
  <c r="AF15" i="5"/>
  <c r="AG15" i="5"/>
  <c r="AH15" i="5"/>
  <c r="AI15" i="5"/>
  <c r="AJ15" i="5"/>
  <c r="AK15" i="5"/>
  <c r="AL15" i="5"/>
  <c r="AM15" i="5"/>
  <c r="AN15" i="5"/>
  <c r="AO15" i="5"/>
  <c r="AP15" i="5"/>
  <c r="AQ15" i="5"/>
  <c r="AR15" i="5"/>
  <c r="AS15" i="5"/>
  <c r="AT15" i="5"/>
  <c r="AU15" i="5"/>
  <c r="AV15" i="5"/>
  <c r="AW15" i="5"/>
  <c r="AX15" i="5"/>
  <c r="AY15" i="5"/>
  <c r="AZ15" i="5"/>
  <c r="BA15" i="5"/>
  <c r="BB15" i="5"/>
  <c r="BC15" i="5"/>
  <c r="BD15" i="5"/>
  <c r="BE15" i="5"/>
  <c r="BF15" i="5"/>
  <c r="BG15" i="5"/>
  <c r="BH15" i="5"/>
  <c r="BI15" i="5"/>
  <c r="BJ15" i="5"/>
  <c r="BK15" i="5"/>
  <c r="BL15" i="5"/>
  <c r="BM15" i="5"/>
  <c r="BN15" i="5"/>
  <c r="BO15" i="5"/>
  <c r="BP15" i="5"/>
  <c r="BQ15" i="5"/>
  <c r="BR15" i="5"/>
  <c r="BS15" i="5"/>
  <c r="BT15" i="5"/>
  <c r="BU15" i="5"/>
  <c r="BV15" i="5"/>
  <c r="BW15" i="5"/>
  <c r="BX15" i="5"/>
  <c r="BY15" i="5"/>
  <c r="BZ15" i="5"/>
  <c r="J16" i="5"/>
  <c r="K16" i="5"/>
  <c r="L16" i="5"/>
  <c r="M16" i="5"/>
  <c r="N16" i="5"/>
  <c r="O16" i="5"/>
  <c r="P16" i="5"/>
  <c r="Q16" i="5"/>
  <c r="R16" i="5"/>
  <c r="S16" i="5"/>
  <c r="T16" i="5"/>
  <c r="U16" i="5"/>
  <c r="V16" i="5"/>
  <c r="W16" i="5"/>
  <c r="X16" i="5"/>
  <c r="Y16" i="5"/>
  <c r="Z16" i="5"/>
  <c r="AA16" i="5"/>
  <c r="AB16" i="5"/>
  <c r="AC16" i="5"/>
  <c r="AD16" i="5"/>
  <c r="AE16" i="5"/>
  <c r="AF16" i="5"/>
  <c r="AG16" i="5"/>
  <c r="AH16" i="5"/>
  <c r="AI16" i="5"/>
  <c r="AJ16" i="5"/>
  <c r="AK16" i="5"/>
  <c r="AL16" i="5"/>
  <c r="AM16" i="5"/>
  <c r="AN16" i="5"/>
  <c r="AO16" i="5"/>
  <c r="AP16" i="5"/>
  <c r="AQ16" i="5"/>
  <c r="AR16" i="5"/>
  <c r="AS16" i="5"/>
  <c r="AT16" i="5"/>
  <c r="AU16" i="5"/>
  <c r="AV16" i="5"/>
  <c r="AW16" i="5"/>
  <c r="AX16" i="5"/>
  <c r="AY16" i="5"/>
  <c r="AZ16" i="5"/>
  <c r="BA16" i="5"/>
  <c r="BB16" i="5"/>
  <c r="BC16" i="5"/>
  <c r="BD16" i="5"/>
  <c r="BE16" i="5"/>
  <c r="BF16" i="5"/>
  <c r="BG16" i="5"/>
  <c r="BH16" i="5"/>
  <c r="BI16" i="5"/>
  <c r="BJ16" i="5"/>
  <c r="BK16" i="5"/>
  <c r="BL16" i="5"/>
  <c r="BM16" i="5"/>
  <c r="BN16" i="5"/>
  <c r="BO16" i="5"/>
  <c r="BP16" i="5"/>
  <c r="BQ16" i="5"/>
  <c r="BR16" i="5"/>
  <c r="BS16" i="5"/>
  <c r="BT16" i="5"/>
  <c r="BU16" i="5"/>
  <c r="BV16" i="5"/>
  <c r="BW16" i="5"/>
  <c r="BX16" i="5"/>
  <c r="BY16" i="5"/>
  <c r="BZ16" i="5"/>
  <c r="J17" i="5"/>
  <c r="K17" i="5"/>
  <c r="L17" i="5"/>
  <c r="M17" i="5"/>
  <c r="N17" i="5"/>
  <c r="O17" i="5"/>
  <c r="P17" i="5"/>
  <c r="Q17" i="5"/>
  <c r="R17" i="5"/>
  <c r="S17" i="5"/>
  <c r="T17" i="5"/>
  <c r="U17" i="5"/>
  <c r="V17" i="5"/>
  <c r="W17" i="5"/>
  <c r="X17" i="5"/>
  <c r="Y17" i="5"/>
  <c r="Z17" i="5"/>
  <c r="AA17" i="5"/>
  <c r="AB17" i="5"/>
  <c r="AC17" i="5"/>
  <c r="AD17" i="5"/>
  <c r="AE17" i="5"/>
  <c r="AF17" i="5"/>
  <c r="AG17" i="5"/>
  <c r="AH17" i="5"/>
  <c r="AI17" i="5"/>
  <c r="AJ17" i="5"/>
  <c r="AK17" i="5"/>
  <c r="AL17" i="5"/>
  <c r="AM17" i="5"/>
  <c r="AN17" i="5"/>
  <c r="AO17" i="5"/>
  <c r="AP17" i="5"/>
  <c r="AQ17" i="5"/>
  <c r="AR17" i="5"/>
  <c r="AS17" i="5"/>
  <c r="AT17" i="5"/>
  <c r="AU17" i="5"/>
  <c r="AV17" i="5"/>
  <c r="AW17" i="5"/>
  <c r="AX17" i="5"/>
  <c r="AY17" i="5"/>
  <c r="AZ17" i="5"/>
  <c r="BA17" i="5"/>
  <c r="BB17" i="5"/>
  <c r="BC17" i="5"/>
  <c r="BD17" i="5"/>
  <c r="BE17" i="5"/>
  <c r="BF17" i="5"/>
  <c r="BG17" i="5"/>
  <c r="BH17" i="5"/>
  <c r="BI17" i="5"/>
  <c r="BJ17" i="5"/>
  <c r="BK17" i="5"/>
  <c r="BL17" i="5"/>
  <c r="BM17" i="5"/>
  <c r="BN17" i="5"/>
  <c r="BO17" i="5"/>
  <c r="BP17" i="5"/>
  <c r="BQ17" i="5"/>
  <c r="BR17" i="5"/>
  <c r="BS17" i="5"/>
  <c r="BT17" i="5"/>
  <c r="BU17" i="5"/>
  <c r="BV17" i="5"/>
  <c r="BW17" i="5"/>
  <c r="BX17" i="5"/>
  <c r="BY17" i="5"/>
  <c r="BZ17" i="5"/>
  <c r="J18" i="5"/>
  <c r="K18" i="5"/>
  <c r="L18" i="5"/>
  <c r="M18" i="5"/>
  <c r="N18" i="5"/>
  <c r="O18" i="5"/>
  <c r="P18" i="5"/>
  <c r="Q18" i="5"/>
  <c r="R18" i="5"/>
  <c r="S18" i="5"/>
  <c r="T18" i="5"/>
  <c r="U18" i="5"/>
  <c r="V18" i="5"/>
  <c r="W18" i="5"/>
  <c r="X18" i="5"/>
  <c r="Y18" i="5"/>
  <c r="Z18" i="5"/>
  <c r="AA18" i="5"/>
  <c r="AB18" i="5"/>
  <c r="AC18" i="5"/>
  <c r="AD18" i="5"/>
  <c r="AE18" i="5"/>
  <c r="AF18" i="5"/>
  <c r="AG18" i="5"/>
  <c r="AH18" i="5"/>
  <c r="AI18" i="5"/>
  <c r="AJ18" i="5"/>
  <c r="AK18" i="5"/>
  <c r="AL18" i="5"/>
  <c r="AM18" i="5"/>
  <c r="AN18" i="5"/>
  <c r="AO18" i="5"/>
  <c r="AP18" i="5"/>
  <c r="AQ18" i="5"/>
  <c r="AR18" i="5"/>
  <c r="AS18" i="5"/>
  <c r="AT18" i="5"/>
  <c r="AU18" i="5"/>
  <c r="AV18" i="5"/>
  <c r="AW18" i="5"/>
  <c r="AX18" i="5"/>
  <c r="AY18" i="5"/>
  <c r="AZ18" i="5"/>
  <c r="BA18" i="5"/>
  <c r="BB18" i="5"/>
  <c r="BC18" i="5"/>
  <c r="BD18" i="5"/>
  <c r="BE18" i="5"/>
  <c r="BF18" i="5"/>
  <c r="BG18" i="5"/>
  <c r="BH18" i="5"/>
  <c r="BI18" i="5"/>
  <c r="BJ18" i="5"/>
  <c r="BK18" i="5"/>
  <c r="BL18" i="5"/>
  <c r="BM18" i="5"/>
  <c r="BN18" i="5"/>
  <c r="BO18" i="5"/>
  <c r="BP18" i="5"/>
  <c r="BQ18" i="5"/>
  <c r="BR18" i="5"/>
  <c r="BS18" i="5"/>
  <c r="BT18" i="5"/>
  <c r="BU18" i="5"/>
  <c r="BV18" i="5"/>
  <c r="BW18" i="5"/>
  <c r="BX18" i="5"/>
  <c r="BY18" i="5"/>
  <c r="BZ18" i="5"/>
  <c r="J19" i="5"/>
  <c r="K19" i="5"/>
  <c r="L19" i="5"/>
  <c r="M19" i="5"/>
  <c r="N19" i="5"/>
  <c r="O19" i="5"/>
  <c r="P19" i="5"/>
  <c r="Q19" i="5"/>
  <c r="R19" i="5"/>
  <c r="S19" i="5"/>
  <c r="T19" i="5"/>
  <c r="U19" i="5"/>
  <c r="V19" i="5"/>
  <c r="W19" i="5"/>
  <c r="X19" i="5"/>
  <c r="Y19" i="5"/>
  <c r="Z19" i="5"/>
  <c r="AA19" i="5"/>
  <c r="AB19" i="5"/>
  <c r="AC19" i="5"/>
  <c r="AD19" i="5"/>
  <c r="AE19" i="5"/>
  <c r="AF19" i="5"/>
  <c r="AG19" i="5"/>
  <c r="AH19" i="5"/>
  <c r="AI19" i="5"/>
  <c r="AJ19" i="5"/>
  <c r="AK19" i="5"/>
  <c r="AL19" i="5"/>
  <c r="AM19" i="5"/>
  <c r="AN19" i="5"/>
  <c r="AO19" i="5"/>
  <c r="AP19" i="5"/>
  <c r="AQ19" i="5"/>
  <c r="AR19" i="5"/>
  <c r="AS19" i="5"/>
  <c r="AT19" i="5"/>
  <c r="AU19" i="5"/>
  <c r="AV19" i="5"/>
  <c r="AW19" i="5"/>
  <c r="AX19" i="5"/>
  <c r="AY19" i="5"/>
  <c r="AZ19" i="5"/>
  <c r="BA19" i="5"/>
  <c r="BB19" i="5"/>
  <c r="BC19" i="5"/>
  <c r="BD19" i="5"/>
  <c r="BE19" i="5"/>
  <c r="BF19" i="5"/>
  <c r="BG19" i="5"/>
  <c r="BH19" i="5"/>
  <c r="BI19" i="5"/>
  <c r="BJ19" i="5"/>
  <c r="BK19" i="5"/>
  <c r="BL19" i="5"/>
  <c r="BM19" i="5"/>
  <c r="BN19" i="5"/>
  <c r="BO19" i="5"/>
  <c r="BP19" i="5"/>
  <c r="BQ19" i="5"/>
  <c r="BR19" i="5"/>
  <c r="BS19" i="5"/>
  <c r="BT19" i="5"/>
  <c r="BU19" i="5"/>
  <c r="BV19" i="5"/>
  <c r="BW19" i="5"/>
  <c r="BX19" i="5"/>
  <c r="BY19" i="5"/>
  <c r="BZ19" i="5"/>
  <c r="J20" i="5"/>
  <c r="K20" i="5"/>
  <c r="L20" i="5"/>
  <c r="M20" i="5"/>
  <c r="N20" i="5"/>
  <c r="O20" i="5"/>
  <c r="P20" i="5"/>
  <c r="Q20" i="5"/>
  <c r="R20" i="5"/>
  <c r="S20" i="5"/>
  <c r="T20" i="5"/>
  <c r="U20" i="5"/>
  <c r="V20" i="5"/>
  <c r="W20" i="5"/>
  <c r="X20" i="5"/>
  <c r="Y20" i="5"/>
  <c r="Z20" i="5"/>
  <c r="AA20" i="5"/>
  <c r="AB20" i="5"/>
  <c r="AC20" i="5"/>
  <c r="AD20" i="5"/>
  <c r="AE20" i="5"/>
  <c r="AF20" i="5"/>
  <c r="AG20" i="5"/>
  <c r="AH20" i="5"/>
  <c r="AI20" i="5"/>
  <c r="AJ20" i="5"/>
  <c r="AK20" i="5"/>
  <c r="AL20" i="5"/>
  <c r="AM20" i="5"/>
  <c r="AN20" i="5"/>
  <c r="AO20" i="5"/>
  <c r="AP20" i="5"/>
  <c r="AQ20" i="5"/>
  <c r="AR20" i="5"/>
  <c r="AS20" i="5"/>
  <c r="AT20" i="5"/>
  <c r="AU20" i="5"/>
  <c r="AV20" i="5"/>
  <c r="AW20" i="5"/>
  <c r="AX20" i="5"/>
  <c r="AY20" i="5"/>
  <c r="AZ20" i="5"/>
  <c r="BA20" i="5"/>
  <c r="BB20" i="5"/>
  <c r="BC20" i="5"/>
  <c r="BD20" i="5"/>
  <c r="BE20" i="5"/>
  <c r="BF20" i="5"/>
  <c r="BG20" i="5"/>
  <c r="BH20" i="5"/>
  <c r="BI20" i="5"/>
  <c r="BJ20" i="5"/>
  <c r="BK20" i="5"/>
  <c r="BL20" i="5"/>
  <c r="BM20" i="5"/>
  <c r="BN20" i="5"/>
  <c r="BO20" i="5"/>
  <c r="BP20" i="5"/>
  <c r="BQ20" i="5"/>
  <c r="BR20" i="5"/>
  <c r="BS20" i="5"/>
  <c r="BT20" i="5"/>
  <c r="BU20" i="5"/>
  <c r="BV20" i="5"/>
  <c r="BW20" i="5"/>
  <c r="BX20" i="5"/>
  <c r="BY20" i="5"/>
  <c r="BZ20" i="5"/>
  <c r="J21" i="5"/>
  <c r="K21" i="5"/>
  <c r="L21" i="5"/>
  <c r="M21" i="5"/>
  <c r="N21" i="5"/>
  <c r="O21" i="5"/>
  <c r="P21" i="5"/>
  <c r="Q21" i="5"/>
  <c r="R21" i="5"/>
  <c r="S21" i="5"/>
  <c r="T21" i="5"/>
  <c r="U21" i="5"/>
  <c r="V21" i="5"/>
  <c r="W21" i="5"/>
  <c r="X21" i="5"/>
  <c r="Y21" i="5"/>
  <c r="Z21" i="5"/>
  <c r="AA21" i="5"/>
  <c r="AB21" i="5"/>
  <c r="AC21" i="5"/>
  <c r="AD21" i="5"/>
  <c r="AE21" i="5"/>
  <c r="AF21" i="5"/>
  <c r="AG21" i="5"/>
  <c r="AH21" i="5"/>
  <c r="AI21" i="5"/>
  <c r="AJ21" i="5"/>
  <c r="AK21" i="5"/>
  <c r="AL21" i="5"/>
  <c r="AM21" i="5"/>
  <c r="AN21" i="5"/>
  <c r="AO21" i="5"/>
  <c r="AP21" i="5"/>
  <c r="AQ21" i="5"/>
  <c r="AR21" i="5"/>
  <c r="AS21" i="5"/>
  <c r="AT21" i="5"/>
  <c r="AU21" i="5"/>
  <c r="AV21" i="5"/>
  <c r="AW21" i="5"/>
  <c r="AX21" i="5"/>
  <c r="AY21" i="5"/>
  <c r="AZ21" i="5"/>
  <c r="BA21" i="5"/>
  <c r="BB21" i="5"/>
  <c r="BC21" i="5"/>
  <c r="BD21" i="5"/>
  <c r="BE21" i="5"/>
  <c r="BF21" i="5"/>
  <c r="BG21" i="5"/>
  <c r="BH21" i="5"/>
  <c r="BI21" i="5"/>
  <c r="BJ21" i="5"/>
  <c r="BK21" i="5"/>
  <c r="BL21" i="5"/>
  <c r="BM21" i="5"/>
  <c r="BN21" i="5"/>
  <c r="BO21" i="5"/>
  <c r="BP21" i="5"/>
  <c r="BQ21" i="5"/>
  <c r="BR21" i="5"/>
  <c r="BS21" i="5"/>
  <c r="BT21" i="5"/>
  <c r="BU21" i="5"/>
  <c r="BV21" i="5"/>
  <c r="BW21" i="5"/>
  <c r="BX21" i="5"/>
  <c r="BY21" i="5"/>
  <c r="BZ21" i="5"/>
  <c r="J22" i="5"/>
  <c r="K22" i="5"/>
  <c r="L22" i="5"/>
  <c r="M22" i="5"/>
  <c r="N22" i="5"/>
  <c r="O22" i="5"/>
  <c r="P22" i="5"/>
  <c r="Q22" i="5"/>
  <c r="R22" i="5"/>
  <c r="S22" i="5"/>
  <c r="T22" i="5"/>
  <c r="U22" i="5"/>
  <c r="V22" i="5"/>
  <c r="W22" i="5"/>
  <c r="X22" i="5"/>
  <c r="Y22" i="5"/>
  <c r="Z22" i="5"/>
  <c r="AA22" i="5"/>
  <c r="AB22" i="5"/>
  <c r="AC22" i="5"/>
  <c r="AD22" i="5"/>
  <c r="AE22" i="5"/>
  <c r="AF22" i="5"/>
  <c r="AG22" i="5"/>
  <c r="AH22" i="5"/>
  <c r="AI22" i="5"/>
  <c r="AJ22" i="5"/>
  <c r="AK22" i="5"/>
  <c r="AL22" i="5"/>
  <c r="AM22" i="5"/>
  <c r="AN22" i="5"/>
  <c r="AO22" i="5"/>
  <c r="AP22" i="5"/>
  <c r="AQ22" i="5"/>
  <c r="AR22" i="5"/>
  <c r="AS22" i="5"/>
  <c r="AT22" i="5"/>
  <c r="AU22" i="5"/>
  <c r="AV22" i="5"/>
  <c r="AW22" i="5"/>
  <c r="AX22" i="5"/>
  <c r="AY22" i="5"/>
  <c r="AZ22" i="5"/>
  <c r="BA22" i="5"/>
  <c r="BB22" i="5"/>
  <c r="BC22" i="5"/>
  <c r="BD22" i="5"/>
  <c r="BE22" i="5"/>
  <c r="BF22" i="5"/>
  <c r="BG22" i="5"/>
  <c r="BH22" i="5"/>
  <c r="BI22" i="5"/>
  <c r="BJ22" i="5"/>
  <c r="BK22" i="5"/>
  <c r="BL22" i="5"/>
  <c r="BM22" i="5"/>
  <c r="BN22" i="5"/>
  <c r="BO22" i="5"/>
  <c r="BP22" i="5"/>
  <c r="BQ22" i="5"/>
  <c r="BR22" i="5"/>
  <c r="BS22" i="5"/>
  <c r="BT22" i="5"/>
  <c r="BU22" i="5"/>
  <c r="BV22" i="5"/>
  <c r="BW22" i="5"/>
  <c r="BX22" i="5"/>
  <c r="BY22" i="5"/>
  <c r="BZ22" i="5"/>
  <c r="J23" i="5"/>
  <c r="K23" i="5"/>
  <c r="L23" i="5"/>
  <c r="M23" i="5"/>
  <c r="N23" i="5"/>
  <c r="O23" i="5"/>
  <c r="P23" i="5"/>
  <c r="Q23" i="5"/>
  <c r="R23" i="5"/>
  <c r="S23" i="5"/>
  <c r="T23" i="5"/>
  <c r="U23" i="5"/>
  <c r="V23" i="5"/>
  <c r="W23" i="5"/>
  <c r="X23" i="5"/>
  <c r="Y23" i="5"/>
  <c r="Z23" i="5"/>
  <c r="AA23" i="5"/>
  <c r="AB23" i="5"/>
  <c r="AC23" i="5"/>
  <c r="AD23" i="5"/>
  <c r="AE23" i="5"/>
  <c r="AF23" i="5"/>
  <c r="AG23" i="5"/>
  <c r="AH23" i="5"/>
  <c r="AI23" i="5"/>
  <c r="AJ23" i="5"/>
  <c r="AK23" i="5"/>
  <c r="AL23" i="5"/>
  <c r="AM23" i="5"/>
  <c r="AN23" i="5"/>
  <c r="AO23" i="5"/>
  <c r="AP23" i="5"/>
  <c r="AQ23" i="5"/>
  <c r="AR23" i="5"/>
  <c r="AS23" i="5"/>
  <c r="AT23" i="5"/>
  <c r="AU23" i="5"/>
  <c r="AV23" i="5"/>
  <c r="AW23" i="5"/>
  <c r="AX23" i="5"/>
  <c r="AY23" i="5"/>
  <c r="AZ23" i="5"/>
  <c r="BA23" i="5"/>
  <c r="BB23" i="5"/>
  <c r="BC23" i="5"/>
  <c r="BD23" i="5"/>
  <c r="BE23" i="5"/>
  <c r="BF23" i="5"/>
  <c r="BG23" i="5"/>
  <c r="BH23" i="5"/>
  <c r="BI23" i="5"/>
  <c r="BJ23" i="5"/>
  <c r="BK23" i="5"/>
  <c r="BL23" i="5"/>
  <c r="BM23" i="5"/>
  <c r="BN23" i="5"/>
  <c r="BO23" i="5"/>
  <c r="BP23" i="5"/>
  <c r="BQ23" i="5"/>
  <c r="BR23" i="5"/>
  <c r="BS23" i="5"/>
  <c r="BT23" i="5"/>
  <c r="BU23" i="5"/>
  <c r="BV23" i="5"/>
  <c r="BW23" i="5"/>
  <c r="BX23" i="5"/>
  <c r="BY23" i="5"/>
  <c r="BZ23" i="5"/>
  <c r="J24" i="5"/>
  <c r="K24" i="5"/>
  <c r="L24" i="5"/>
  <c r="M24" i="5"/>
  <c r="N24" i="5"/>
  <c r="O24" i="5"/>
  <c r="P24" i="5"/>
  <c r="Q24" i="5"/>
  <c r="R24" i="5"/>
  <c r="S24" i="5"/>
  <c r="T24" i="5"/>
  <c r="U24" i="5"/>
  <c r="V24" i="5"/>
  <c r="W24" i="5"/>
  <c r="X24" i="5"/>
  <c r="Y24" i="5"/>
  <c r="Z24" i="5"/>
  <c r="AA24" i="5"/>
  <c r="AB24" i="5"/>
  <c r="AC24" i="5"/>
  <c r="AD24" i="5"/>
  <c r="AE24" i="5"/>
  <c r="AF24" i="5"/>
  <c r="AG24" i="5"/>
  <c r="AH24" i="5"/>
  <c r="AI24" i="5"/>
  <c r="AJ24" i="5"/>
  <c r="AK24" i="5"/>
  <c r="AL24" i="5"/>
  <c r="AM24" i="5"/>
  <c r="AN24" i="5"/>
  <c r="AO24" i="5"/>
  <c r="AP24" i="5"/>
  <c r="AQ24" i="5"/>
  <c r="AR24" i="5"/>
  <c r="AS24" i="5"/>
  <c r="AT24" i="5"/>
  <c r="AU24" i="5"/>
  <c r="AV24" i="5"/>
  <c r="AW24" i="5"/>
  <c r="AX24" i="5"/>
  <c r="AY24" i="5"/>
  <c r="AZ24" i="5"/>
  <c r="BA24" i="5"/>
  <c r="BB24" i="5"/>
  <c r="BC24" i="5"/>
  <c r="BD24" i="5"/>
  <c r="BE24" i="5"/>
  <c r="BF24" i="5"/>
  <c r="BG24" i="5"/>
  <c r="BH24" i="5"/>
  <c r="BI24" i="5"/>
  <c r="BJ24" i="5"/>
  <c r="BK24" i="5"/>
  <c r="BL24" i="5"/>
  <c r="BM24" i="5"/>
  <c r="BN24" i="5"/>
  <c r="BO24" i="5"/>
  <c r="BP24" i="5"/>
  <c r="BQ24" i="5"/>
  <c r="BR24" i="5"/>
  <c r="BS24" i="5"/>
  <c r="BT24" i="5"/>
  <c r="BU24" i="5"/>
  <c r="BV24" i="5"/>
  <c r="BW24" i="5"/>
  <c r="BX24" i="5"/>
  <c r="BY24" i="5"/>
  <c r="BZ24" i="5"/>
  <c r="J25" i="5"/>
  <c r="K25" i="5"/>
  <c r="L25" i="5"/>
  <c r="M25" i="5"/>
  <c r="N25" i="5"/>
  <c r="O25" i="5"/>
  <c r="P25" i="5"/>
  <c r="Q25" i="5"/>
  <c r="R25" i="5"/>
  <c r="S25" i="5"/>
  <c r="T25" i="5"/>
  <c r="U25" i="5"/>
  <c r="V25" i="5"/>
  <c r="W25" i="5"/>
  <c r="X25" i="5"/>
  <c r="Y25" i="5"/>
  <c r="Z25" i="5"/>
  <c r="AA25" i="5"/>
  <c r="AB25" i="5"/>
  <c r="AC25" i="5"/>
  <c r="AD25" i="5"/>
  <c r="AE25" i="5"/>
  <c r="AF25" i="5"/>
  <c r="AG25" i="5"/>
  <c r="AH25" i="5"/>
  <c r="AI25" i="5"/>
  <c r="AJ25" i="5"/>
  <c r="AK25" i="5"/>
  <c r="AL25" i="5"/>
  <c r="AM25" i="5"/>
  <c r="AN25" i="5"/>
  <c r="AO25" i="5"/>
  <c r="AP25" i="5"/>
  <c r="AQ25" i="5"/>
  <c r="AR25" i="5"/>
  <c r="AS25" i="5"/>
  <c r="AT25" i="5"/>
  <c r="AU25" i="5"/>
  <c r="AV25" i="5"/>
  <c r="AW25" i="5"/>
  <c r="AX25" i="5"/>
  <c r="AY25" i="5"/>
  <c r="AZ25" i="5"/>
  <c r="BA25" i="5"/>
  <c r="BB25" i="5"/>
  <c r="BC25" i="5"/>
  <c r="BD25" i="5"/>
  <c r="BE25" i="5"/>
  <c r="BF25" i="5"/>
  <c r="BG25" i="5"/>
  <c r="BH25" i="5"/>
  <c r="BI25" i="5"/>
  <c r="BJ25" i="5"/>
  <c r="BK25" i="5"/>
  <c r="BL25" i="5"/>
  <c r="BM25" i="5"/>
  <c r="BN25" i="5"/>
  <c r="BO25" i="5"/>
  <c r="BP25" i="5"/>
  <c r="BQ25" i="5"/>
  <c r="BR25" i="5"/>
  <c r="BS25" i="5"/>
  <c r="BT25" i="5"/>
  <c r="BU25" i="5"/>
  <c r="BV25" i="5"/>
  <c r="BW25" i="5"/>
  <c r="BX25" i="5"/>
  <c r="BY25" i="5"/>
  <c r="BZ25" i="5"/>
  <c r="J26" i="5"/>
  <c r="K26" i="5"/>
  <c r="L26" i="5"/>
  <c r="M26" i="5"/>
  <c r="N26" i="5"/>
  <c r="O26" i="5"/>
  <c r="P26" i="5"/>
  <c r="Q26" i="5"/>
  <c r="R26" i="5"/>
  <c r="S26" i="5"/>
  <c r="T26" i="5"/>
  <c r="U26" i="5"/>
  <c r="V26" i="5"/>
  <c r="W26" i="5"/>
  <c r="X26" i="5"/>
  <c r="Y26" i="5"/>
  <c r="Z26" i="5"/>
  <c r="AA26" i="5"/>
  <c r="AB26" i="5"/>
  <c r="AC26" i="5"/>
  <c r="AD26" i="5"/>
  <c r="AE26" i="5"/>
  <c r="AF26" i="5"/>
  <c r="AG26" i="5"/>
  <c r="AH26" i="5"/>
  <c r="AI26" i="5"/>
  <c r="AJ26" i="5"/>
  <c r="AK26" i="5"/>
  <c r="AL26" i="5"/>
  <c r="AM26" i="5"/>
  <c r="AN26" i="5"/>
  <c r="AO26" i="5"/>
  <c r="AP26" i="5"/>
  <c r="AQ26" i="5"/>
  <c r="AR26" i="5"/>
  <c r="AS26" i="5"/>
  <c r="AT26" i="5"/>
  <c r="AU26" i="5"/>
  <c r="AV26" i="5"/>
  <c r="AW26" i="5"/>
  <c r="AX26" i="5"/>
  <c r="AY26" i="5"/>
  <c r="AZ26" i="5"/>
  <c r="BA26" i="5"/>
  <c r="BB26" i="5"/>
  <c r="BC26" i="5"/>
  <c r="BD26" i="5"/>
  <c r="BE26" i="5"/>
  <c r="BF26" i="5"/>
  <c r="BG26" i="5"/>
  <c r="BH26" i="5"/>
  <c r="BI26" i="5"/>
  <c r="BJ26" i="5"/>
  <c r="BK26" i="5"/>
  <c r="BL26" i="5"/>
  <c r="BM26" i="5"/>
  <c r="BN26" i="5"/>
  <c r="BO26" i="5"/>
  <c r="BP26" i="5"/>
  <c r="BQ26" i="5"/>
  <c r="BR26" i="5"/>
  <c r="BS26" i="5"/>
  <c r="BT26" i="5"/>
  <c r="BU26" i="5"/>
  <c r="BV26" i="5"/>
  <c r="BW26" i="5"/>
  <c r="BX26" i="5"/>
  <c r="BY26" i="5"/>
  <c r="BZ26" i="5"/>
  <c r="J27" i="5"/>
  <c r="K27" i="5"/>
  <c r="L27" i="5"/>
  <c r="M27" i="5"/>
  <c r="N27" i="5"/>
  <c r="O27" i="5"/>
  <c r="P27" i="5"/>
  <c r="Q27" i="5"/>
  <c r="R27" i="5"/>
  <c r="S27" i="5"/>
  <c r="T27" i="5"/>
  <c r="U27" i="5"/>
  <c r="V27" i="5"/>
  <c r="W27" i="5"/>
  <c r="X27" i="5"/>
  <c r="Y27" i="5"/>
  <c r="Z27" i="5"/>
  <c r="AA27" i="5"/>
  <c r="AB27" i="5"/>
  <c r="AC27" i="5"/>
  <c r="AD27" i="5"/>
  <c r="AE27" i="5"/>
  <c r="AF27" i="5"/>
  <c r="AG27" i="5"/>
  <c r="AH27" i="5"/>
  <c r="AI27" i="5"/>
  <c r="AJ27" i="5"/>
  <c r="AK27" i="5"/>
  <c r="AL27" i="5"/>
  <c r="AM27" i="5"/>
  <c r="AN27" i="5"/>
  <c r="AO27" i="5"/>
  <c r="AP27" i="5"/>
  <c r="AQ27" i="5"/>
  <c r="AR27" i="5"/>
  <c r="AS27" i="5"/>
  <c r="AT27" i="5"/>
  <c r="AU27" i="5"/>
  <c r="AV27" i="5"/>
  <c r="AW27" i="5"/>
  <c r="AX27" i="5"/>
  <c r="AY27" i="5"/>
  <c r="AZ27" i="5"/>
  <c r="BA27" i="5"/>
  <c r="BB27" i="5"/>
  <c r="BC27" i="5"/>
  <c r="BD27" i="5"/>
  <c r="BE27" i="5"/>
  <c r="BF27" i="5"/>
  <c r="BG27" i="5"/>
  <c r="BH27" i="5"/>
  <c r="BI27" i="5"/>
  <c r="BJ27" i="5"/>
  <c r="BK27" i="5"/>
  <c r="BL27" i="5"/>
  <c r="BM27" i="5"/>
  <c r="BN27" i="5"/>
  <c r="BO27" i="5"/>
  <c r="BP27" i="5"/>
  <c r="BQ27" i="5"/>
  <c r="BR27" i="5"/>
  <c r="BS27" i="5"/>
  <c r="BT27" i="5"/>
  <c r="BU27" i="5"/>
  <c r="BV27" i="5"/>
  <c r="BW27" i="5"/>
  <c r="BX27" i="5"/>
  <c r="BY27" i="5"/>
  <c r="BZ27" i="5"/>
  <c r="J28" i="5"/>
  <c r="K28" i="5"/>
  <c r="L28" i="5"/>
  <c r="M28" i="5"/>
  <c r="N28" i="5"/>
  <c r="O28" i="5"/>
  <c r="P28" i="5"/>
  <c r="Q28" i="5"/>
  <c r="R28" i="5"/>
  <c r="S28" i="5"/>
  <c r="T28" i="5"/>
  <c r="U28" i="5"/>
  <c r="V28" i="5"/>
  <c r="W28" i="5"/>
  <c r="X28" i="5"/>
  <c r="Y28" i="5"/>
  <c r="Z28" i="5"/>
  <c r="AA28" i="5"/>
  <c r="AB28" i="5"/>
  <c r="AC28" i="5"/>
  <c r="AD28" i="5"/>
  <c r="AE28" i="5"/>
  <c r="AF28" i="5"/>
  <c r="AG28" i="5"/>
  <c r="AH28" i="5"/>
  <c r="AI28" i="5"/>
  <c r="AJ28" i="5"/>
  <c r="AK28" i="5"/>
  <c r="AL28" i="5"/>
  <c r="AM28" i="5"/>
  <c r="AN28" i="5"/>
  <c r="AO28" i="5"/>
  <c r="AP28" i="5"/>
  <c r="AQ28" i="5"/>
  <c r="AR28" i="5"/>
  <c r="AS28" i="5"/>
  <c r="AT28" i="5"/>
  <c r="AU28" i="5"/>
  <c r="AV28" i="5"/>
  <c r="AW28" i="5"/>
  <c r="AX28" i="5"/>
  <c r="AY28" i="5"/>
  <c r="AZ28" i="5"/>
  <c r="BA28" i="5"/>
  <c r="BB28" i="5"/>
  <c r="BC28" i="5"/>
  <c r="BD28" i="5"/>
  <c r="BE28" i="5"/>
  <c r="BF28" i="5"/>
  <c r="BG28" i="5"/>
  <c r="BH28" i="5"/>
  <c r="BI28" i="5"/>
  <c r="BJ28" i="5"/>
  <c r="BK28" i="5"/>
  <c r="BL28" i="5"/>
  <c r="BM28" i="5"/>
  <c r="BN28" i="5"/>
  <c r="BO28" i="5"/>
  <c r="BP28" i="5"/>
  <c r="BQ28" i="5"/>
  <c r="BR28" i="5"/>
  <c r="BS28" i="5"/>
  <c r="BT28" i="5"/>
  <c r="BU28" i="5"/>
  <c r="BV28" i="5"/>
  <c r="BW28" i="5"/>
  <c r="BX28" i="5"/>
  <c r="BY28" i="5"/>
  <c r="BZ28" i="5"/>
  <c r="J29" i="5"/>
  <c r="K29" i="5"/>
  <c r="L29" i="5"/>
  <c r="M29" i="5"/>
  <c r="N29" i="5"/>
  <c r="O29" i="5"/>
  <c r="P29" i="5"/>
  <c r="Q29" i="5"/>
  <c r="R29" i="5"/>
  <c r="S29" i="5"/>
  <c r="T29" i="5"/>
  <c r="U29" i="5"/>
  <c r="V29" i="5"/>
  <c r="W29" i="5"/>
  <c r="X29" i="5"/>
  <c r="Y29" i="5"/>
  <c r="Z29" i="5"/>
  <c r="AA29" i="5"/>
  <c r="AB29" i="5"/>
  <c r="AC29" i="5"/>
  <c r="AD29" i="5"/>
  <c r="AE29" i="5"/>
  <c r="AF29" i="5"/>
  <c r="AG29" i="5"/>
  <c r="AH29" i="5"/>
  <c r="AI29" i="5"/>
  <c r="AJ29" i="5"/>
  <c r="AK29" i="5"/>
  <c r="AL29" i="5"/>
  <c r="AM29" i="5"/>
  <c r="AN29" i="5"/>
  <c r="AO29" i="5"/>
  <c r="AP29" i="5"/>
  <c r="AQ29" i="5"/>
  <c r="AR29" i="5"/>
  <c r="AS29" i="5"/>
  <c r="AT29" i="5"/>
  <c r="AU29" i="5"/>
  <c r="AV29" i="5"/>
  <c r="AW29" i="5"/>
  <c r="AX29" i="5"/>
  <c r="AY29" i="5"/>
  <c r="AZ29" i="5"/>
  <c r="BA29" i="5"/>
  <c r="BB29" i="5"/>
  <c r="BC29" i="5"/>
  <c r="BD29" i="5"/>
  <c r="BE29" i="5"/>
  <c r="BF29" i="5"/>
  <c r="BG29" i="5"/>
  <c r="BH29" i="5"/>
  <c r="BI29" i="5"/>
  <c r="BJ29" i="5"/>
  <c r="BK29" i="5"/>
  <c r="BL29" i="5"/>
  <c r="BM29" i="5"/>
  <c r="BN29" i="5"/>
  <c r="BO29" i="5"/>
  <c r="BP29" i="5"/>
  <c r="BQ29" i="5"/>
  <c r="BR29" i="5"/>
  <c r="BS29" i="5"/>
  <c r="BT29" i="5"/>
  <c r="BU29" i="5"/>
  <c r="BV29" i="5"/>
  <c r="BW29" i="5"/>
  <c r="BX29" i="5"/>
  <c r="BY29" i="5"/>
  <c r="BZ29" i="5"/>
  <c r="J30" i="5"/>
  <c r="K30" i="5"/>
  <c r="L30" i="5"/>
  <c r="M30" i="5"/>
  <c r="N30" i="5"/>
  <c r="O30" i="5"/>
  <c r="P30" i="5"/>
  <c r="Q30" i="5"/>
  <c r="R30" i="5"/>
  <c r="S30" i="5"/>
  <c r="T30" i="5"/>
  <c r="U30" i="5"/>
  <c r="V30" i="5"/>
  <c r="W30" i="5"/>
  <c r="X30" i="5"/>
  <c r="Y30" i="5"/>
  <c r="Z30" i="5"/>
  <c r="AA30" i="5"/>
  <c r="AB30" i="5"/>
  <c r="AC30" i="5"/>
  <c r="AD30" i="5"/>
  <c r="AE30" i="5"/>
  <c r="AF30" i="5"/>
  <c r="AG30" i="5"/>
  <c r="AH30" i="5"/>
  <c r="AI30" i="5"/>
  <c r="AJ30" i="5"/>
  <c r="AK30" i="5"/>
  <c r="AL30" i="5"/>
  <c r="AM30" i="5"/>
  <c r="AN30" i="5"/>
  <c r="AO30" i="5"/>
  <c r="AP30" i="5"/>
  <c r="AQ30" i="5"/>
  <c r="AR30" i="5"/>
  <c r="AS30" i="5"/>
  <c r="AT30" i="5"/>
  <c r="AU30" i="5"/>
  <c r="AV30" i="5"/>
  <c r="AW30" i="5"/>
  <c r="AX30" i="5"/>
  <c r="AY30" i="5"/>
  <c r="AZ30" i="5"/>
  <c r="BA30" i="5"/>
  <c r="BB30" i="5"/>
  <c r="BC30" i="5"/>
  <c r="BD30" i="5"/>
  <c r="BE30" i="5"/>
  <c r="BF30" i="5"/>
  <c r="BG30" i="5"/>
  <c r="BH30" i="5"/>
  <c r="BI30" i="5"/>
  <c r="BJ30" i="5"/>
  <c r="BK30" i="5"/>
  <c r="BL30" i="5"/>
  <c r="BM30" i="5"/>
  <c r="BN30" i="5"/>
  <c r="BO30" i="5"/>
  <c r="BP30" i="5"/>
  <c r="BQ30" i="5"/>
  <c r="BR30" i="5"/>
  <c r="BS30" i="5"/>
  <c r="BT30" i="5"/>
  <c r="BU30" i="5"/>
  <c r="BV30" i="5"/>
  <c r="BW30" i="5"/>
  <c r="BX30" i="5"/>
  <c r="BY30" i="5"/>
  <c r="BZ30" i="5"/>
  <c r="J31" i="5"/>
  <c r="K31" i="5"/>
  <c r="L31" i="5"/>
  <c r="M31" i="5"/>
  <c r="N31" i="5"/>
  <c r="O31" i="5"/>
  <c r="P31" i="5"/>
  <c r="Q31" i="5"/>
  <c r="R31" i="5"/>
  <c r="S31" i="5"/>
  <c r="T31" i="5"/>
  <c r="U31" i="5"/>
  <c r="V31" i="5"/>
  <c r="W31" i="5"/>
  <c r="X31" i="5"/>
  <c r="Y31" i="5"/>
  <c r="Z31" i="5"/>
  <c r="AA31" i="5"/>
  <c r="AB31" i="5"/>
  <c r="AC31" i="5"/>
  <c r="AD31" i="5"/>
  <c r="AE31" i="5"/>
  <c r="AF31" i="5"/>
  <c r="AG31" i="5"/>
  <c r="AH31" i="5"/>
  <c r="AI31" i="5"/>
  <c r="AJ31" i="5"/>
  <c r="AK31" i="5"/>
  <c r="AL31" i="5"/>
  <c r="AM31" i="5"/>
  <c r="AN31" i="5"/>
  <c r="AO31" i="5"/>
  <c r="AP31" i="5"/>
  <c r="AQ31" i="5"/>
  <c r="AR31" i="5"/>
  <c r="AS31" i="5"/>
  <c r="AT31" i="5"/>
  <c r="AU31" i="5"/>
  <c r="AV31" i="5"/>
  <c r="AW31" i="5"/>
  <c r="AX31" i="5"/>
  <c r="AY31" i="5"/>
  <c r="AZ31" i="5"/>
  <c r="BA31" i="5"/>
  <c r="BB31" i="5"/>
  <c r="BC31" i="5"/>
  <c r="BD31" i="5"/>
  <c r="BE31" i="5"/>
  <c r="BF31" i="5"/>
  <c r="BG31" i="5"/>
  <c r="BH31" i="5"/>
  <c r="BI31" i="5"/>
  <c r="BJ31" i="5"/>
  <c r="BK31" i="5"/>
  <c r="BL31" i="5"/>
  <c r="BM31" i="5"/>
  <c r="BN31" i="5"/>
  <c r="BO31" i="5"/>
  <c r="BP31" i="5"/>
  <c r="BQ31" i="5"/>
  <c r="BR31" i="5"/>
  <c r="BS31" i="5"/>
  <c r="BT31" i="5"/>
  <c r="BU31" i="5"/>
  <c r="BV31" i="5"/>
  <c r="BW31" i="5"/>
  <c r="BX31" i="5"/>
  <c r="BY31" i="5"/>
  <c r="BZ31" i="5"/>
  <c r="J32" i="5"/>
  <c r="K32" i="5"/>
  <c r="L32" i="5"/>
  <c r="M32" i="5"/>
  <c r="N32" i="5"/>
  <c r="O32" i="5"/>
  <c r="P32" i="5"/>
  <c r="Q32" i="5"/>
  <c r="R32" i="5"/>
  <c r="S32" i="5"/>
  <c r="T32" i="5"/>
  <c r="U32" i="5"/>
  <c r="V32" i="5"/>
  <c r="W32" i="5"/>
  <c r="X32" i="5"/>
  <c r="Y32" i="5"/>
  <c r="Z32" i="5"/>
  <c r="AA32" i="5"/>
  <c r="AB32" i="5"/>
  <c r="AC32" i="5"/>
  <c r="AD32" i="5"/>
  <c r="AE32" i="5"/>
  <c r="AF32" i="5"/>
  <c r="AG32" i="5"/>
  <c r="AH32" i="5"/>
  <c r="AI32" i="5"/>
  <c r="AJ32" i="5"/>
  <c r="AK32" i="5"/>
  <c r="AL32" i="5"/>
  <c r="AM32" i="5"/>
  <c r="AN32" i="5"/>
  <c r="AO32" i="5"/>
  <c r="AP32" i="5"/>
  <c r="AQ32" i="5"/>
  <c r="AR32" i="5"/>
  <c r="AS32" i="5"/>
  <c r="AT32" i="5"/>
  <c r="AU32" i="5"/>
  <c r="AV32" i="5"/>
  <c r="AW32" i="5"/>
  <c r="AX32" i="5"/>
  <c r="AY32" i="5"/>
  <c r="AZ32" i="5"/>
  <c r="BA32" i="5"/>
  <c r="BB32" i="5"/>
  <c r="BC32" i="5"/>
  <c r="BD32" i="5"/>
  <c r="BE32" i="5"/>
  <c r="BF32" i="5"/>
  <c r="BG32" i="5"/>
  <c r="BH32" i="5"/>
  <c r="BI32" i="5"/>
  <c r="BJ32" i="5"/>
  <c r="BK32" i="5"/>
  <c r="BL32" i="5"/>
  <c r="BM32" i="5"/>
  <c r="BN32" i="5"/>
  <c r="BO32" i="5"/>
  <c r="BP32" i="5"/>
  <c r="BQ32" i="5"/>
  <c r="BR32" i="5"/>
  <c r="BS32" i="5"/>
  <c r="BT32" i="5"/>
  <c r="BU32" i="5"/>
  <c r="BV32" i="5"/>
  <c r="BW32" i="5"/>
  <c r="BX32" i="5"/>
  <c r="BY32" i="5"/>
  <c r="BZ32" i="5"/>
  <c r="J33" i="5"/>
  <c r="K33" i="5"/>
  <c r="L33" i="5"/>
  <c r="M33" i="5"/>
  <c r="N33" i="5"/>
  <c r="O33" i="5"/>
  <c r="P33" i="5"/>
  <c r="Q33" i="5"/>
  <c r="R33" i="5"/>
  <c r="S33" i="5"/>
  <c r="T33" i="5"/>
  <c r="U33" i="5"/>
  <c r="V33" i="5"/>
  <c r="W33" i="5"/>
  <c r="X33" i="5"/>
  <c r="Y33" i="5"/>
  <c r="Z33" i="5"/>
  <c r="AA33" i="5"/>
  <c r="AB33" i="5"/>
  <c r="AC33" i="5"/>
  <c r="AD33" i="5"/>
  <c r="AE33" i="5"/>
  <c r="AF33" i="5"/>
  <c r="AG33" i="5"/>
  <c r="AH33" i="5"/>
  <c r="AI33" i="5"/>
  <c r="AJ33" i="5"/>
  <c r="AK33" i="5"/>
  <c r="AL33" i="5"/>
  <c r="AM33" i="5"/>
  <c r="AN33" i="5"/>
  <c r="AO33" i="5"/>
  <c r="AP33" i="5"/>
  <c r="AQ33" i="5"/>
  <c r="AR33" i="5"/>
  <c r="AS33" i="5"/>
  <c r="AT33" i="5"/>
  <c r="AU33" i="5"/>
  <c r="AV33" i="5"/>
  <c r="AW33" i="5"/>
  <c r="AX33" i="5"/>
  <c r="AY33" i="5"/>
  <c r="AZ33" i="5"/>
  <c r="BA33" i="5"/>
  <c r="BB33" i="5"/>
  <c r="BC33" i="5"/>
  <c r="BD33" i="5"/>
  <c r="BE33" i="5"/>
  <c r="BF33" i="5"/>
  <c r="BG33" i="5"/>
  <c r="BH33" i="5"/>
  <c r="BI33" i="5"/>
  <c r="BJ33" i="5"/>
  <c r="BK33" i="5"/>
  <c r="BL33" i="5"/>
  <c r="BM33" i="5"/>
  <c r="BN33" i="5"/>
  <c r="BO33" i="5"/>
  <c r="BP33" i="5"/>
  <c r="BQ33" i="5"/>
  <c r="BR33" i="5"/>
  <c r="BS33" i="5"/>
  <c r="BT33" i="5"/>
  <c r="BU33" i="5"/>
  <c r="BV33" i="5"/>
  <c r="BW33" i="5"/>
  <c r="BX33" i="5"/>
  <c r="BY33" i="5"/>
  <c r="BZ33" i="5"/>
  <c r="J34" i="5"/>
  <c r="K34" i="5"/>
  <c r="L34" i="5"/>
  <c r="M34" i="5"/>
  <c r="N34" i="5"/>
  <c r="O34" i="5"/>
  <c r="P34" i="5"/>
  <c r="Q34" i="5"/>
  <c r="R34" i="5"/>
  <c r="S34" i="5"/>
  <c r="T34" i="5"/>
  <c r="U34" i="5"/>
  <c r="V34" i="5"/>
  <c r="W34" i="5"/>
  <c r="X34" i="5"/>
  <c r="Y34" i="5"/>
  <c r="Z34" i="5"/>
  <c r="AA34" i="5"/>
  <c r="AB34" i="5"/>
  <c r="AC34" i="5"/>
  <c r="AD34" i="5"/>
  <c r="AE34" i="5"/>
  <c r="AF34" i="5"/>
  <c r="AG34" i="5"/>
  <c r="AH34" i="5"/>
  <c r="AI34" i="5"/>
  <c r="AJ34" i="5"/>
  <c r="AK34" i="5"/>
  <c r="AL34" i="5"/>
  <c r="AM34" i="5"/>
  <c r="AN34" i="5"/>
  <c r="AO34" i="5"/>
  <c r="AP34" i="5"/>
  <c r="AQ34" i="5"/>
  <c r="AR34" i="5"/>
  <c r="AS34" i="5"/>
  <c r="AT34" i="5"/>
  <c r="AU34" i="5"/>
  <c r="AV34" i="5"/>
  <c r="AW34" i="5"/>
  <c r="AX34" i="5"/>
  <c r="AY34" i="5"/>
  <c r="AZ34" i="5"/>
  <c r="BA34" i="5"/>
  <c r="BB34" i="5"/>
  <c r="BC34" i="5"/>
  <c r="BD34" i="5"/>
  <c r="BE34" i="5"/>
  <c r="BF34" i="5"/>
  <c r="BG34" i="5"/>
  <c r="BH34" i="5"/>
  <c r="BI34" i="5"/>
  <c r="BJ34" i="5"/>
  <c r="BK34" i="5"/>
  <c r="BL34" i="5"/>
  <c r="BM34" i="5"/>
  <c r="BN34" i="5"/>
  <c r="BO34" i="5"/>
  <c r="BP34" i="5"/>
  <c r="BQ34" i="5"/>
  <c r="BR34" i="5"/>
  <c r="BS34" i="5"/>
  <c r="BT34" i="5"/>
  <c r="BU34" i="5"/>
  <c r="BV34" i="5"/>
  <c r="BW34" i="5"/>
  <c r="BX34" i="5"/>
  <c r="BY34" i="5"/>
  <c r="BZ34" i="5"/>
  <c r="J35" i="5"/>
  <c r="K35" i="5"/>
  <c r="L35" i="5"/>
  <c r="M35" i="5"/>
  <c r="N35" i="5"/>
  <c r="O35" i="5"/>
  <c r="P35" i="5"/>
  <c r="Q35" i="5"/>
  <c r="R35" i="5"/>
  <c r="S35" i="5"/>
  <c r="T35" i="5"/>
  <c r="U35" i="5"/>
  <c r="V35" i="5"/>
  <c r="W35" i="5"/>
  <c r="X35" i="5"/>
  <c r="Y35" i="5"/>
  <c r="Z35" i="5"/>
  <c r="AA35" i="5"/>
  <c r="AB35" i="5"/>
  <c r="AC35" i="5"/>
  <c r="AD35" i="5"/>
  <c r="AE35" i="5"/>
  <c r="AF35" i="5"/>
  <c r="AG35" i="5"/>
  <c r="AH35" i="5"/>
  <c r="AI35" i="5"/>
  <c r="AJ35" i="5"/>
  <c r="AK35" i="5"/>
  <c r="AL35" i="5"/>
  <c r="AM35" i="5"/>
  <c r="AN35" i="5"/>
  <c r="AO35" i="5"/>
  <c r="AP35" i="5"/>
  <c r="AQ35" i="5"/>
  <c r="AR35" i="5"/>
  <c r="AS35" i="5"/>
  <c r="AT35" i="5"/>
  <c r="AU35" i="5"/>
  <c r="AV35" i="5"/>
  <c r="AW35" i="5"/>
  <c r="AX35" i="5"/>
  <c r="AY35" i="5"/>
  <c r="AZ35" i="5"/>
  <c r="BA35" i="5"/>
  <c r="BB35" i="5"/>
  <c r="BC35" i="5"/>
  <c r="BD35" i="5"/>
  <c r="BE35" i="5"/>
  <c r="BF35" i="5"/>
  <c r="BG35" i="5"/>
  <c r="BH35" i="5"/>
  <c r="BI35" i="5"/>
  <c r="BJ35" i="5"/>
  <c r="BK35" i="5"/>
  <c r="BL35" i="5"/>
  <c r="BM35" i="5"/>
  <c r="BN35" i="5"/>
  <c r="BO35" i="5"/>
  <c r="BP35" i="5"/>
  <c r="BQ35" i="5"/>
  <c r="BR35" i="5"/>
  <c r="BS35" i="5"/>
  <c r="BT35" i="5"/>
  <c r="BU35" i="5"/>
  <c r="BV35" i="5"/>
  <c r="BW35" i="5"/>
  <c r="BX35" i="5"/>
  <c r="BY35" i="5"/>
  <c r="BZ35" i="5"/>
  <c r="J36" i="5"/>
  <c r="K36" i="5"/>
  <c r="L36" i="5"/>
  <c r="M36" i="5"/>
  <c r="N36" i="5"/>
  <c r="O36" i="5"/>
  <c r="P36" i="5"/>
  <c r="Q36" i="5"/>
  <c r="R36" i="5"/>
  <c r="S36" i="5"/>
  <c r="T36" i="5"/>
  <c r="U36" i="5"/>
  <c r="V36" i="5"/>
  <c r="W36" i="5"/>
  <c r="X36" i="5"/>
  <c r="Y36" i="5"/>
  <c r="Z36" i="5"/>
  <c r="AA36" i="5"/>
  <c r="AB36" i="5"/>
  <c r="AC36" i="5"/>
  <c r="AD36" i="5"/>
  <c r="AE36" i="5"/>
  <c r="AF36" i="5"/>
  <c r="AG36" i="5"/>
  <c r="AH36" i="5"/>
  <c r="AI36" i="5"/>
  <c r="AJ36" i="5"/>
  <c r="AK36" i="5"/>
  <c r="AL36" i="5"/>
  <c r="AM36" i="5"/>
  <c r="AN36" i="5"/>
  <c r="AO36" i="5"/>
  <c r="AP36" i="5"/>
  <c r="AQ36" i="5"/>
  <c r="AR36" i="5"/>
  <c r="AS36" i="5"/>
  <c r="AT36" i="5"/>
  <c r="AU36" i="5"/>
  <c r="AV36" i="5"/>
  <c r="AW36" i="5"/>
  <c r="AX36" i="5"/>
  <c r="AY36" i="5"/>
  <c r="AZ36" i="5"/>
  <c r="BA36" i="5"/>
  <c r="BB36" i="5"/>
  <c r="BC36" i="5"/>
  <c r="BD36" i="5"/>
  <c r="BE36" i="5"/>
  <c r="BF36" i="5"/>
  <c r="BG36" i="5"/>
  <c r="BH36" i="5"/>
  <c r="BI36" i="5"/>
  <c r="BJ36" i="5"/>
  <c r="BK36" i="5"/>
  <c r="BL36" i="5"/>
  <c r="BM36" i="5"/>
  <c r="BN36" i="5"/>
  <c r="BO36" i="5"/>
  <c r="BP36" i="5"/>
  <c r="BQ36" i="5"/>
  <c r="BR36" i="5"/>
  <c r="BS36" i="5"/>
  <c r="BT36" i="5"/>
  <c r="BU36" i="5"/>
  <c r="BV36" i="5"/>
  <c r="BW36" i="5"/>
  <c r="BX36" i="5"/>
  <c r="BY36" i="5"/>
  <c r="BZ36" i="5"/>
  <c r="J37" i="5"/>
  <c r="K37" i="5"/>
  <c r="L37" i="5"/>
  <c r="M37" i="5"/>
  <c r="N37" i="5"/>
  <c r="O37" i="5"/>
  <c r="P37" i="5"/>
  <c r="Q37" i="5"/>
  <c r="R37" i="5"/>
  <c r="S37" i="5"/>
  <c r="T37" i="5"/>
  <c r="U37" i="5"/>
  <c r="V37" i="5"/>
  <c r="W37" i="5"/>
  <c r="X37" i="5"/>
  <c r="Y37" i="5"/>
  <c r="Z37" i="5"/>
  <c r="AA37" i="5"/>
  <c r="AB37" i="5"/>
  <c r="AC37" i="5"/>
  <c r="AD37" i="5"/>
  <c r="AE37" i="5"/>
  <c r="AF37" i="5"/>
  <c r="AG37" i="5"/>
  <c r="AH37" i="5"/>
  <c r="AI37" i="5"/>
  <c r="AJ37" i="5"/>
  <c r="AK37" i="5"/>
  <c r="AL37" i="5"/>
  <c r="AM37" i="5"/>
  <c r="AN37" i="5"/>
  <c r="AO37" i="5"/>
  <c r="AP37" i="5"/>
  <c r="AQ37" i="5"/>
  <c r="AR37" i="5"/>
  <c r="AS37" i="5"/>
  <c r="AT37" i="5"/>
  <c r="AU37" i="5"/>
  <c r="AV37" i="5"/>
  <c r="AW37" i="5"/>
  <c r="AX37" i="5"/>
  <c r="AY37" i="5"/>
  <c r="AZ37" i="5"/>
  <c r="BA37" i="5"/>
  <c r="BB37" i="5"/>
  <c r="BC37" i="5"/>
  <c r="BD37" i="5"/>
  <c r="BE37" i="5"/>
  <c r="BF37" i="5"/>
  <c r="BG37" i="5"/>
  <c r="BH37" i="5"/>
  <c r="BI37" i="5"/>
  <c r="BJ37" i="5"/>
  <c r="BK37" i="5"/>
  <c r="BL37" i="5"/>
  <c r="BM37" i="5"/>
  <c r="BN37" i="5"/>
  <c r="BO37" i="5"/>
  <c r="BP37" i="5"/>
  <c r="BQ37" i="5"/>
  <c r="BR37" i="5"/>
  <c r="BS37" i="5"/>
  <c r="BT37" i="5"/>
  <c r="BU37" i="5"/>
  <c r="BV37" i="5"/>
  <c r="BW37" i="5"/>
  <c r="BX37" i="5"/>
  <c r="BY37" i="5"/>
  <c r="BZ37" i="5"/>
  <c r="J38" i="5"/>
  <c r="K38" i="5"/>
  <c r="L38" i="5"/>
  <c r="M38" i="5"/>
  <c r="N38" i="5"/>
  <c r="O38" i="5"/>
  <c r="P38" i="5"/>
  <c r="Q38" i="5"/>
  <c r="R38" i="5"/>
  <c r="S38" i="5"/>
  <c r="T38" i="5"/>
  <c r="U38" i="5"/>
  <c r="V38" i="5"/>
  <c r="W38" i="5"/>
  <c r="X38" i="5"/>
  <c r="Y38" i="5"/>
  <c r="Z38" i="5"/>
  <c r="AA38" i="5"/>
  <c r="AB38" i="5"/>
  <c r="AC38" i="5"/>
  <c r="AD38" i="5"/>
  <c r="AE38" i="5"/>
  <c r="AF38" i="5"/>
  <c r="AG38" i="5"/>
  <c r="AH38" i="5"/>
  <c r="AI38" i="5"/>
  <c r="AJ38" i="5"/>
  <c r="AK38" i="5"/>
  <c r="AL38" i="5"/>
  <c r="AM38" i="5"/>
  <c r="AN38" i="5"/>
  <c r="AO38" i="5"/>
  <c r="AP38" i="5"/>
  <c r="AQ38" i="5"/>
  <c r="AR38" i="5"/>
  <c r="AS38" i="5"/>
  <c r="AT38" i="5"/>
  <c r="AU38" i="5"/>
  <c r="AV38" i="5"/>
  <c r="AW38" i="5"/>
  <c r="AX38" i="5"/>
  <c r="AY38" i="5"/>
  <c r="AZ38" i="5"/>
  <c r="BA38" i="5"/>
  <c r="BB38" i="5"/>
  <c r="BC38" i="5"/>
  <c r="BD38" i="5"/>
  <c r="BE38" i="5"/>
  <c r="BF38" i="5"/>
  <c r="BG38" i="5"/>
  <c r="BH38" i="5"/>
  <c r="BI38" i="5"/>
  <c r="BJ38" i="5"/>
  <c r="BK38" i="5"/>
  <c r="BL38" i="5"/>
  <c r="BM38" i="5"/>
  <c r="BN38" i="5"/>
  <c r="BO38" i="5"/>
  <c r="BP38" i="5"/>
  <c r="BQ38" i="5"/>
  <c r="BR38" i="5"/>
  <c r="BS38" i="5"/>
  <c r="BT38" i="5"/>
  <c r="BU38" i="5"/>
  <c r="BV38" i="5"/>
  <c r="BW38" i="5"/>
  <c r="BX38" i="5"/>
  <c r="BY38" i="5"/>
  <c r="BZ38" i="5"/>
  <c r="J39" i="5"/>
  <c r="K39" i="5"/>
  <c r="L39" i="5"/>
  <c r="M39" i="5"/>
  <c r="N39" i="5"/>
  <c r="O39" i="5"/>
  <c r="P39" i="5"/>
  <c r="Q39" i="5"/>
  <c r="R39" i="5"/>
  <c r="S39" i="5"/>
  <c r="T39" i="5"/>
  <c r="U39" i="5"/>
  <c r="V39" i="5"/>
  <c r="W39" i="5"/>
  <c r="X39" i="5"/>
  <c r="Y39" i="5"/>
  <c r="Z39" i="5"/>
  <c r="AA39" i="5"/>
  <c r="AB39" i="5"/>
  <c r="AC39" i="5"/>
  <c r="AD39" i="5"/>
  <c r="AE39" i="5"/>
  <c r="AF39" i="5"/>
  <c r="AG39" i="5"/>
  <c r="AH39" i="5"/>
  <c r="AI39" i="5"/>
  <c r="AJ39" i="5"/>
  <c r="AK39" i="5"/>
  <c r="AL39" i="5"/>
  <c r="AM39" i="5"/>
  <c r="AN39" i="5"/>
  <c r="AO39" i="5"/>
  <c r="AP39" i="5"/>
  <c r="AQ39" i="5"/>
  <c r="AR39" i="5"/>
  <c r="AS39" i="5"/>
  <c r="AT39" i="5"/>
  <c r="AU39" i="5"/>
  <c r="AV39" i="5"/>
  <c r="AW39" i="5"/>
  <c r="AX39" i="5"/>
  <c r="AY39" i="5"/>
  <c r="AZ39" i="5"/>
  <c r="BA39" i="5"/>
  <c r="BB39" i="5"/>
  <c r="BC39" i="5"/>
  <c r="BD39" i="5"/>
  <c r="BE39" i="5"/>
  <c r="BF39" i="5"/>
  <c r="BG39" i="5"/>
  <c r="BH39" i="5"/>
  <c r="BI39" i="5"/>
  <c r="BJ39" i="5"/>
  <c r="BK39" i="5"/>
  <c r="BL39" i="5"/>
  <c r="BM39" i="5"/>
  <c r="BN39" i="5"/>
  <c r="BO39" i="5"/>
  <c r="BP39" i="5"/>
  <c r="BQ39" i="5"/>
  <c r="BR39" i="5"/>
  <c r="BS39" i="5"/>
  <c r="BT39" i="5"/>
  <c r="BU39" i="5"/>
  <c r="BV39" i="5"/>
  <c r="BW39" i="5"/>
  <c r="BX39" i="5"/>
  <c r="BY39" i="5"/>
  <c r="BZ39" i="5"/>
  <c r="J40" i="5"/>
  <c r="K40" i="5"/>
  <c r="L40" i="5"/>
  <c r="M40" i="5"/>
  <c r="N40" i="5"/>
  <c r="O40" i="5"/>
  <c r="P40" i="5"/>
  <c r="Q40" i="5"/>
  <c r="R40" i="5"/>
  <c r="S40" i="5"/>
  <c r="T40" i="5"/>
  <c r="U40" i="5"/>
  <c r="V40" i="5"/>
  <c r="W40" i="5"/>
  <c r="X40" i="5"/>
  <c r="Y40" i="5"/>
  <c r="Z40" i="5"/>
  <c r="AA40" i="5"/>
  <c r="AB40" i="5"/>
  <c r="AC40" i="5"/>
  <c r="AD40" i="5"/>
  <c r="AE40" i="5"/>
  <c r="AF40" i="5"/>
  <c r="AG40" i="5"/>
  <c r="AH40" i="5"/>
  <c r="AI40" i="5"/>
  <c r="AJ40" i="5"/>
  <c r="AK40" i="5"/>
  <c r="AL40" i="5"/>
  <c r="AM40" i="5"/>
  <c r="AN40" i="5"/>
  <c r="AO40" i="5"/>
  <c r="AP40" i="5"/>
  <c r="AQ40" i="5"/>
  <c r="AR40" i="5"/>
  <c r="AS40" i="5"/>
  <c r="AT40" i="5"/>
  <c r="AU40" i="5"/>
  <c r="AV40" i="5"/>
  <c r="AW40" i="5"/>
  <c r="AX40" i="5"/>
  <c r="AY40" i="5"/>
  <c r="AZ40" i="5"/>
  <c r="BA40" i="5"/>
  <c r="BB40" i="5"/>
  <c r="BC40" i="5"/>
  <c r="BD40" i="5"/>
  <c r="BE40" i="5"/>
  <c r="BF40" i="5"/>
  <c r="BG40" i="5"/>
  <c r="BH40" i="5"/>
  <c r="BI40" i="5"/>
  <c r="BJ40" i="5"/>
  <c r="BK40" i="5"/>
  <c r="BL40" i="5"/>
  <c r="BM40" i="5"/>
  <c r="BN40" i="5"/>
  <c r="BO40" i="5"/>
  <c r="BP40" i="5"/>
  <c r="BQ40" i="5"/>
  <c r="BR40" i="5"/>
  <c r="BS40" i="5"/>
  <c r="BT40" i="5"/>
  <c r="BU40" i="5"/>
  <c r="BV40" i="5"/>
  <c r="BW40" i="5"/>
  <c r="BX40" i="5"/>
  <c r="BY40" i="5"/>
  <c r="BZ40" i="5"/>
  <c r="J41" i="5"/>
  <c r="K41" i="5"/>
  <c r="L41" i="5"/>
  <c r="M41" i="5"/>
  <c r="N41" i="5"/>
  <c r="O41" i="5"/>
  <c r="P41" i="5"/>
  <c r="Q41" i="5"/>
  <c r="R41" i="5"/>
  <c r="S41" i="5"/>
  <c r="T41" i="5"/>
  <c r="U41" i="5"/>
  <c r="V41" i="5"/>
  <c r="W41" i="5"/>
  <c r="X41" i="5"/>
  <c r="Y41" i="5"/>
  <c r="Z41" i="5"/>
  <c r="AA41" i="5"/>
  <c r="AB41" i="5"/>
  <c r="AC41" i="5"/>
  <c r="AD41" i="5"/>
  <c r="AE41" i="5"/>
  <c r="AF41" i="5"/>
  <c r="AG41" i="5"/>
  <c r="AH41" i="5"/>
  <c r="AI41" i="5"/>
  <c r="AJ41" i="5"/>
  <c r="AK41" i="5"/>
  <c r="AL41" i="5"/>
  <c r="AM41" i="5"/>
  <c r="AN41" i="5"/>
  <c r="AO41" i="5"/>
  <c r="AP41" i="5"/>
  <c r="AQ41" i="5"/>
  <c r="AR41" i="5"/>
  <c r="AS41" i="5"/>
  <c r="AT41" i="5"/>
  <c r="AU41" i="5"/>
  <c r="AV41" i="5"/>
  <c r="AW41" i="5"/>
  <c r="AX41" i="5"/>
  <c r="AY41" i="5"/>
  <c r="AZ41" i="5"/>
  <c r="BA41" i="5"/>
  <c r="BB41" i="5"/>
  <c r="BC41" i="5"/>
  <c r="BD41" i="5"/>
  <c r="BE41" i="5"/>
  <c r="BF41" i="5"/>
  <c r="BG41" i="5"/>
  <c r="BH41" i="5"/>
  <c r="BI41" i="5"/>
  <c r="BJ41" i="5"/>
  <c r="BK41" i="5"/>
  <c r="BL41" i="5"/>
  <c r="BM41" i="5"/>
  <c r="BN41" i="5"/>
  <c r="BO41" i="5"/>
  <c r="BP41" i="5"/>
  <c r="BQ41" i="5"/>
  <c r="BR41" i="5"/>
  <c r="BS41" i="5"/>
  <c r="BT41" i="5"/>
  <c r="BU41" i="5"/>
  <c r="BV41" i="5"/>
  <c r="BW41" i="5"/>
  <c r="BX41" i="5"/>
  <c r="BY41" i="5"/>
  <c r="BZ41" i="5"/>
  <c r="J42" i="5"/>
  <c r="K42" i="5"/>
  <c r="L42" i="5"/>
  <c r="M42" i="5"/>
  <c r="N42" i="5"/>
  <c r="O42" i="5"/>
  <c r="P42" i="5"/>
  <c r="Q42" i="5"/>
  <c r="R42" i="5"/>
  <c r="S42" i="5"/>
  <c r="T42" i="5"/>
  <c r="U42" i="5"/>
  <c r="V42" i="5"/>
  <c r="W42" i="5"/>
  <c r="X42" i="5"/>
  <c r="Y42" i="5"/>
  <c r="Z42" i="5"/>
  <c r="AA42" i="5"/>
  <c r="AB42" i="5"/>
  <c r="AC42" i="5"/>
  <c r="AD42" i="5"/>
  <c r="AE42" i="5"/>
  <c r="AF42" i="5"/>
  <c r="AG42" i="5"/>
  <c r="AH42" i="5"/>
  <c r="AI42" i="5"/>
  <c r="AJ42" i="5"/>
  <c r="AK42" i="5"/>
  <c r="AL42" i="5"/>
  <c r="AM42" i="5"/>
  <c r="AN42" i="5"/>
  <c r="AO42" i="5"/>
  <c r="AP42" i="5"/>
  <c r="AQ42" i="5"/>
  <c r="AR42" i="5"/>
  <c r="AS42" i="5"/>
  <c r="AT42" i="5"/>
  <c r="AU42" i="5"/>
  <c r="AV42" i="5"/>
  <c r="AW42" i="5"/>
  <c r="AX42" i="5"/>
  <c r="AY42" i="5"/>
  <c r="AZ42" i="5"/>
  <c r="BA42" i="5"/>
  <c r="BB42" i="5"/>
  <c r="BC42" i="5"/>
  <c r="BD42" i="5"/>
  <c r="BE42" i="5"/>
  <c r="BF42" i="5"/>
  <c r="BG42" i="5"/>
  <c r="BH42" i="5"/>
  <c r="BI42" i="5"/>
  <c r="BJ42" i="5"/>
  <c r="BK42" i="5"/>
  <c r="BL42" i="5"/>
  <c r="BM42" i="5"/>
  <c r="BN42" i="5"/>
  <c r="BO42" i="5"/>
  <c r="BP42" i="5"/>
  <c r="BQ42" i="5"/>
  <c r="BR42" i="5"/>
  <c r="BS42" i="5"/>
  <c r="BT42" i="5"/>
  <c r="BU42" i="5"/>
  <c r="BV42" i="5"/>
  <c r="BW42" i="5"/>
  <c r="BX42" i="5"/>
  <c r="BY42" i="5"/>
  <c r="BZ42" i="5"/>
  <c r="J43" i="5"/>
  <c r="K43" i="5"/>
  <c r="L43" i="5"/>
  <c r="M43" i="5"/>
  <c r="N43" i="5"/>
  <c r="O43" i="5"/>
  <c r="P43" i="5"/>
  <c r="Q43" i="5"/>
  <c r="R43" i="5"/>
  <c r="S43" i="5"/>
  <c r="T43" i="5"/>
  <c r="U43" i="5"/>
  <c r="V43" i="5"/>
  <c r="W43" i="5"/>
  <c r="X43" i="5"/>
  <c r="Y43" i="5"/>
  <c r="Z43" i="5"/>
  <c r="AA43" i="5"/>
  <c r="AB43" i="5"/>
  <c r="AC43" i="5"/>
  <c r="AD43" i="5"/>
  <c r="AE43" i="5"/>
  <c r="AF43" i="5"/>
  <c r="AG43" i="5"/>
  <c r="AH43" i="5"/>
  <c r="AI43" i="5"/>
  <c r="AJ43" i="5"/>
  <c r="AK43" i="5"/>
  <c r="AL43" i="5"/>
  <c r="AM43" i="5"/>
  <c r="AN43" i="5"/>
  <c r="AO43" i="5"/>
  <c r="AP43" i="5"/>
  <c r="AQ43" i="5"/>
  <c r="AR43" i="5"/>
  <c r="AS43" i="5"/>
  <c r="AT43" i="5"/>
  <c r="AU43" i="5"/>
  <c r="AV43" i="5"/>
  <c r="AW43" i="5"/>
  <c r="AX43" i="5"/>
  <c r="AY43" i="5"/>
  <c r="AZ43" i="5"/>
  <c r="BA43" i="5"/>
  <c r="BB43" i="5"/>
  <c r="BC43" i="5"/>
  <c r="BD43" i="5"/>
  <c r="BE43" i="5"/>
  <c r="BF43" i="5"/>
  <c r="BG43" i="5"/>
  <c r="BH43" i="5"/>
  <c r="BI43" i="5"/>
  <c r="BJ43" i="5"/>
  <c r="BK43" i="5"/>
  <c r="BL43" i="5"/>
  <c r="BM43" i="5"/>
  <c r="BN43" i="5"/>
  <c r="BO43" i="5"/>
  <c r="BP43" i="5"/>
  <c r="BQ43" i="5"/>
  <c r="BR43" i="5"/>
  <c r="BS43" i="5"/>
  <c r="BT43" i="5"/>
  <c r="BU43" i="5"/>
  <c r="BV43" i="5"/>
  <c r="BW43" i="5"/>
  <c r="BX43" i="5"/>
  <c r="BY43" i="5"/>
  <c r="BZ43" i="5"/>
  <c r="J44" i="5"/>
  <c r="K44" i="5"/>
  <c r="L44" i="5"/>
  <c r="M44" i="5"/>
  <c r="N44" i="5"/>
  <c r="O44" i="5"/>
  <c r="P44" i="5"/>
  <c r="Q44" i="5"/>
  <c r="R44" i="5"/>
  <c r="S44" i="5"/>
  <c r="T44" i="5"/>
  <c r="U44" i="5"/>
  <c r="V44" i="5"/>
  <c r="W44" i="5"/>
  <c r="X44" i="5"/>
  <c r="Y44" i="5"/>
  <c r="Z44" i="5"/>
  <c r="AA44" i="5"/>
  <c r="AB44" i="5"/>
  <c r="AC44" i="5"/>
  <c r="AD44" i="5"/>
  <c r="AE44" i="5"/>
  <c r="AF44" i="5"/>
  <c r="AG44" i="5"/>
  <c r="AH44" i="5"/>
  <c r="AI44" i="5"/>
  <c r="AJ44" i="5"/>
  <c r="AK44" i="5"/>
  <c r="AL44" i="5"/>
  <c r="AM44" i="5"/>
  <c r="AN44" i="5"/>
  <c r="AO44" i="5"/>
  <c r="AP44" i="5"/>
  <c r="AQ44" i="5"/>
  <c r="AR44" i="5"/>
  <c r="AS44" i="5"/>
  <c r="AT44" i="5"/>
  <c r="AU44" i="5"/>
  <c r="AV44" i="5"/>
  <c r="AW44" i="5"/>
  <c r="AX44" i="5"/>
  <c r="AY44" i="5"/>
  <c r="AZ44" i="5"/>
  <c r="BA44" i="5"/>
  <c r="BB44" i="5"/>
  <c r="BC44" i="5"/>
  <c r="BD44" i="5"/>
  <c r="BE44" i="5"/>
  <c r="BF44" i="5"/>
  <c r="BG44" i="5"/>
  <c r="BH44" i="5"/>
  <c r="BI44" i="5"/>
  <c r="BJ44" i="5"/>
  <c r="BK44" i="5"/>
  <c r="BL44" i="5"/>
  <c r="BM44" i="5"/>
  <c r="BN44" i="5"/>
  <c r="BO44" i="5"/>
  <c r="BP44" i="5"/>
  <c r="BQ44" i="5"/>
  <c r="BR44" i="5"/>
  <c r="BS44" i="5"/>
  <c r="BT44" i="5"/>
  <c r="BU44" i="5"/>
  <c r="BV44" i="5"/>
  <c r="BW44" i="5"/>
  <c r="BX44" i="5"/>
  <c r="BY44" i="5"/>
  <c r="BZ44" i="5"/>
  <c r="J45" i="5"/>
  <c r="K45" i="5"/>
  <c r="L45" i="5"/>
  <c r="M45" i="5"/>
  <c r="N45" i="5"/>
  <c r="O45" i="5"/>
  <c r="P45" i="5"/>
  <c r="Q45" i="5"/>
  <c r="R45" i="5"/>
  <c r="S45" i="5"/>
  <c r="T45" i="5"/>
  <c r="U45" i="5"/>
  <c r="V45" i="5"/>
  <c r="W45" i="5"/>
  <c r="X45" i="5"/>
  <c r="Y45" i="5"/>
  <c r="Z45" i="5"/>
  <c r="AA45" i="5"/>
  <c r="AB45" i="5"/>
  <c r="AC45" i="5"/>
  <c r="AD45" i="5"/>
  <c r="AE45" i="5"/>
  <c r="AF45" i="5"/>
  <c r="AG45" i="5"/>
  <c r="AH45" i="5"/>
  <c r="AI45" i="5"/>
  <c r="AJ45" i="5"/>
  <c r="AK45" i="5"/>
  <c r="AL45" i="5"/>
  <c r="AM45" i="5"/>
  <c r="AN45" i="5"/>
  <c r="AO45" i="5"/>
  <c r="AP45" i="5"/>
  <c r="AQ45" i="5"/>
  <c r="AR45" i="5"/>
  <c r="AS45" i="5"/>
  <c r="AT45" i="5"/>
  <c r="AU45" i="5"/>
  <c r="AV45" i="5"/>
  <c r="AW45" i="5"/>
  <c r="AX45" i="5"/>
  <c r="AY45" i="5"/>
  <c r="AZ45" i="5"/>
  <c r="BA45" i="5"/>
  <c r="BB45" i="5"/>
  <c r="BC45" i="5"/>
  <c r="BD45" i="5"/>
  <c r="BE45" i="5"/>
  <c r="BF45" i="5"/>
  <c r="BG45" i="5"/>
  <c r="BH45" i="5"/>
  <c r="BI45" i="5"/>
  <c r="BJ45" i="5"/>
  <c r="BK45" i="5"/>
  <c r="BL45" i="5"/>
  <c r="BM45" i="5"/>
  <c r="BN45" i="5"/>
  <c r="BO45" i="5"/>
  <c r="BP45" i="5"/>
  <c r="BQ45" i="5"/>
  <c r="BR45" i="5"/>
  <c r="BS45" i="5"/>
  <c r="BT45" i="5"/>
  <c r="BU45" i="5"/>
  <c r="BV45" i="5"/>
  <c r="BW45" i="5"/>
  <c r="BX45" i="5"/>
  <c r="BY45" i="5"/>
  <c r="BZ45" i="5"/>
  <c r="J46" i="5"/>
  <c r="K46" i="5"/>
  <c r="L46" i="5"/>
  <c r="M46" i="5"/>
  <c r="N46" i="5"/>
  <c r="O46" i="5"/>
  <c r="P46" i="5"/>
  <c r="Q46" i="5"/>
  <c r="R46" i="5"/>
  <c r="S46" i="5"/>
  <c r="T46" i="5"/>
  <c r="U46" i="5"/>
  <c r="V46" i="5"/>
  <c r="W46" i="5"/>
  <c r="X46" i="5"/>
  <c r="Y46" i="5"/>
  <c r="Z46" i="5"/>
  <c r="AA46" i="5"/>
  <c r="AB46" i="5"/>
  <c r="AC46" i="5"/>
  <c r="AD46" i="5"/>
  <c r="AE46" i="5"/>
  <c r="AF46" i="5"/>
  <c r="AG46" i="5"/>
  <c r="AH46" i="5"/>
  <c r="AI46" i="5"/>
  <c r="AJ46" i="5"/>
  <c r="AK46" i="5"/>
  <c r="AL46" i="5"/>
  <c r="AM46" i="5"/>
  <c r="AN46" i="5"/>
  <c r="AO46" i="5"/>
  <c r="AP46" i="5"/>
  <c r="AQ46" i="5"/>
  <c r="AR46" i="5"/>
  <c r="AS46" i="5"/>
  <c r="AT46" i="5"/>
  <c r="AU46" i="5"/>
  <c r="AV46" i="5"/>
  <c r="AW46" i="5"/>
  <c r="AX46" i="5"/>
  <c r="AY46" i="5"/>
  <c r="AZ46" i="5"/>
  <c r="BA46" i="5"/>
  <c r="BB46" i="5"/>
  <c r="BC46" i="5"/>
  <c r="BD46" i="5"/>
  <c r="BE46" i="5"/>
  <c r="BF46" i="5"/>
  <c r="BG46" i="5"/>
  <c r="BH46" i="5"/>
  <c r="BI46" i="5"/>
  <c r="BJ46" i="5"/>
  <c r="BK46" i="5"/>
  <c r="BL46" i="5"/>
  <c r="BM46" i="5"/>
  <c r="BN46" i="5"/>
  <c r="BO46" i="5"/>
  <c r="BP46" i="5"/>
  <c r="BQ46" i="5"/>
  <c r="BR46" i="5"/>
  <c r="BS46" i="5"/>
  <c r="BT46" i="5"/>
  <c r="BU46" i="5"/>
  <c r="BV46" i="5"/>
  <c r="BW46" i="5"/>
  <c r="BX46" i="5"/>
  <c r="BY46" i="5"/>
  <c r="BZ46" i="5"/>
  <c r="J47" i="5"/>
  <c r="K47" i="5"/>
  <c r="L47" i="5"/>
  <c r="M47" i="5"/>
  <c r="N47" i="5"/>
  <c r="O47" i="5"/>
  <c r="P47" i="5"/>
  <c r="Q47" i="5"/>
  <c r="R47" i="5"/>
  <c r="S47" i="5"/>
  <c r="T47" i="5"/>
  <c r="U47" i="5"/>
  <c r="V47" i="5"/>
  <c r="W47" i="5"/>
  <c r="X47" i="5"/>
  <c r="Y47" i="5"/>
  <c r="Z47" i="5"/>
  <c r="AA47" i="5"/>
  <c r="AB47" i="5"/>
  <c r="AC47" i="5"/>
  <c r="AD47" i="5"/>
  <c r="AE47" i="5"/>
  <c r="AF47" i="5"/>
  <c r="AG47" i="5"/>
  <c r="AH47" i="5"/>
  <c r="AI47" i="5"/>
  <c r="AJ47" i="5"/>
  <c r="AK47" i="5"/>
  <c r="AL47" i="5"/>
  <c r="AM47" i="5"/>
  <c r="AN47" i="5"/>
  <c r="AO47" i="5"/>
  <c r="AP47" i="5"/>
  <c r="AQ47" i="5"/>
  <c r="AR47" i="5"/>
  <c r="AS47" i="5"/>
  <c r="AT47" i="5"/>
  <c r="AU47" i="5"/>
  <c r="AV47" i="5"/>
  <c r="AW47" i="5"/>
  <c r="AX47" i="5"/>
  <c r="AY47" i="5"/>
  <c r="AZ47" i="5"/>
  <c r="BA47" i="5"/>
  <c r="BB47" i="5"/>
  <c r="BC47" i="5"/>
  <c r="BD47" i="5"/>
  <c r="BE47" i="5"/>
  <c r="BF47" i="5"/>
  <c r="BG47" i="5"/>
  <c r="BH47" i="5"/>
  <c r="BI47" i="5"/>
  <c r="BJ47" i="5"/>
  <c r="BK47" i="5"/>
  <c r="BL47" i="5"/>
  <c r="BM47" i="5"/>
  <c r="BN47" i="5"/>
  <c r="BO47" i="5"/>
  <c r="BP47" i="5"/>
  <c r="BQ47" i="5"/>
  <c r="BR47" i="5"/>
  <c r="BS47" i="5"/>
  <c r="BT47" i="5"/>
  <c r="BU47" i="5"/>
  <c r="BV47" i="5"/>
  <c r="BW47" i="5"/>
  <c r="BX47" i="5"/>
  <c r="BY47" i="5"/>
  <c r="BZ47" i="5"/>
  <c r="J48" i="5"/>
  <c r="K48" i="5"/>
  <c r="L48" i="5"/>
  <c r="M48" i="5"/>
  <c r="N48" i="5"/>
  <c r="O48" i="5"/>
  <c r="P48" i="5"/>
  <c r="Q48" i="5"/>
  <c r="R48" i="5"/>
  <c r="S48" i="5"/>
  <c r="T48" i="5"/>
  <c r="U48" i="5"/>
  <c r="V48" i="5"/>
  <c r="W48" i="5"/>
  <c r="X48" i="5"/>
  <c r="Y48" i="5"/>
  <c r="Z48" i="5"/>
  <c r="AA48" i="5"/>
  <c r="AB48" i="5"/>
  <c r="AC48" i="5"/>
  <c r="AD48" i="5"/>
  <c r="AE48" i="5"/>
  <c r="AF48" i="5"/>
  <c r="AG48" i="5"/>
  <c r="AH48" i="5"/>
  <c r="AI48" i="5"/>
  <c r="AJ48" i="5"/>
  <c r="AK48" i="5"/>
  <c r="AL48" i="5"/>
  <c r="AM48" i="5"/>
  <c r="AN48" i="5"/>
  <c r="AO48" i="5"/>
  <c r="AP48" i="5"/>
  <c r="AQ48" i="5"/>
  <c r="AR48" i="5"/>
  <c r="AS48" i="5"/>
  <c r="AT48" i="5"/>
  <c r="AU48" i="5"/>
  <c r="AV48" i="5"/>
  <c r="AW48" i="5"/>
  <c r="AX48" i="5"/>
  <c r="AY48" i="5"/>
  <c r="AZ48" i="5"/>
  <c r="BA48" i="5"/>
  <c r="BB48" i="5"/>
  <c r="BC48" i="5"/>
  <c r="BD48" i="5"/>
  <c r="BE48" i="5"/>
  <c r="BF48" i="5"/>
  <c r="BG48" i="5"/>
  <c r="BH48" i="5"/>
  <c r="BI48" i="5"/>
  <c r="BJ48" i="5"/>
  <c r="BK48" i="5"/>
  <c r="BL48" i="5"/>
  <c r="BM48" i="5"/>
  <c r="BN48" i="5"/>
  <c r="BO48" i="5"/>
  <c r="BP48" i="5"/>
  <c r="BQ48" i="5"/>
  <c r="BR48" i="5"/>
  <c r="BS48" i="5"/>
  <c r="BT48" i="5"/>
  <c r="BU48" i="5"/>
  <c r="BV48" i="5"/>
  <c r="BW48" i="5"/>
  <c r="BX48" i="5"/>
  <c r="BY48" i="5"/>
  <c r="BZ48" i="5"/>
  <c r="J49" i="5"/>
  <c r="K49" i="5"/>
  <c r="L49" i="5"/>
  <c r="M49" i="5"/>
  <c r="N49" i="5"/>
  <c r="O49" i="5"/>
  <c r="P49" i="5"/>
  <c r="Q49" i="5"/>
  <c r="R49" i="5"/>
  <c r="S49" i="5"/>
  <c r="T49" i="5"/>
  <c r="U49" i="5"/>
  <c r="V49" i="5"/>
  <c r="W49" i="5"/>
  <c r="X49" i="5"/>
  <c r="Y49" i="5"/>
  <c r="Z49" i="5"/>
  <c r="AA49" i="5"/>
  <c r="AB49" i="5"/>
  <c r="AC49" i="5"/>
  <c r="AD49" i="5"/>
  <c r="AE49" i="5"/>
  <c r="AF49" i="5"/>
  <c r="AG49" i="5"/>
  <c r="AH49" i="5"/>
  <c r="AI49" i="5"/>
  <c r="AJ49" i="5"/>
  <c r="AK49" i="5"/>
  <c r="AL49" i="5"/>
  <c r="AM49" i="5"/>
  <c r="AN49" i="5"/>
  <c r="AO49" i="5"/>
  <c r="AP49" i="5"/>
  <c r="AQ49" i="5"/>
  <c r="AR49" i="5"/>
  <c r="AS49" i="5"/>
  <c r="AT49" i="5"/>
  <c r="AU49" i="5"/>
  <c r="AV49" i="5"/>
  <c r="AW49" i="5"/>
  <c r="AX49" i="5"/>
  <c r="AY49" i="5"/>
  <c r="AZ49" i="5"/>
  <c r="BA49" i="5"/>
  <c r="BB49" i="5"/>
  <c r="BC49" i="5"/>
  <c r="BD49" i="5"/>
  <c r="BE49" i="5"/>
  <c r="BF49" i="5"/>
  <c r="BG49" i="5"/>
  <c r="BH49" i="5"/>
  <c r="BI49" i="5"/>
  <c r="BJ49" i="5"/>
  <c r="BK49" i="5"/>
  <c r="BL49" i="5"/>
  <c r="BM49" i="5"/>
  <c r="BN49" i="5"/>
  <c r="BO49" i="5"/>
  <c r="BP49" i="5"/>
  <c r="BQ49" i="5"/>
  <c r="BR49" i="5"/>
  <c r="BS49" i="5"/>
  <c r="BT49" i="5"/>
  <c r="BU49" i="5"/>
  <c r="BV49" i="5"/>
  <c r="BW49" i="5"/>
  <c r="BX49" i="5"/>
  <c r="BY49" i="5"/>
  <c r="BZ49" i="5"/>
  <c r="J50" i="5"/>
  <c r="K50" i="5"/>
  <c r="L50" i="5"/>
  <c r="M50" i="5"/>
  <c r="N50" i="5"/>
  <c r="O50" i="5"/>
  <c r="P50" i="5"/>
  <c r="Q50" i="5"/>
  <c r="R50" i="5"/>
  <c r="S50" i="5"/>
  <c r="T50" i="5"/>
  <c r="U50" i="5"/>
  <c r="V50" i="5"/>
  <c r="W50" i="5"/>
  <c r="X50" i="5"/>
  <c r="Y50" i="5"/>
  <c r="Z50" i="5"/>
  <c r="AA50" i="5"/>
  <c r="AB50" i="5"/>
  <c r="AC50" i="5"/>
  <c r="AD50" i="5"/>
  <c r="AE50" i="5"/>
  <c r="AF50" i="5"/>
  <c r="AG50" i="5"/>
  <c r="AH50" i="5"/>
  <c r="AI50" i="5"/>
  <c r="AJ50" i="5"/>
  <c r="AK50" i="5"/>
  <c r="AL50" i="5"/>
  <c r="AM50" i="5"/>
  <c r="AN50" i="5"/>
  <c r="AO50" i="5"/>
  <c r="AP50" i="5"/>
  <c r="AQ50" i="5"/>
  <c r="AR50" i="5"/>
  <c r="AS50" i="5"/>
  <c r="AT50" i="5"/>
  <c r="AU50" i="5"/>
  <c r="AV50" i="5"/>
  <c r="AW50" i="5"/>
  <c r="AX50" i="5"/>
  <c r="AY50" i="5"/>
  <c r="AZ50" i="5"/>
  <c r="BA50" i="5"/>
  <c r="BB50" i="5"/>
  <c r="BC50" i="5"/>
  <c r="BD50" i="5"/>
  <c r="BE50" i="5"/>
  <c r="BF50" i="5"/>
  <c r="BG50" i="5"/>
  <c r="BH50" i="5"/>
  <c r="BI50" i="5"/>
  <c r="BJ50" i="5"/>
  <c r="BK50" i="5"/>
  <c r="BL50" i="5"/>
  <c r="BM50" i="5"/>
  <c r="BN50" i="5"/>
  <c r="BO50" i="5"/>
  <c r="BP50" i="5"/>
  <c r="BQ50" i="5"/>
  <c r="BR50" i="5"/>
  <c r="BS50" i="5"/>
  <c r="BT50" i="5"/>
  <c r="BU50" i="5"/>
  <c r="BV50" i="5"/>
  <c r="BW50" i="5"/>
  <c r="BX50" i="5"/>
  <c r="BY50" i="5"/>
  <c r="BZ50" i="5"/>
  <c r="J51" i="5"/>
  <c r="K51" i="5"/>
  <c r="L51" i="5"/>
  <c r="M51" i="5"/>
  <c r="N51" i="5"/>
  <c r="O51" i="5"/>
  <c r="P51" i="5"/>
  <c r="Q51" i="5"/>
  <c r="R51" i="5"/>
  <c r="S51" i="5"/>
  <c r="T51" i="5"/>
  <c r="U51" i="5"/>
  <c r="V51" i="5"/>
  <c r="W51" i="5"/>
  <c r="X51" i="5"/>
  <c r="Y51" i="5"/>
  <c r="Z51" i="5"/>
  <c r="AA51" i="5"/>
  <c r="AB51" i="5"/>
  <c r="AC51" i="5"/>
  <c r="AD51" i="5"/>
  <c r="AE51" i="5"/>
  <c r="AF51" i="5"/>
  <c r="AG51" i="5"/>
  <c r="AH51" i="5"/>
  <c r="AI51" i="5"/>
  <c r="AJ51" i="5"/>
  <c r="AK51" i="5"/>
  <c r="AL51" i="5"/>
  <c r="AM51" i="5"/>
  <c r="AN51" i="5"/>
  <c r="AO51" i="5"/>
  <c r="AP51" i="5"/>
  <c r="AQ51" i="5"/>
  <c r="AR51" i="5"/>
  <c r="AS51" i="5"/>
  <c r="AT51" i="5"/>
  <c r="AU51" i="5"/>
  <c r="AV51" i="5"/>
  <c r="AW51" i="5"/>
  <c r="AX51" i="5"/>
  <c r="AY51" i="5"/>
  <c r="AZ51" i="5"/>
  <c r="BA51" i="5"/>
  <c r="BB51" i="5"/>
  <c r="BC51" i="5"/>
  <c r="BD51" i="5"/>
  <c r="BE51" i="5"/>
  <c r="BF51" i="5"/>
  <c r="BG51" i="5"/>
  <c r="BH51" i="5"/>
  <c r="BI51" i="5"/>
  <c r="BJ51" i="5"/>
  <c r="BK51" i="5"/>
  <c r="BL51" i="5"/>
  <c r="BM51" i="5"/>
  <c r="BN51" i="5"/>
  <c r="BO51" i="5"/>
  <c r="BP51" i="5"/>
  <c r="BQ51" i="5"/>
  <c r="BR51" i="5"/>
  <c r="BS51" i="5"/>
  <c r="BT51" i="5"/>
  <c r="BU51" i="5"/>
  <c r="BV51" i="5"/>
  <c r="BW51" i="5"/>
  <c r="BX51" i="5"/>
  <c r="BY51" i="5"/>
  <c r="BZ51" i="5"/>
  <c r="J52" i="5"/>
  <c r="K52" i="5"/>
  <c r="L52" i="5"/>
  <c r="M52" i="5"/>
  <c r="N52" i="5"/>
  <c r="O52" i="5"/>
  <c r="P52" i="5"/>
  <c r="Q52" i="5"/>
  <c r="R52" i="5"/>
  <c r="S52" i="5"/>
  <c r="T52" i="5"/>
  <c r="U52" i="5"/>
  <c r="V52" i="5"/>
  <c r="W52" i="5"/>
  <c r="X52" i="5"/>
  <c r="Y52" i="5"/>
  <c r="Z52" i="5"/>
  <c r="AA52" i="5"/>
  <c r="AB52" i="5"/>
  <c r="AC52" i="5"/>
  <c r="AD52" i="5"/>
  <c r="AE52" i="5"/>
  <c r="AF52" i="5"/>
  <c r="AG52" i="5"/>
  <c r="AH52" i="5"/>
  <c r="AI52" i="5"/>
  <c r="AJ52" i="5"/>
  <c r="AK52" i="5"/>
  <c r="AL52" i="5"/>
  <c r="AM52" i="5"/>
  <c r="AN52" i="5"/>
  <c r="AO52" i="5"/>
  <c r="AP52" i="5"/>
  <c r="AQ52" i="5"/>
  <c r="AR52" i="5"/>
  <c r="AS52" i="5"/>
  <c r="AT52" i="5"/>
  <c r="AU52" i="5"/>
  <c r="AV52" i="5"/>
  <c r="AW52" i="5"/>
  <c r="AX52" i="5"/>
  <c r="AY52" i="5"/>
  <c r="AZ52" i="5"/>
  <c r="BA52" i="5"/>
  <c r="BB52" i="5"/>
  <c r="BC52" i="5"/>
  <c r="BD52" i="5"/>
  <c r="BE52" i="5"/>
  <c r="BF52" i="5"/>
  <c r="BG52" i="5"/>
  <c r="BH52" i="5"/>
  <c r="BI52" i="5"/>
  <c r="BJ52" i="5"/>
  <c r="BK52" i="5"/>
  <c r="BL52" i="5"/>
  <c r="BM52" i="5"/>
  <c r="BN52" i="5"/>
  <c r="BO52" i="5"/>
  <c r="BP52" i="5"/>
  <c r="BQ52" i="5"/>
  <c r="BR52" i="5"/>
  <c r="BS52" i="5"/>
  <c r="BT52" i="5"/>
  <c r="BU52" i="5"/>
  <c r="BV52" i="5"/>
  <c r="BW52" i="5"/>
  <c r="BX52" i="5"/>
  <c r="BY52" i="5"/>
  <c r="BZ52" i="5"/>
  <c r="J53" i="5"/>
  <c r="K53" i="5"/>
  <c r="L53" i="5"/>
  <c r="M53" i="5"/>
  <c r="N53" i="5"/>
  <c r="O53" i="5"/>
  <c r="P53" i="5"/>
  <c r="Q53" i="5"/>
  <c r="R53" i="5"/>
  <c r="S53" i="5"/>
  <c r="T53" i="5"/>
  <c r="U53" i="5"/>
  <c r="V53" i="5"/>
  <c r="W53" i="5"/>
  <c r="X53" i="5"/>
  <c r="Y53" i="5"/>
  <c r="Z53" i="5"/>
  <c r="AA53" i="5"/>
  <c r="AB53" i="5"/>
  <c r="AC53" i="5"/>
  <c r="AD53" i="5"/>
  <c r="AE53" i="5"/>
  <c r="AF53" i="5"/>
  <c r="AG53" i="5"/>
  <c r="AH53" i="5"/>
  <c r="AI53" i="5"/>
  <c r="AJ53" i="5"/>
  <c r="AK53" i="5"/>
  <c r="AL53" i="5"/>
  <c r="AM53" i="5"/>
  <c r="AN53" i="5"/>
  <c r="AO53" i="5"/>
  <c r="AP53" i="5"/>
  <c r="AQ53" i="5"/>
  <c r="AR53" i="5"/>
  <c r="AS53" i="5"/>
  <c r="AT53" i="5"/>
  <c r="AU53" i="5"/>
  <c r="AV53" i="5"/>
  <c r="AW53" i="5"/>
  <c r="AX53" i="5"/>
  <c r="AY53" i="5"/>
  <c r="AZ53" i="5"/>
  <c r="BA53" i="5"/>
  <c r="BB53" i="5"/>
  <c r="BC53" i="5"/>
  <c r="BD53" i="5"/>
  <c r="BE53" i="5"/>
  <c r="BF53" i="5"/>
  <c r="BG53" i="5"/>
  <c r="BH53" i="5"/>
  <c r="BI53" i="5"/>
  <c r="BJ53" i="5"/>
  <c r="BK53" i="5"/>
  <c r="BL53" i="5"/>
  <c r="BM53" i="5"/>
  <c r="BN53" i="5"/>
  <c r="BO53" i="5"/>
  <c r="BP53" i="5"/>
  <c r="BQ53" i="5"/>
  <c r="BR53" i="5"/>
  <c r="BS53" i="5"/>
  <c r="BT53" i="5"/>
  <c r="BU53" i="5"/>
  <c r="BV53" i="5"/>
  <c r="BW53" i="5"/>
  <c r="BX53" i="5"/>
  <c r="BY53" i="5"/>
  <c r="BZ53" i="5"/>
  <c r="J54" i="5"/>
  <c r="K54" i="5"/>
  <c r="L54" i="5"/>
  <c r="M54" i="5"/>
  <c r="N54" i="5"/>
  <c r="O54" i="5"/>
  <c r="P54" i="5"/>
  <c r="Q54" i="5"/>
  <c r="R54" i="5"/>
  <c r="S54" i="5"/>
  <c r="T54" i="5"/>
  <c r="U54" i="5"/>
  <c r="V54" i="5"/>
  <c r="W54" i="5"/>
  <c r="X54" i="5"/>
  <c r="Y54" i="5"/>
  <c r="Z54" i="5"/>
  <c r="AA54" i="5"/>
  <c r="AB54" i="5"/>
  <c r="AC54" i="5"/>
  <c r="AD54" i="5"/>
  <c r="AE54" i="5"/>
  <c r="AF54" i="5"/>
  <c r="AG54" i="5"/>
  <c r="AH54" i="5"/>
  <c r="AI54" i="5"/>
  <c r="AJ54" i="5"/>
  <c r="AK54" i="5"/>
  <c r="AL54" i="5"/>
  <c r="AM54" i="5"/>
  <c r="AN54" i="5"/>
  <c r="AO54" i="5"/>
  <c r="AP54" i="5"/>
  <c r="AQ54" i="5"/>
  <c r="AR54" i="5"/>
  <c r="AS54" i="5"/>
  <c r="AT54" i="5"/>
  <c r="AU54" i="5"/>
  <c r="AV54" i="5"/>
  <c r="AW54" i="5"/>
  <c r="AX54" i="5"/>
  <c r="AY54" i="5"/>
  <c r="AZ54" i="5"/>
  <c r="BA54" i="5"/>
  <c r="BB54" i="5"/>
  <c r="BC54" i="5"/>
  <c r="BD54" i="5"/>
  <c r="BE54" i="5"/>
  <c r="BF54" i="5"/>
  <c r="BG54" i="5"/>
  <c r="BH54" i="5"/>
  <c r="BI54" i="5"/>
  <c r="BJ54" i="5"/>
  <c r="BK54" i="5"/>
  <c r="BL54" i="5"/>
  <c r="BM54" i="5"/>
  <c r="BN54" i="5"/>
  <c r="BO54" i="5"/>
  <c r="BP54" i="5"/>
  <c r="BQ54" i="5"/>
  <c r="BR54" i="5"/>
  <c r="BS54" i="5"/>
  <c r="BT54" i="5"/>
  <c r="BU54" i="5"/>
  <c r="BV54" i="5"/>
  <c r="BW54" i="5"/>
  <c r="BX54" i="5"/>
  <c r="BY54" i="5"/>
  <c r="BZ54" i="5"/>
  <c r="J55" i="5"/>
  <c r="K55" i="5"/>
  <c r="L55" i="5"/>
  <c r="M55" i="5"/>
  <c r="N55" i="5"/>
  <c r="O55" i="5"/>
  <c r="P55" i="5"/>
  <c r="Q55" i="5"/>
  <c r="R55" i="5"/>
  <c r="S55" i="5"/>
  <c r="T55" i="5"/>
  <c r="U55" i="5"/>
  <c r="V55" i="5"/>
  <c r="W55" i="5"/>
  <c r="X55" i="5"/>
  <c r="Y55" i="5"/>
  <c r="Z55" i="5"/>
  <c r="AA55" i="5"/>
  <c r="AB55" i="5"/>
  <c r="AC55" i="5"/>
  <c r="AD55" i="5"/>
  <c r="AE55" i="5"/>
  <c r="AF55" i="5"/>
  <c r="AG55" i="5"/>
  <c r="AH55" i="5"/>
  <c r="AI55" i="5"/>
  <c r="AJ55" i="5"/>
  <c r="AK55" i="5"/>
  <c r="AL55" i="5"/>
  <c r="AM55" i="5"/>
  <c r="AN55" i="5"/>
  <c r="AO55" i="5"/>
  <c r="AP55" i="5"/>
  <c r="AQ55" i="5"/>
  <c r="AR55" i="5"/>
  <c r="AS55" i="5"/>
  <c r="AT55" i="5"/>
  <c r="AU55" i="5"/>
  <c r="AV55" i="5"/>
  <c r="AW55" i="5"/>
  <c r="AX55" i="5"/>
  <c r="AY55" i="5"/>
  <c r="AZ55" i="5"/>
  <c r="BA55" i="5"/>
  <c r="BB55" i="5"/>
  <c r="BC55" i="5"/>
  <c r="BD55" i="5"/>
  <c r="BE55" i="5"/>
  <c r="BF55" i="5"/>
  <c r="BG55" i="5"/>
  <c r="BH55" i="5"/>
  <c r="BI55" i="5"/>
  <c r="BJ55" i="5"/>
  <c r="BK55" i="5"/>
  <c r="BL55" i="5"/>
  <c r="BM55" i="5"/>
  <c r="BN55" i="5"/>
  <c r="BO55" i="5"/>
  <c r="BP55" i="5"/>
  <c r="BQ55" i="5"/>
  <c r="BR55" i="5"/>
  <c r="BS55" i="5"/>
  <c r="BT55" i="5"/>
  <c r="BU55" i="5"/>
  <c r="BV55" i="5"/>
  <c r="BW55" i="5"/>
  <c r="BX55" i="5"/>
  <c r="BY55" i="5"/>
  <c r="BZ55" i="5"/>
  <c r="J56" i="5"/>
  <c r="K56" i="5"/>
  <c r="L56" i="5"/>
  <c r="M56" i="5"/>
  <c r="N56" i="5"/>
  <c r="O56" i="5"/>
  <c r="P56" i="5"/>
  <c r="Q56" i="5"/>
  <c r="R56" i="5"/>
  <c r="S56" i="5"/>
  <c r="T56" i="5"/>
  <c r="U56" i="5"/>
  <c r="V56" i="5"/>
  <c r="W56" i="5"/>
  <c r="X56" i="5"/>
  <c r="Y56" i="5"/>
  <c r="Z56" i="5"/>
  <c r="AA56" i="5"/>
  <c r="AB56" i="5"/>
  <c r="AC56" i="5"/>
  <c r="AD56" i="5"/>
  <c r="AE56" i="5"/>
  <c r="AF56" i="5"/>
  <c r="AG56" i="5"/>
  <c r="AH56" i="5"/>
  <c r="AI56" i="5"/>
  <c r="AJ56" i="5"/>
  <c r="AK56" i="5"/>
  <c r="AL56" i="5"/>
  <c r="AM56" i="5"/>
  <c r="AN56" i="5"/>
  <c r="AO56" i="5"/>
  <c r="AP56" i="5"/>
  <c r="AQ56" i="5"/>
  <c r="AR56" i="5"/>
  <c r="AS56" i="5"/>
  <c r="AT56" i="5"/>
  <c r="AU56" i="5"/>
  <c r="AV56" i="5"/>
  <c r="AW56" i="5"/>
  <c r="AX56" i="5"/>
  <c r="AY56" i="5"/>
  <c r="AZ56" i="5"/>
  <c r="BA56" i="5"/>
  <c r="BB56" i="5"/>
  <c r="BC56" i="5"/>
  <c r="BD56" i="5"/>
  <c r="BE56" i="5"/>
  <c r="BF56" i="5"/>
  <c r="BG56" i="5"/>
  <c r="BH56" i="5"/>
  <c r="BI56" i="5"/>
  <c r="BJ56" i="5"/>
  <c r="BK56" i="5"/>
  <c r="BL56" i="5"/>
  <c r="BM56" i="5"/>
  <c r="BN56" i="5"/>
  <c r="BO56" i="5"/>
  <c r="BP56" i="5"/>
  <c r="BQ56" i="5"/>
  <c r="BR56" i="5"/>
  <c r="BS56" i="5"/>
  <c r="BT56" i="5"/>
  <c r="BU56" i="5"/>
  <c r="BV56" i="5"/>
  <c r="BW56" i="5"/>
  <c r="BX56" i="5"/>
  <c r="BY56" i="5"/>
  <c r="BZ56" i="5"/>
  <c r="K2" i="5"/>
  <c r="L2" i="5"/>
  <c r="M2" i="5"/>
  <c r="N2" i="5"/>
  <c r="O2" i="5"/>
  <c r="P2" i="5"/>
  <c r="Q2" i="5"/>
  <c r="R2" i="5"/>
  <c r="S2" i="5"/>
  <c r="T2" i="5"/>
  <c r="U2" i="5"/>
  <c r="V2" i="5"/>
  <c r="W2" i="5"/>
  <c r="X2" i="5"/>
  <c r="Y2" i="5"/>
  <c r="Z2" i="5"/>
  <c r="AA2" i="5"/>
  <c r="AB2" i="5"/>
  <c r="AC2" i="5"/>
  <c r="AD2" i="5"/>
  <c r="AE2" i="5"/>
  <c r="AF2" i="5"/>
  <c r="AG2" i="5"/>
  <c r="AH2" i="5"/>
  <c r="AI2" i="5"/>
  <c r="AJ2" i="5"/>
  <c r="AK2" i="5"/>
  <c r="AL2" i="5"/>
  <c r="AM2" i="5"/>
  <c r="AN2" i="5"/>
  <c r="AO2" i="5"/>
  <c r="AP2" i="5"/>
  <c r="AQ2" i="5"/>
  <c r="AR2" i="5"/>
  <c r="AS2" i="5"/>
  <c r="AT2" i="5"/>
  <c r="AU2" i="5"/>
  <c r="AV2" i="5"/>
  <c r="AW2" i="5"/>
  <c r="AX2" i="5"/>
  <c r="AY2" i="5"/>
  <c r="AZ2" i="5"/>
  <c r="BA2" i="5"/>
  <c r="BB2" i="5"/>
  <c r="BC2" i="5"/>
  <c r="BD2" i="5"/>
  <c r="BE2" i="5"/>
  <c r="BF2" i="5"/>
  <c r="BG2" i="5"/>
  <c r="BH2" i="5"/>
  <c r="BI2" i="5"/>
  <c r="BJ2" i="5"/>
  <c r="BK2" i="5"/>
  <c r="BL2" i="5"/>
  <c r="BM2" i="5"/>
  <c r="BN2" i="5"/>
  <c r="BO2" i="5"/>
  <c r="BP2" i="5"/>
  <c r="BQ2" i="5"/>
  <c r="BR2" i="5"/>
  <c r="BS2" i="5"/>
  <c r="BT2" i="5"/>
  <c r="BU2" i="5"/>
  <c r="BV2" i="5"/>
  <c r="BW2" i="5"/>
  <c r="BX2" i="5"/>
  <c r="BY2" i="5"/>
  <c r="BZ2" i="5"/>
  <c r="G3" i="5"/>
  <c r="H3" i="5"/>
  <c r="I3" i="5"/>
  <c r="G4" i="5"/>
  <c r="H4" i="5"/>
  <c r="I4" i="5"/>
  <c r="G5" i="5"/>
  <c r="H5" i="5"/>
  <c r="I5" i="5"/>
  <c r="G6" i="5"/>
  <c r="H6" i="5"/>
  <c r="I6" i="5"/>
  <c r="G7" i="5"/>
  <c r="H7" i="5"/>
  <c r="I7" i="5"/>
  <c r="G8" i="5"/>
  <c r="H8" i="5"/>
  <c r="I8" i="5"/>
  <c r="G9" i="5"/>
  <c r="H9" i="5"/>
  <c r="I9" i="5"/>
  <c r="G10" i="5"/>
  <c r="H10" i="5"/>
  <c r="I10" i="5"/>
  <c r="G11" i="5"/>
  <c r="H11" i="5"/>
  <c r="I11" i="5"/>
  <c r="G12" i="5"/>
  <c r="H12" i="5"/>
  <c r="I12" i="5"/>
  <c r="G13" i="5"/>
  <c r="H13" i="5"/>
  <c r="I13" i="5"/>
  <c r="G14" i="5"/>
  <c r="H14" i="5"/>
  <c r="I14" i="5"/>
  <c r="G15" i="5"/>
  <c r="H15" i="5"/>
  <c r="I15" i="5"/>
  <c r="G16" i="5"/>
  <c r="H16" i="5"/>
  <c r="I16" i="5"/>
  <c r="G17" i="5"/>
  <c r="H17" i="5"/>
  <c r="I17" i="5"/>
  <c r="G18" i="5"/>
  <c r="H18" i="5"/>
  <c r="I18" i="5"/>
  <c r="G19" i="5"/>
  <c r="H19" i="5"/>
  <c r="I19" i="5"/>
  <c r="G20" i="5"/>
  <c r="H20" i="5"/>
  <c r="I20" i="5"/>
  <c r="G21" i="5"/>
  <c r="H21" i="5"/>
  <c r="I21" i="5"/>
  <c r="G22" i="5"/>
  <c r="H22" i="5"/>
  <c r="I22" i="5"/>
  <c r="G23" i="5"/>
  <c r="H23" i="5"/>
  <c r="I23" i="5"/>
  <c r="G24" i="5"/>
  <c r="H24" i="5"/>
  <c r="I24" i="5"/>
  <c r="G25" i="5"/>
  <c r="H25" i="5"/>
  <c r="I25" i="5"/>
  <c r="G26" i="5"/>
  <c r="H26" i="5"/>
  <c r="I26" i="5"/>
  <c r="G27" i="5"/>
  <c r="H27" i="5"/>
  <c r="I27" i="5"/>
  <c r="G28" i="5"/>
  <c r="H28" i="5"/>
  <c r="I28" i="5"/>
  <c r="G29" i="5"/>
  <c r="H29" i="5"/>
  <c r="I29" i="5"/>
  <c r="G30" i="5"/>
  <c r="H30" i="5"/>
  <c r="I30" i="5"/>
  <c r="G31" i="5"/>
  <c r="H31" i="5"/>
  <c r="I31" i="5"/>
  <c r="G32" i="5"/>
  <c r="H32" i="5"/>
  <c r="I32" i="5"/>
  <c r="G33" i="5"/>
  <c r="H33" i="5"/>
  <c r="I33" i="5"/>
  <c r="G34" i="5"/>
  <c r="H34" i="5"/>
  <c r="I34" i="5"/>
  <c r="G35" i="5"/>
  <c r="H35" i="5"/>
  <c r="I35" i="5"/>
  <c r="G36" i="5"/>
  <c r="H36" i="5"/>
  <c r="I36" i="5"/>
  <c r="G37" i="5"/>
  <c r="H37" i="5"/>
  <c r="I37" i="5"/>
  <c r="G38" i="5"/>
  <c r="H38" i="5"/>
  <c r="I38" i="5"/>
  <c r="G39" i="5"/>
  <c r="H39" i="5"/>
  <c r="I39" i="5"/>
  <c r="G40" i="5"/>
  <c r="H40" i="5"/>
  <c r="I40" i="5"/>
  <c r="G41" i="5"/>
  <c r="H41" i="5"/>
  <c r="I41" i="5"/>
  <c r="G42" i="5"/>
  <c r="H42" i="5"/>
  <c r="I42" i="5"/>
  <c r="G43" i="5"/>
  <c r="H43" i="5"/>
  <c r="I43" i="5"/>
  <c r="G44" i="5"/>
  <c r="H44" i="5"/>
  <c r="I44" i="5"/>
  <c r="G45" i="5"/>
  <c r="H45" i="5"/>
  <c r="I45" i="5"/>
  <c r="G46" i="5"/>
  <c r="H46" i="5"/>
  <c r="I46" i="5"/>
  <c r="G47" i="5"/>
  <c r="H47" i="5"/>
  <c r="I47" i="5"/>
  <c r="G48" i="5"/>
  <c r="H48" i="5"/>
  <c r="I48" i="5"/>
  <c r="G49" i="5"/>
  <c r="H49" i="5"/>
  <c r="I49" i="5"/>
  <c r="G50" i="5"/>
  <c r="H50" i="5"/>
  <c r="I50" i="5"/>
  <c r="G51" i="5"/>
  <c r="H51" i="5"/>
  <c r="I51" i="5"/>
  <c r="G52" i="5"/>
  <c r="H52" i="5"/>
  <c r="I52" i="5"/>
  <c r="G53" i="5"/>
  <c r="H53" i="5"/>
  <c r="I53" i="5"/>
  <c r="G54" i="5"/>
  <c r="H54" i="5"/>
  <c r="I54" i="5"/>
  <c r="G55" i="5"/>
  <c r="H55" i="5"/>
  <c r="I55" i="5"/>
  <c r="G56" i="5"/>
  <c r="H56" i="5"/>
  <c r="I56" i="5"/>
  <c r="H2" i="5"/>
  <c r="I2" i="5"/>
  <c r="J2" i="5"/>
  <c r="G2" i="5"/>
  <c r="F13" i="5" l="1"/>
  <c r="F12" i="5"/>
  <c r="F52" i="5"/>
  <c r="F11" i="5"/>
  <c r="F14" i="5"/>
  <c r="F56" i="5"/>
  <c r="F43" i="5"/>
  <c r="F29" i="5"/>
  <c r="F4" i="5"/>
  <c r="F55" i="5"/>
  <c r="F42" i="5"/>
  <c r="F28" i="5"/>
  <c r="F16" i="5"/>
  <c r="F3" i="5"/>
  <c r="F51" i="5"/>
  <c r="F41" i="5"/>
  <c r="F37" i="5"/>
  <c r="F27" i="5"/>
  <c r="F24" i="5"/>
  <c r="F15" i="5"/>
  <c r="F54" i="5"/>
  <c r="F47" i="5"/>
  <c r="F40" i="5"/>
  <c r="F33" i="5"/>
  <c r="F20" i="5"/>
  <c r="F8" i="5"/>
  <c r="F46" i="5"/>
  <c r="F32" i="5"/>
  <c r="F19" i="5"/>
  <c r="F7" i="5"/>
  <c r="F53" i="5"/>
  <c r="F48" i="5"/>
  <c r="F39" i="5"/>
  <c r="F34" i="5"/>
  <c r="F26" i="5"/>
  <c r="F21" i="5"/>
  <c r="F9" i="5"/>
  <c r="F38" i="5"/>
  <c r="F25" i="5"/>
  <c r="F50" i="5"/>
  <c r="F36" i="5"/>
  <c r="F23" i="5"/>
  <c r="F2" i="5"/>
  <c r="F45" i="5"/>
  <c r="F31" i="5"/>
  <c r="F18" i="5"/>
  <c r="F6" i="5"/>
  <c r="F49" i="5"/>
  <c r="F35" i="5"/>
  <c r="F22" i="5"/>
  <c r="F10" i="5"/>
  <c r="F44" i="5"/>
  <c r="F30" i="5"/>
  <c r="F17" i="5"/>
  <c r="F5" i="5"/>
</calcChain>
</file>

<file path=xl/sharedStrings.xml><?xml version="1.0" encoding="utf-8"?>
<sst xmlns="http://schemas.openxmlformats.org/spreadsheetml/2006/main" count="1395" uniqueCount="395">
  <si>
    <t>Cultivar</t>
  </si>
  <si>
    <t>Insect Richness</t>
  </si>
  <si>
    <t>Species</t>
  </si>
  <si>
    <t>Flower Type</t>
  </si>
  <si>
    <t>Inflorescence Type</t>
  </si>
  <si>
    <t>Annabelle</t>
  </si>
  <si>
    <t>Hydrangea arborescens</t>
  </si>
  <si>
    <t>Mop</t>
  </si>
  <si>
    <t>Dense</t>
  </si>
  <si>
    <t>Baby Lace</t>
  </si>
  <si>
    <t>Hydrangea paniculata</t>
  </si>
  <si>
    <t>Lacy panicle</t>
  </si>
  <si>
    <t>Open</t>
  </si>
  <si>
    <t>Bella Anna</t>
  </si>
  <si>
    <t>Half-open</t>
  </si>
  <si>
    <t>Berry White</t>
  </si>
  <si>
    <t>Mop-like panicle</t>
  </si>
  <si>
    <t>Big Ben</t>
  </si>
  <si>
    <t>Bobo</t>
  </si>
  <si>
    <t>Bounty</t>
  </si>
  <si>
    <t>Brussels Lace</t>
  </si>
  <si>
    <t>Candy Apple</t>
  </si>
  <si>
    <t>Daimond Rogue</t>
  </si>
  <si>
    <t>Dharuma</t>
  </si>
  <si>
    <t>Dolly</t>
  </si>
  <si>
    <t>Early Evolution</t>
  </si>
  <si>
    <t>Fire &amp; Ice</t>
  </si>
  <si>
    <t>Fire Light</t>
  </si>
  <si>
    <t>Floribunda</t>
  </si>
  <si>
    <t>Great Star</t>
  </si>
  <si>
    <t>Very dense</t>
  </si>
  <si>
    <t>Green Spire</t>
  </si>
  <si>
    <t>Haas Halo</t>
  </si>
  <si>
    <t>Lacy</t>
  </si>
  <si>
    <t>Hayes Starburst</t>
  </si>
  <si>
    <t>Honey Comb</t>
  </si>
  <si>
    <t>Incrediball</t>
  </si>
  <si>
    <t>Invincibelle Ruby</t>
  </si>
  <si>
    <t>Invincibelle Mini Mauvette</t>
  </si>
  <si>
    <t>Invincibelle Spirit II</t>
  </si>
  <si>
    <t>Invincibelle Wee White</t>
  </si>
  <si>
    <t>Kyushu</t>
  </si>
  <si>
    <t>Lime Rickey</t>
  </si>
  <si>
    <t>Limelight</t>
  </si>
  <si>
    <t>Limelight Prime</t>
  </si>
  <si>
    <t>Little Lamb</t>
  </si>
  <si>
    <t>Little Lime</t>
  </si>
  <si>
    <t>Little Lime Punch</t>
  </si>
  <si>
    <t>Little Quick Fire</t>
  </si>
  <si>
    <t>Mega Pearl</t>
  </si>
  <si>
    <t>Phantom</t>
  </si>
  <si>
    <t>Pillow Talk</t>
  </si>
  <si>
    <t>Pink Diamond</t>
  </si>
  <si>
    <t>Pink Lady</t>
  </si>
  <si>
    <t>Pink Pincushion</t>
  </si>
  <si>
    <t>Pinky Winky</t>
  </si>
  <si>
    <t>Polar Ball</t>
  </si>
  <si>
    <t>Puffer Fish</t>
  </si>
  <si>
    <t>Quick Fire</t>
  </si>
  <si>
    <t>Quick Fire Fabulous</t>
  </si>
  <si>
    <t>Riven Lace</t>
  </si>
  <si>
    <t>Ruby</t>
  </si>
  <si>
    <t>Ryan Gainey</t>
  </si>
  <si>
    <t>Seaside Serenade Bar Harbor</t>
  </si>
  <si>
    <t>Silver Dollar</t>
  </si>
  <si>
    <t>Silver Leaf</t>
  </si>
  <si>
    <t>Strawberry Shake</t>
  </si>
  <si>
    <t>Strawberry Sundae</t>
  </si>
  <si>
    <t>Sweet Summer</t>
  </si>
  <si>
    <t>Tickled Pink</t>
  </si>
  <si>
    <t>Vanilla Strawberry</t>
  </si>
  <si>
    <t>White Diamonds</t>
  </si>
  <si>
    <t>White Dome</t>
  </si>
  <si>
    <t>Zinfin Doll</t>
  </si>
  <si>
    <t>Date</t>
  </si>
  <si>
    <t>jday</t>
  </si>
  <si>
    <t>Tag Number</t>
  </si>
  <si>
    <t>Who Collected</t>
  </si>
  <si>
    <t>Dendryphantini (jumping spiders)</t>
  </si>
  <si>
    <t>Thomisidae</t>
  </si>
  <si>
    <t>Chauliognathus</t>
  </si>
  <si>
    <t>Cerambycidae</t>
  </si>
  <si>
    <t>Chrysomelidae</t>
  </si>
  <si>
    <t xml:space="preserve">Curculionidae </t>
  </si>
  <si>
    <t>Lampyridae</t>
  </si>
  <si>
    <t>Mordellidae</t>
  </si>
  <si>
    <t>Scarabaeoidea</t>
  </si>
  <si>
    <t>Diptera</t>
  </si>
  <si>
    <t>Anthomyiidae</t>
  </si>
  <si>
    <t>Bombyliidae</t>
  </si>
  <si>
    <t>Calliphoridae</t>
  </si>
  <si>
    <t>Conopidae</t>
  </si>
  <si>
    <t>Cecidomyiidae</t>
  </si>
  <si>
    <t>Culicidae</t>
  </si>
  <si>
    <t>Dolichopodidae</t>
  </si>
  <si>
    <t xml:space="preserve">Drosophilidae </t>
  </si>
  <si>
    <t>Empididae</t>
  </si>
  <si>
    <t>Lonchaeidae</t>
  </si>
  <si>
    <t>Muscidae</t>
  </si>
  <si>
    <t>Polleniidae</t>
  </si>
  <si>
    <t>Syrphidae (total)</t>
  </si>
  <si>
    <t>Allograpta</t>
  </si>
  <si>
    <t>Helophilus</t>
  </si>
  <si>
    <t>Ocyptamus</t>
  </si>
  <si>
    <t>Orthonevra</t>
  </si>
  <si>
    <t>Parhelophilus</t>
  </si>
  <si>
    <t>Parhelophilus integer</t>
  </si>
  <si>
    <t>Syrphidae</t>
  </si>
  <si>
    <t>Syrphini</t>
  </si>
  <si>
    <t>Syrphus</t>
  </si>
  <si>
    <t>Toxomerus</t>
  </si>
  <si>
    <t>Tachinidae</t>
  </si>
  <si>
    <t>Tipulidae</t>
  </si>
  <si>
    <t>Ulidiidae</t>
  </si>
  <si>
    <t>Hemiptera</t>
  </si>
  <si>
    <t>Aphidinae</t>
  </si>
  <si>
    <t>Cicadellidae</t>
  </si>
  <si>
    <t>Miridae</t>
  </si>
  <si>
    <t>Reduviidae</t>
  </si>
  <si>
    <t>Hymenoptera</t>
  </si>
  <si>
    <t>Andrena</t>
  </si>
  <si>
    <t xml:space="preserve">Pseudopanurgus </t>
  </si>
  <si>
    <t>Apis</t>
  </si>
  <si>
    <t>Ceratina</t>
  </si>
  <si>
    <t>Melissodes</t>
  </si>
  <si>
    <t>Triepeolus</t>
  </si>
  <si>
    <t>Astata</t>
  </si>
  <si>
    <t>Elampus</t>
  </si>
  <si>
    <t>Hylaeus</t>
  </si>
  <si>
    <t>Oxybelus</t>
  </si>
  <si>
    <t xml:space="preserve">Halictidae </t>
  </si>
  <si>
    <t xml:space="preserve">Agapostemon </t>
  </si>
  <si>
    <t>Augochloropsis</t>
  </si>
  <si>
    <t>Augochlora OR Augochlorella</t>
  </si>
  <si>
    <t>Augochlora</t>
  </si>
  <si>
    <t>Augochlorella</t>
  </si>
  <si>
    <t>Halictus</t>
  </si>
  <si>
    <t>Lasioglossum</t>
  </si>
  <si>
    <t>Symmorphus</t>
  </si>
  <si>
    <t>Eurytoma</t>
  </si>
  <si>
    <t>Formicidae</t>
  </si>
  <si>
    <t>Braconidae</t>
  </si>
  <si>
    <t>Ichneumonidae</t>
  </si>
  <si>
    <t>Scolia</t>
  </si>
  <si>
    <t>Sphex pensylvanicus</t>
  </si>
  <si>
    <t>Vespidae</t>
  </si>
  <si>
    <t xml:space="preserve">Ancistrocerus </t>
  </si>
  <si>
    <t>Dolichovespula</t>
  </si>
  <si>
    <t>Polistes</t>
  </si>
  <si>
    <t xml:space="preserve">Hesperiidae </t>
  </si>
  <si>
    <t>Limniphilidae</t>
  </si>
  <si>
    <t>2F</t>
  </si>
  <si>
    <t>E. Braatz</t>
  </si>
  <si>
    <t>16C</t>
  </si>
  <si>
    <t>5B</t>
  </si>
  <si>
    <t>9A</t>
  </si>
  <si>
    <t>1A</t>
  </si>
  <si>
    <t>11E</t>
  </si>
  <si>
    <t>8A</t>
  </si>
  <si>
    <t>5A</t>
  </si>
  <si>
    <t>4A</t>
  </si>
  <si>
    <t>12F</t>
  </si>
  <si>
    <t>13C</t>
  </si>
  <si>
    <t>5F</t>
  </si>
  <si>
    <t>18D</t>
  </si>
  <si>
    <t>9F</t>
  </si>
  <si>
    <t>10D</t>
  </si>
  <si>
    <t>10C</t>
  </si>
  <si>
    <t>4C</t>
  </si>
  <si>
    <t>4F</t>
  </si>
  <si>
    <t>11C</t>
  </si>
  <si>
    <t>11D</t>
  </si>
  <si>
    <t>20D</t>
  </si>
  <si>
    <t>19D</t>
  </si>
  <si>
    <t>6D</t>
  </si>
  <si>
    <t>G. Meneses</t>
  </si>
  <si>
    <t>6E</t>
  </si>
  <si>
    <t>3E</t>
  </si>
  <si>
    <t>5E</t>
  </si>
  <si>
    <t>B8</t>
  </si>
  <si>
    <t>4E</t>
  </si>
  <si>
    <t>6A</t>
  </si>
  <si>
    <t>12A</t>
  </si>
  <si>
    <t>13B</t>
  </si>
  <si>
    <t>12E</t>
  </si>
  <si>
    <t>3A</t>
  </si>
  <si>
    <t>5D</t>
  </si>
  <si>
    <t>12C</t>
  </si>
  <si>
    <t>3D</t>
  </si>
  <si>
    <t>16B</t>
  </si>
  <si>
    <t>27B</t>
  </si>
  <si>
    <t>11F</t>
  </si>
  <si>
    <t>26B</t>
  </si>
  <si>
    <t>22B</t>
  </si>
  <si>
    <t>9B</t>
  </si>
  <si>
    <t>1C</t>
  </si>
  <si>
    <t>9C</t>
  </si>
  <si>
    <t>15B</t>
  </si>
  <si>
    <t>2A</t>
  </si>
  <si>
    <t>7A</t>
  </si>
  <si>
    <t>6F</t>
  </si>
  <si>
    <t>J. Goldsby</t>
  </si>
  <si>
    <t>2D</t>
  </si>
  <si>
    <t>17D</t>
  </si>
  <si>
    <t>12D</t>
  </si>
  <si>
    <t>13D</t>
  </si>
  <si>
    <t>7D</t>
  </si>
  <si>
    <t>E. Braatz + J. Goldsby</t>
  </si>
  <si>
    <t>1D</t>
  </si>
  <si>
    <t>4D</t>
  </si>
  <si>
    <t>8D</t>
  </si>
  <si>
    <t>16D</t>
  </si>
  <si>
    <t>Row Labels</t>
  </si>
  <si>
    <t>(blank)</t>
  </si>
  <si>
    <t>Grand Total</t>
  </si>
  <si>
    <t>Sum of Dendryphantini (jumping spiders)</t>
  </si>
  <si>
    <t>Sum of Thomisidae</t>
  </si>
  <si>
    <t>Sum of Chauliognathus</t>
  </si>
  <si>
    <t>Sum of Cerambycidae</t>
  </si>
  <si>
    <t>Sum of Chrysomelidae</t>
  </si>
  <si>
    <t xml:space="preserve">Sum of Curculionidae </t>
  </si>
  <si>
    <t>Sum of Lampyridae</t>
  </si>
  <si>
    <t>Sum of Mordellidae</t>
  </si>
  <si>
    <t>Sum of Scarabaeoidea</t>
  </si>
  <si>
    <t>Sum of Diptera</t>
  </si>
  <si>
    <t>Sum of Anthomyiidae</t>
  </si>
  <si>
    <t>Sum of Bombyliidae</t>
  </si>
  <si>
    <t>Sum of Calliphoridae</t>
  </si>
  <si>
    <t>Sum of Conopidae</t>
  </si>
  <si>
    <t>Sum of Cecidomyiidae</t>
  </si>
  <si>
    <t>Sum of Culicidae</t>
  </si>
  <si>
    <t>Sum of Dolichopodidae</t>
  </si>
  <si>
    <t xml:space="preserve">Sum of Drosophilidae </t>
  </si>
  <si>
    <t>Sum of Empididae</t>
  </si>
  <si>
    <t>Sum of Lonchaeidae</t>
  </si>
  <si>
    <t>Sum of Muscidae</t>
  </si>
  <si>
    <t>Sum of Polleniidae</t>
  </si>
  <si>
    <t>Sum of Syrphidae (total)</t>
  </si>
  <si>
    <t>Sum of Allograpta</t>
  </si>
  <si>
    <t>Sum of Helophilus</t>
  </si>
  <si>
    <t>Sum of Ocyptamus</t>
  </si>
  <si>
    <t>Sum of Orthonevra</t>
  </si>
  <si>
    <t>Sum of Parhelophilus</t>
  </si>
  <si>
    <t>Sum of Parhelophilus integer</t>
  </si>
  <si>
    <t>Sum of Syrphidae</t>
  </si>
  <si>
    <t>Sum of Syrphini</t>
  </si>
  <si>
    <t>Sum of Syrphus</t>
  </si>
  <si>
    <t>Sum of Toxomerus</t>
  </si>
  <si>
    <t>Sum of Tachinidae</t>
  </si>
  <si>
    <t>Sum of Tipulidae</t>
  </si>
  <si>
    <t>Sum of Ulidiidae</t>
  </si>
  <si>
    <t>Sum of Hemiptera</t>
  </si>
  <si>
    <t>Sum of Aphidinae</t>
  </si>
  <si>
    <t>Sum of Cicadellidae</t>
  </si>
  <si>
    <t>Sum of Miridae</t>
  </si>
  <si>
    <t>Sum of Reduviidae</t>
  </si>
  <si>
    <t>Sum of Hymenoptera</t>
  </si>
  <si>
    <t>Sum of Andrena</t>
  </si>
  <si>
    <t xml:space="preserve">Sum of Pseudopanurgus </t>
  </si>
  <si>
    <t>Sum of Apis</t>
  </si>
  <si>
    <t>Sum of Ceratina</t>
  </si>
  <si>
    <t>Sum of Melissodes</t>
  </si>
  <si>
    <t>Sum of Triepeolus</t>
  </si>
  <si>
    <t>Sum of Astata</t>
  </si>
  <si>
    <t>Sum of Elampus</t>
  </si>
  <si>
    <t>Sum of Hylaeus</t>
  </si>
  <si>
    <t>Sum of Oxybelus</t>
  </si>
  <si>
    <t xml:space="preserve">Sum of Halictidae </t>
  </si>
  <si>
    <t xml:space="preserve">Sum of Agapostemon </t>
  </si>
  <si>
    <t>Sum of Augochloropsis</t>
  </si>
  <si>
    <t>Sum of Augochlora OR Augochlorella</t>
  </si>
  <si>
    <t>Sum of Augochlora</t>
  </si>
  <si>
    <t>Sum of Augochlorella</t>
  </si>
  <si>
    <t>Sum of Halictus</t>
  </si>
  <si>
    <t>Sum of Lasioglossum</t>
  </si>
  <si>
    <t>Sum of Symmorphus</t>
  </si>
  <si>
    <t>Sum of Eurytoma</t>
  </si>
  <si>
    <t>Sum of Braconidae</t>
  </si>
  <si>
    <t>Sum of Ichneumonidae</t>
  </si>
  <si>
    <t>Sum of Scolia</t>
  </si>
  <si>
    <t>Sum of Sphex pensylvanicus</t>
  </si>
  <si>
    <t>Sum of Vespidae</t>
  </si>
  <si>
    <t xml:space="preserve">Sum of Ancistrocerus </t>
  </si>
  <si>
    <t>Sum of Dolichovespula</t>
  </si>
  <si>
    <t>Sum of Polistes</t>
  </si>
  <si>
    <t xml:space="preserve">Sum of Hesperiidae </t>
  </si>
  <si>
    <t>Sum of Limniphilidae</t>
  </si>
  <si>
    <t>Tag number</t>
  </si>
  <si>
    <t>This is from the zero and one vacuumed cleaned richness page in Final Combined Dataset 3.xlsx</t>
  </si>
  <si>
    <t>We realized that though we could account for multiple individual plants of the same cultivar for abundance and diversity, richness doesn't work because plants with  more individuals will have an unfair advantage.</t>
  </si>
  <si>
    <t xml:space="preserve"> So I picked the most rigorous of each cultivar and removed duplicates so taht each cultivar was only shown by one plant </t>
  </si>
  <si>
    <t>"Tracking duplicates sheet" tracks which individual plants were picked to represent</t>
  </si>
  <si>
    <t xml:space="preserve">"Raw data duplicates removed"  is the same raw data used originally for richness, but in this case we removed duplicate cultivars </t>
  </si>
  <si>
    <t>"pivot table" is the pivot table of the raw data duplicates removed by individual plant (each representing one cultivar)</t>
  </si>
  <si>
    <t xml:space="preserve">"pivto table values" is the same pivot table but copied and pasted as values </t>
  </si>
  <si>
    <t>"present absent pivot table" is the pivot table converted into presence and absence instead of numbers using the "pivot table values" sheet</t>
  </si>
  <si>
    <t xml:space="preserve">I also summed the number of unique types of species or genera per plant in a column to get richness for that plant during htat season </t>
  </si>
  <si>
    <t>Vlookup</t>
  </si>
  <si>
    <t xml:space="preserve">base info on cultivar tags and details so that I can call in those details in the "present absent pivot table" </t>
  </si>
  <si>
    <t># Bed</t>
  </si>
  <si>
    <t># Tag</t>
  </si>
  <si>
    <t>Trademark/Cultivar</t>
  </si>
  <si>
    <t>Ascension Number</t>
  </si>
  <si>
    <t>UW-Arboretum – LHG – Hydrangea paniculata</t>
  </si>
  <si>
    <t>Duplicates removed</t>
  </si>
  <si>
    <t>18031B</t>
  </si>
  <si>
    <t>Yes</t>
  </si>
  <si>
    <t>White Diamonds®</t>
  </si>
  <si>
    <r>
      <t>Honey Comb</t>
    </r>
    <r>
      <rPr>
        <vertAlign val="superscript"/>
        <sz val="11"/>
        <color rgb="FF000000"/>
        <rFont val="Times New Roman"/>
        <family val="1"/>
      </rPr>
      <t>TM</t>
    </r>
  </si>
  <si>
    <t>10A</t>
  </si>
  <si>
    <t>Pinky Winky®</t>
  </si>
  <si>
    <t xml:space="preserve">removed </t>
  </si>
  <si>
    <t>11A</t>
  </si>
  <si>
    <t>1B</t>
  </si>
  <si>
    <t>Gone</t>
  </si>
  <si>
    <t>2B</t>
  </si>
  <si>
    <t>removed</t>
  </si>
  <si>
    <t>3B</t>
  </si>
  <si>
    <t>4B</t>
  </si>
  <si>
    <t>Removed/Gone</t>
  </si>
  <si>
    <t>6B</t>
  </si>
  <si>
    <t>Removed</t>
  </si>
  <si>
    <t>7B</t>
  </si>
  <si>
    <t>Unique</t>
  </si>
  <si>
    <t>8B</t>
  </si>
  <si>
    <t>10B</t>
  </si>
  <si>
    <t>11B</t>
  </si>
  <si>
    <t>12B</t>
  </si>
  <si>
    <t>14B</t>
  </si>
  <si>
    <t>Mega Mindy</t>
  </si>
  <si>
    <t>17B</t>
  </si>
  <si>
    <t>18B</t>
  </si>
  <si>
    <t>19B</t>
  </si>
  <si>
    <t>20B</t>
  </si>
  <si>
    <t>21B</t>
  </si>
  <si>
    <r>
      <t>Great Star</t>
    </r>
    <r>
      <rPr>
        <vertAlign val="superscript"/>
        <sz val="11"/>
        <color rgb="FF000000"/>
        <rFont val="Times New Roman"/>
        <family val="1"/>
      </rPr>
      <t>TM</t>
    </r>
  </si>
  <si>
    <t>23B</t>
  </si>
  <si>
    <t>No tag</t>
  </si>
  <si>
    <t>24B</t>
  </si>
  <si>
    <t>25B</t>
  </si>
  <si>
    <t>2023-026B</t>
  </si>
  <si>
    <t>Angel’s Blush</t>
  </si>
  <si>
    <t>2C</t>
  </si>
  <si>
    <t>3C</t>
  </si>
  <si>
    <t>5C</t>
  </si>
  <si>
    <t>6C</t>
  </si>
  <si>
    <t>7C</t>
  </si>
  <si>
    <t>8C</t>
  </si>
  <si>
    <t>18031A</t>
  </si>
  <si>
    <t>Missed</t>
  </si>
  <si>
    <t>87273-c</t>
  </si>
  <si>
    <t>18008B</t>
  </si>
  <si>
    <t>14C</t>
  </si>
  <si>
    <t>18008A</t>
  </si>
  <si>
    <t>15C</t>
  </si>
  <si>
    <t>ST</t>
  </si>
  <si>
    <t>87273-0</t>
  </si>
  <si>
    <t>Lime Light</t>
  </si>
  <si>
    <t>9D</t>
  </si>
  <si>
    <t>White Moth</t>
  </si>
  <si>
    <t>ST2</t>
  </si>
  <si>
    <t>14D</t>
  </si>
  <si>
    <t>Late</t>
  </si>
  <si>
    <t>93-78074C</t>
  </si>
  <si>
    <t>15D</t>
  </si>
  <si>
    <t>12031B</t>
  </si>
  <si>
    <t>2023-030</t>
  </si>
  <si>
    <t>2023-026A</t>
  </si>
  <si>
    <t>21D</t>
  </si>
  <si>
    <t>20012A</t>
  </si>
  <si>
    <t>UW-Arboretum – LHG – Hydrangea arborescens</t>
  </si>
  <si>
    <t>1E and 2E</t>
  </si>
  <si>
    <t>Invincibelle® Spirit II</t>
  </si>
  <si>
    <t>7E</t>
  </si>
  <si>
    <t>Invincibelle Wee White®</t>
  </si>
  <si>
    <t>8E</t>
  </si>
  <si>
    <t>9E</t>
  </si>
  <si>
    <t>INCREDIBALL™</t>
  </si>
  <si>
    <t>10E</t>
  </si>
  <si>
    <t>Seaside Serenade® Bar Harbor</t>
  </si>
  <si>
    <t>19008B</t>
  </si>
  <si>
    <t>Invincibelle Mini Mauvette™</t>
  </si>
  <si>
    <t>Unknown</t>
  </si>
  <si>
    <t>3F</t>
  </si>
  <si>
    <t>LIME RICKEY™</t>
  </si>
  <si>
    <t>BELLA ANNA™</t>
  </si>
  <si>
    <t>7F</t>
  </si>
  <si>
    <t>8F</t>
  </si>
  <si>
    <t>10F</t>
  </si>
  <si>
    <t>Incrediball® Blush</t>
  </si>
  <si>
    <t>Invincibelle® Ruby</t>
  </si>
  <si>
    <t>WHITE DOME™</t>
  </si>
  <si>
    <t>Sheets Explained</t>
  </si>
  <si>
    <t>"Keeping Track" keeps track of which individual plants were selected to be examples. When I had multiple plants in the same cultivar, I picked the healthiest-seeming one</t>
  </si>
  <si>
    <t>Angel's Blush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</si>
</sst>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10"/>
      <color rgb="FF000000"/>
      <name val="Arial"/>
      <family val="2"/>
    </font>
    <font>
      <vertAlign val="superscript"/>
      <sz val="11"/>
      <color rgb="FF00000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14" fontId="19"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izabeth" refreshedDate="45901.560005324071" createdVersion="8" refreshedVersion="8" minRefreshableVersion="3" recordCount="152" xr:uid="{58E027FC-C57D-4465-AD9F-CB83873D70D9}">
  <cacheSource type="worksheet">
    <worksheetSource ref="A1:BY1048576" sheet="Raw Data duplicates removed"/>
  </cacheSource>
  <cacheFields count="77">
    <cacheField name="Date" numFmtId="0">
      <sharedItems containsNonDate="0" containsDate="1" containsString="0" containsBlank="1" minDate="2024-07-03T00:00:00" maxDate="2024-08-22T00:00:00"/>
    </cacheField>
    <cacheField name="jday" numFmtId="0">
      <sharedItems containsString="0" containsBlank="1" containsNumber="1" containsInteger="1" minValue="185" maxValue="234"/>
    </cacheField>
    <cacheField name="Tag Number" numFmtId="0">
      <sharedItems containsBlank="1" count="58">
        <s v="10C"/>
        <s v="10D"/>
        <s v="11C"/>
        <s v="11D"/>
        <s v="11E"/>
        <s v="11F"/>
        <s v="12A"/>
        <s v="12C"/>
        <s v="12D"/>
        <s v="12E"/>
        <s v="12F"/>
        <s v="13B"/>
        <s v="13C"/>
        <s v="13D"/>
        <s v="15B"/>
        <s v="16B"/>
        <s v="16C"/>
        <s v="16D"/>
        <s v="17D"/>
        <s v="18D"/>
        <s v="19D"/>
        <s v="1A"/>
        <s v="1C"/>
        <s v="1D"/>
        <s v="20D"/>
        <s v="22B"/>
        <s v="26B"/>
        <s v="27B"/>
        <s v="2A"/>
        <s v="2D"/>
        <s v="2F"/>
        <s v="3A"/>
        <s v="3D"/>
        <s v="3E"/>
        <s v="4A"/>
        <s v="4C"/>
        <s v="4D"/>
        <s v="4E"/>
        <s v="4F"/>
        <s v="5A"/>
        <s v="5B"/>
        <s v="5D"/>
        <s v="5E"/>
        <s v="5F"/>
        <s v="6A"/>
        <s v="6D"/>
        <s v="6E"/>
        <s v="6F"/>
        <s v="7A"/>
        <s v="7D"/>
        <s v="8A"/>
        <s v="8D"/>
        <s v="9A"/>
        <s v="9B"/>
        <s v="9C"/>
        <s v="9F"/>
        <s v="B8"/>
        <m/>
      </sharedItems>
    </cacheField>
    <cacheField name="Who Collected" numFmtId="0">
      <sharedItems containsBlank="1" count="5">
        <s v="E. Braatz"/>
        <s v="J. Goldsby"/>
        <s v="G. Meneses"/>
        <s v="E. Braatz + J. Goldsby"/>
        <m/>
      </sharedItems>
    </cacheField>
    <cacheField name="Dendryphantini (jumping spiders)" numFmtId="0">
      <sharedItems containsString="0" containsBlank="1" containsNumber="1" containsInteger="1" minValue="0" maxValue="1"/>
    </cacheField>
    <cacheField name="Thomisidae" numFmtId="0">
      <sharedItems containsString="0" containsBlank="1" containsNumber="1" containsInteger="1" minValue="0" maxValue="2"/>
    </cacheField>
    <cacheField name="Chauliognathus" numFmtId="0">
      <sharedItems containsString="0" containsBlank="1" containsNumber="1" containsInteger="1" minValue="0" maxValue="3"/>
    </cacheField>
    <cacheField name="Cerambycidae" numFmtId="0">
      <sharedItems containsString="0" containsBlank="1" containsNumber="1" containsInteger="1" minValue="0" maxValue="2"/>
    </cacheField>
    <cacheField name="Chrysomelidae" numFmtId="0">
      <sharedItems containsString="0" containsBlank="1" containsNumber="1" containsInteger="1" minValue="0" maxValue="1"/>
    </cacheField>
    <cacheField name="Curculionidae " numFmtId="0">
      <sharedItems containsString="0" containsBlank="1" containsNumber="1" containsInteger="1" minValue="0" maxValue="1"/>
    </cacheField>
    <cacheField name="Lampyridae" numFmtId="0">
      <sharedItems containsString="0" containsBlank="1" containsNumber="1" containsInteger="1" minValue="0" maxValue="1"/>
    </cacheField>
    <cacheField name="Mordellidae" numFmtId="0">
      <sharedItems containsString="0" containsBlank="1" containsNumber="1" containsInteger="1" minValue="0" maxValue="4"/>
    </cacheField>
    <cacheField name="Scarabaeoidea" numFmtId="0">
      <sharedItems containsString="0" containsBlank="1" containsNumber="1" containsInteger="1" minValue="0" maxValue="1"/>
    </cacheField>
    <cacheField name="Diptera" numFmtId="0">
      <sharedItems containsString="0" containsBlank="1" containsNumber="1" containsInteger="1" minValue="0" maxValue="1"/>
    </cacheField>
    <cacheField name="Anthomyiidae" numFmtId="0">
      <sharedItems containsString="0" containsBlank="1" containsNumber="1" containsInteger="1" minValue="0" maxValue="0"/>
    </cacheField>
    <cacheField name="Bombyliidae" numFmtId="0">
      <sharedItems containsString="0" containsBlank="1" containsNumber="1" containsInteger="1" minValue="0" maxValue="1"/>
    </cacheField>
    <cacheField name="Calliphoridae" numFmtId="0">
      <sharedItems containsString="0" containsBlank="1" containsNumber="1" containsInteger="1" minValue="0" maxValue="3"/>
    </cacheField>
    <cacheField name="Conopidae" numFmtId="0">
      <sharedItems containsString="0" containsBlank="1" containsNumber="1" containsInteger="1" minValue="0" maxValue="2"/>
    </cacheField>
    <cacheField name="Cecidomyiidae" numFmtId="0">
      <sharedItems containsString="0" containsBlank="1" containsNumber="1" containsInteger="1" minValue="0" maxValue="0"/>
    </cacheField>
    <cacheField name="Culicidae" numFmtId="0">
      <sharedItems containsString="0" containsBlank="1" containsNumber="1" containsInteger="1" minValue="0" maxValue="1"/>
    </cacheField>
    <cacheField name="Dolichopodidae" numFmtId="0">
      <sharedItems containsString="0" containsBlank="1" containsNumber="1" containsInteger="1" minValue="0" maxValue="2"/>
    </cacheField>
    <cacheField name="Drosophilidae " numFmtId="0">
      <sharedItems containsString="0" containsBlank="1" containsNumber="1" containsInteger="1" minValue="0" maxValue="2"/>
    </cacheField>
    <cacheField name="Empididae" numFmtId="0">
      <sharedItems containsString="0" containsBlank="1" containsNumber="1" containsInteger="1" minValue="0" maxValue="1"/>
    </cacheField>
    <cacheField name="Lonchaeidae" numFmtId="0">
      <sharedItems containsString="0" containsBlank="1" containsNumber="1" containsInteger="1" minValue="0" maxValue="1"/>
    </cacheField>
    <cacheField name="Muscidae" numFmtId="0">
      <sharedItems containsString="0" containsBlank="1" containsNumber="1" containsInteger="1" minValue="0" maxValue="3"/>
    </cacheField>
    <cacheField name="Polleniidae" numFmtId="0">
      <sharedItems containsString="0" containsBlank="1" containsNumber="1" containsInteger="1" minValue="0" maxValue="1"/>
    </cacheField>
    <cacheField name="Syrphidae (total)" numFmtId="0">
      <sharedItems containsString="0" containsBlank="1" containsNumber="1" containsInteger="1" minValue="0" maxValue="5"/>
    </cacheField>
    <cacheField name="Allograpta" numFmtId="0">
      <sharedItems containsString="0" containsBlank="1" containsNumber="1" containsInteger="1" minValue="0" maxValue="1"/>
    </cacheField>
    <cacheField name="Helophilus" numFmtId="0">
      <sharedItems containsString="0" containsBlank="1" containsNumber="1" containsInteger="1" minValue="0" maxValue="2"/>
    </cacheField>
    <cacheField name="Ocyptamus" numFmtId="0">
      <sharedItems containsString="0" containsBlank="1" containsNumber="1" containsInteger="1" minValue="0" maxValue="1"/>
    </cacheField>
    <cacheField name="Orthonevra" numFmtId="0">
      <sharedItems containsString="0" containsBlank="1" containsNumber="1" containsInteger="1" minValue="0" maxValue="1"/>
    </cacheField>
    <cacheField name="Parhelophilus" numFmtId="0">
      <sharedItems containsString="0" containsBlank="1" containsNumber="1" containsInteger="1" minValue="0" maxValue="2"/>
    </cacheField>
    <cacheField name="Parhelophilus integer" numFmtId="0">
      <sharedItems containsString="0" containsBlank="1" containsNumber="1" containsInteger="1" minValue="0" maxValue="1"/>
    </cacheField>
    <cacheField name="Syrphidae" numFmtId="0">
      <sharedItems containsString="0" containsBlank="1" containsNumber="1" containsInteger="1" minValue="0" maxValue="3"/>
    </cacheField>
    <cacheField name="Syrphini" numFmtId="0">
      <sharedItems containsString="0" containsBlank="1" containsNumber="1" containsInteger="1" minValue="0" maxValue="1"/>
    </cacheField>
    <cacheField name="Syrphus" numFmtId="0">
      <sharedItems containsString="0" containsBlank="1" containsNumber="1" containsInteger="1" minValue="0" maxValue="2"/>
    </cacheField>
    <cacheField name="Toxomerus" numFmtId="0">
      <sharedItems containsString="0" containsBlank="1" containsNumber="1" containsInteger="1" minValue="0" maxValue="4"/>
    </cacheField>
    <cacheField name="Tachinidae" numFmtId="0">
      <sharedItems containsString="0" containsBlank="1" containsNumber="1" containsInteger="1" minValue="0" maxValue="5"/>
    </cacheField>
    <cacheField name="Tipulidae" numFmtId="0">
      <sharedItems containsString="0" containsBlank="1" containsNumber="1" containsInteger="1" minValue="0" maxValue="1"/>
    </cacheField>
    <cacheField name="Ulidiidae" numFmtId="0">
      <sharedItems containsString="0" containsBlank="1" containsNumber="1" containsInteger="1" minValue="0" maxValue="1"/>
    </cacheField>
    <cacheField name="Hemiptera" numFmtId="0">
      <sharedItems containsString="0" containsBlank="1" containsNumber="1" containsInteger="1" minValue="0" maxValue="0"/>
    </cacheField>
    <cacheField name="Aphidinae" numFmtId="0">
      <sharedItems containsString="0" containsBlank="1" containsNumber="1" containsInteger="1" minValue="0" maxValue="1"/>
    </cacheField>
    <cacheField name="Cicadellidae" numFmtId="0">
      <sharedItems containsString="0" containsBlank="1" containsNumber="1" containsInteger="1" minValue="0" maxValue="1"/>
    </cacheField>
    <cacheField name="Miridae" numFmtId="0">
      <sharedItems containsString="0" containsBlank="1" containsNumber="1" containsInteger="1" minValue="0" maxValue="1"/>
    </cacheField>
    <cacheField name="Reduviidae" numFmtId="0">
      <sharedItems containsString="0" containsBlank="1" containsNumber="1" containsInteger="1" minValue="0" maxValue="1"/>
    </cacheField>
    <cacheField name="Hymenoptera" numFmtId="0">
      <sharedItems containsString="0" containsBlank="1" containsNumber="1" containsInteger="1" minValue="0" maxValue="0"/>
    </cacheField>
    <cacheField name="Andrena" numFmtId="0">
      <sharedItems containsString="0" containsBlank="1" containsNumber="1" containsInteger="1" minValue="0" maxValue="1"/>
    </cacheField>
    <cacheField name="Pseudopanurgus " numFmtId="0">
      <sharedItems containsString="0" containsBlank="1" containsNumber="1" containsInteger="1" minValue="0" maxValue="2"/>
    </cacheField>
    <cacheField name="Apis" numFmtId="0">
      <sharedItems containsString="0" containsBlank="1" containsNumber="1" containsInteger="1" minValue="0" maxValue="1"/>
    </cacheField>
    <cacheField name="Ceratina" numFmtId="0">
      <sharedItems containsString="0" containsBlank="1" containsNumber="1" containsInteger="1" minValue="0" maxValue="3"/>
    </cacheField>
    <cacheField name="Melissodes" numFmtId="0">
      <sharedItems containsString="0" containsBlank="1" containsNumber="1" containsInteger="1" minValue="0" maxValue="1"/>
    </cacheField>
    <cacheField name="Triepeolus" numFmtId="0">
      <sharedItems containsString="0" containsBlank="1" containsNumber="1" containsInteger="1" minValue="0" maxValue="1"/>
    </cacheField>
    <cacheField name="Astata" numFmtId="0">
      <sharedItems containsString="0" containsBlank="1" containsNumber="1" containsInteger="1" minValue="0" maxValue="1"/>
    </cacheField>
    <cacheField name="Elampus" numFmtId="0">
      <sharedItems containsString="0" containsBlank="1" containsNumber="1" containsInteger="1" minValue="0" maxValue="0"/>
    </cacheField>
    <cacheField name="Hylaeus" numFmtId="0">
      <sharedItems containsString="0" containsBlank="1" containsNumber="1" containsInteger="1" minValue="0" maxValue="3"/>
    </cacheField>
    <cacheField name="Oxybelus" numFmtId="0">
      <sharedItems containsString="0" containsBlank="1" containsNumber="1" containsInteger="1" minValue="0" maxValue="0"/>
    </cacheField>
    <cacheField name="Halictidae " numFmtId="0">
      <sharedItems containsString="0" containsBlank="1" containsNumber="1" containsInteger="1" minValue="0" maxValue="1"/>
    </cacheField>
    <cacheField name="Agapostemon " numFmtId="0">
      <sharedItems containsString="0" containsBlank="1" containsNumber="1" containsInteger="1" minValue="0" maxValue="1"/>
    </cacheField>
    <cacheField name="Augochloropsis" numFmtId="0">
      <sharedItems containsString="0" containsBlank="1" containsNumber="1" containsInteger="1" minValue="0" maxValue="1"/>
    </cacheField>
    <cacheField name="Augochlora OR Augochlorella" numFmtId="0">
      <sharedItems containsString="0" containsBlank="1" containsNumber="1" containsInteger="1" minValue="0" maxValue="1"/>
    </cacheField>
    <cacheField name="Augochlora" numFmtId="0">
      <sharedItems containsString="0" containsBlank="1" containsNumber="1" containsInteger="1" minValue="0" maxValue="8"/>
    </cacheField>
    <cacheField name="Augochlorella" numFmtId="0">
      <sharedItems containsString="0" containsBlank="1" containsNumber="1" containsInteger="1" minValue="0" maxValue="1"/>
    </cacheField>
    <cacheField name="Halictus" numFmtId="0">
      <sharedItems containsString="0" containsBlank="1" containsNumber="1" containsInteger="1" minValue="0" maxValue="7"/>
    </cacheField>
    <cacheField name="Lasioglossum" numFmtId="0">
      <sharedItems containsString="0" containsBlank="1" containsNumber="1" containsInteger="1" minValue="0" maxValue="28"/>
    </cacheField>
    <cacheField name="Symmorphus" numFmtId="0">
      <sharedItems containsString="0" containsBlank="1" containsNumber="1" containsInteger="1" minValue="0" maxValue="1"/>
    </cacheField>
    <cacheField name="Eurytoma" numFmtId="0">
      <sharedItems containsString="0" containsBlank="1" containsNumber="1" containsInteger="1" minValue="0" maxValue="1"/>
    </cacheField>
    <cacheField name="Formicidae" numFmtId="0">
      <sharedItems containsString="0" containsBlank="1" containsNumber="1" containsInteger="1" minValue="0" maxValue="0"/>
    </cacheField>
    <cacheField name="Braconidae" numFmtId="0">
      <sharedItems containsString="0" containsBlank="1" containsNumber="1" containsInteger="1" minValue="0" maxValue="1"/>
    </cacheField>
    <cacheField name="Ichneumonidae" numFmtId="0">
      <sharedItems containsString="0" containsBlank="1" containsNumber="1" containsInteger="1" minValue="0" maxValue="1"/>
    </cacheField>
    <cacheField name="Scolia" numFmtId="0">
      <sharedItems containsString="0" containsBlank="1" containsNumber="1" containsInteger="1" minValue="0" maxValue="0"/>
    </cacheField>
    <cacheField name="Sphex pensylvanicus" numFmtId="0">
      <sharedItems containsString="0" containsBlank="1" containsNumber="1" containsInteger="1" minValue="0" maxValue="1"/>
    </cacheField>
    <cacheField name="Vespidae" numFmtId="0">
      <sharedItems containsString="0" containsBlank="1" containsNumber="1" containsInteger="1" minValue="0" maxValue="3"/>
    </cacheField>
    <cacheField name="Ancistrocerus " numFmtId="0">
      <sharedItems containsString="0" containsBlank="1" containsNumber="1" containsInteger="1" minValue="0" maxValue="0"/>
    </cacheField>
    <cacheField name="Dolichovespula" numFmtId="0">
      <sharedItems containsString="0" containsBlank="1" containsNumber="1" containsInteger="1" minValue="0" maxValue="1"/>
    </cacheField>
    <cacheField name="Polistes" numFmtId="0">
      <sharedItems containsString="0" containsBlank="1" containsNumber="1" containsInteger="1" minValue="0" maxValue="1"/>
    </cacheField>
    <cacheField name="Hesperiidae " numFmtId="0">
      <sharedItems containsString="0" containsBlank="1" containsNumber="1" containsInteger="1" minValue="0" maxValue="1"/>
    </cacheField>
    <cacheField name="Limniphilidae"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2">
  <r>
    <d v="2024-07-17T00:00:00"/>
    <n v="199"/>
    <x v="0"/>
    <x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r>
  <r>
    <d v="2024-07-29T00:00:00"/>
    <n v="211"/>
    <x v="0"/>
    <x v="0"/>
    <n v="0"/>
    <n v="0"/>
    <n v="0"/>
    <n v="0"/>
    <n v="0"/>
    <n v="0"/>
    <n v="0"/>
    <n v="0"/>
    <n v="0"/>
    <n v="0"/>
    <n v="0"/>
    <n v="0"/>
    <n v="0"/>
    <n v="0"/>
    <n v="0"/>
    <n v="0"/>
    <n v="0"/>
    <n v="0"/>
    <n v="0"/>
    <n v="0"/>
    <n v="0"/>
    <n v="0"/>
    <n v="0"/>
    <n v="0"/>
    <n v="0"/>
    <n v="0"/>
    <n v="0"/>
    <n v="0"/>
    <n v="0"/>
    <n v="0"/>
    <n v="0"/>
    <n v="0"/>
    <n v="0"/>
    <n v="2"/>
    <n v="0"/>
    <n v="0"/>
    <n v="0"/>
    <n v="1"/>
    <n v="0"/>
    <n v="0"/>
    <n v="0"/>
    <n v="0"/>
    <n v="0"/>
    <n v="0"/>
    <n v="0"/>
    <n v="0"/>
    <n v="0"/>
    <n v="0"/>
    <n v="0"/>
    <n v="0"/>
    <n v="0"/>
    <n v="0"/>
    <n v="0"/>
    <n v="0"/>
    <n v="0"/>
    <n v="0"/>
    <n v="0"/>
    <n v="0"/>
    <n v="0"/>
    <n v="1"/>
    <n v="0"/>
    <n v="0"/>
    <n v="0"/>
    <n v="0"/>
    <n v="0"/>
    <n v="0"/>
    <n v="0"/>
    <n v="0"/>
    <n v="0"/>
    <n v="0"/>
    <n v="0"/>
    <n v="0"/>
    <n v="0"/>
  </r>
  <r>
    <d v="2024-08-08T00:00:00"/>
    <n v="221"/>
    <x v="0"/>
    <x v="1"/>
    <n v="0"/>
    <n v="0"/>
    <n v="0"/>
    <n v="0"/>
    <n v="0"/>
    <n v="0"/>
    <n v="0"/>
    <n v="0"/>
    <n v="0"/>
    <n v="0"/>
    <n v="0"/>
    <n v="0"/>
    <n v="0"/>
    <n v="0"/>
    <n v="0"/>
    <n v="0"/>
    <n v="0"/>
    <n v="0"/>
    <n v="0"/>
    <n v="0"/>
    <n v="0"/>
    <n v="0"/>
    <n v="1"/>
    <n v="0"/>
    <n v="0"/>
    <n v="0"/>
    <n v="0"/>
    <n v="0"/>
    <n v="1"/>
    <n v="0"/>
    <n v="0"/>
    <n v="0"/>
    <n v="0"/>
    <n v="0"/>
    <n v="0"/>
    <n v="0"/>
    <n v="0"/>
    <n v="0"/>
    <n v="0"/>
    <n v="0"/>
    <n v="0"/>
    <n v="0"/>
    <n v="0"/>
    <n v="0"/>
    <n v="0"/>
    <n v="0"/>
    <n v="0"/>
    <n v="0"/>
    <n v="0"/>
    <n v="0"/>
    <n v="0"/>
    <n v="0"/>
    <n v="0"/>
    <n v="0"/>
    <n v="0"/>
    <n v="0"/>
    <n v="0"/>
    <n v="0"/>
    <n v="0"/>
    <n v="0"/>
    <n v="0"/>
    <n v="0"/>
    <n v="0"/>
    <n v="0"/>
    <n v="0"/>
    <n v="0"/>
    <n v="0"/>
    <n v="0"/>
    <n v="0"/>
    <n v="0"/>
    <n v="0"/>
    <n v="0"/>
    <n v="0"/>
  </r>
  <r>
    <d v="2024-07-17T00:00:00"/>
    <n v="199"/>
    <x v="1"/>
    <x v="0"/>
    <n v="0"/>
    <n v="0"/>
    <n v="0"/>
    <n v="0"/>
    <n v="0"/>
    <n v="0"/>
    <n v="0"/>
    <n v="0"/>
    <n v="0"/>
    <n v="0"/>
    <n v="0"/>
    <n v="0"/>
    <n v="0"/>
    <n v="0"/>
    <n v="0"/>
    <n v="0"/>
    <n v="0"/>
    <n v="0"/>
    <n v="0"/>
    <n v="0"/>
    <n v="0"/>
    <n v="0"/>
    <n v="1"/>
    <n v="0"/>
    <n v="0"/>
    <n v="0"/>
    <n v="0"/>
    <n v="0"/>
    <n v="0"/>
    <n v="0"/>
    <n v="0"/>
    <n v="0"/>
    <n v="1"/>
    <n v="0"/>
    <n v="0"/>
    <n v="0"/>
    <n v="0"/>
    <n v="0"/>
    <n v="0"/>
    <n v="0"/>
    <n v="0"/>
    <n v="0"/>
    <n v="0"/>
    <n v="0"/>
    <n v="0"/>
    <n v="0"/>
    <n v="0"/>
    <n v="0"/>
    <n v="0"/>
    <n v="0"/>
    <n v="0"/>
    <n v="0"/>
    <n v="0"/>
    <n v="0"/>
    <n v="0"/>
    <n v="0"/>
    <n v="0"/>
    <n v="0"/>
    <n v="0"/>
    <n v="1"/>
    <n v="0"/>
    <n v="0"/>
    <n v="0"/>
    <n v="0"/>
    <n v="0"/>
    <n v="0"/>
    <n v="0"/>
    <n v="0"/>
    <n v="0"/>
    <n v="0"/>
    <n v="0"/>
    <n v="0"/>
    <n v="0"/>
  </r>
  <r>
    <d v="2024-07-17T00:00:00"/>
    <n v="199"/>
    <x v="1"/>
    <x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r>
  <r>
    <d v="2024-08-08T00:00:00"/>
    <n v="221"/>
    <x v="1"/>
    <x v="1"/>
    <n v="0"/>
    <n v="0"/>
    <n v="0"/>
    <n v="0"/>
    <n v="0"/>
    <n v="0"/>
    <n v="0"/>
    <n v="0"/>
    <n v="0"/>
    <n v="0"/>
    <n v="0"/>
    <n v="0"/>
    <n v="0"/>
    <n v="0"/>
    <n v="0"/>
    <n v="0"/>
    <n v="0"/>
    <n v="0"/>
    <n v="0"/>
    <n v="0"/>
    <n v="0"/>
    <n v="0"/>
    <n v="2"/>
    <n v="0"/>
    <n v="0"/>
    <n v="0"/>
    <n v="0"/>
    <n v="2"/>
    <n v="0"/>
    <n v="0"/>
    <n v="0"/>
    <n v="0"/>
    <n v="0"/>
    <n v="0"/>
    <n v="0"/>
    <n v="0"/>
    <n v="0"/>
    <n v="0"/>
    <n v="0"/>
    <n v="0"/>
    <n v="0"/>
    <n v="0"/>
    <n v="0"/>
    <n v="0"/>
    <n v="0"/>
    <n v="0"/>
    <n v="0"/>
    <n v="0"/>
    <n v="0"/>
    <n v="0"/>
    <n v="1"/>
    <n v="0"/>
    <n v="0"/>
    <n v="0"/>
    <n v="0"/>
    <n v="0"/>
    <n v="1"/>
    <n v="0"/>
    <n v="0"/>
    <n v="0"/>
    <n v="0"/>
    <n v="0"/>
    <n v="0"/>
    <n v="0"/>
    <n v="0"/>
    <n v="0"/>
    <n v="0"/>
    <n v="0"/>
    <n v="0"/>
    <n v="0"/>
    <n v="0"/>
    <n v="0"/>
    <n v="0"/>
  </r>
  <r>
    <d v="2024-07-17T00:00:00"/>
    <n v="199"/>
    <x v="2"/>
    <x v="0"/>
    <n v="0"/>
    <n v="0"/>
    <n v="0"/>
    <n v="0"/>
    <n v="0"/>
    <n v="0"/>
    <n v="0"/>
    <n v="0"/>
    <n v="0"/>
    <n v="0"/>
    <n v="0"/>
    <n v="0"/>
    <n v="0"/>
    <n v="0"/>
    <n v="0"/>
    <n v="0"/>
    <n v="0"/>
    <n v="0"/>
    <n v="0"/>
    <n v="0"/>
    <n v="0"/>
    <n v="0"/>
    <n v="0"/>
    <n v="0"/>
    <n v="0"/>
    <n v="0"/>
    <n v="0"/>
    <n v="0"/>
    <n v="0"/>
    <n v="0"/>
    <n v="0"/>
    <n v="0"/>
    <n v="0"/>
    <n v="3"/>
    <n v="0"/>
    <n v="0"/>
    <n v="0"/>
    <n v="0"/>
    <n v="0"/>
    <n v="0"/>
    <n v="0"/>
    <n v="0"/>
    <n v="0"/>
    <n v="0"/>
    <n v="0"/>
    <n v="0"/>
    <n v="0"/>
    <n v="0"/>
    <n v="0"/>
    <n v="0"/>
    <n v="0"/>
    <n v="0"/>
    <n v="0"/>
    <n v="0"/>
    <n v="0"/>
    <n v="0"/>
    <n v="0"/>
    <n v="0"/>
    <n v="1"/>
    <n v="2"/>
    <n v="0"/>
    <n v="0"/>
    <n v="0"/>
    <n v="0"/>
    <n v="0"/>
    <n v="0"/>
    <n v="0"/>
    <n v="0"/>
    <n v="0"/>
    <n v="0"/>
    <n v="0"/>
    <n v="0"/>
    <n v="0"/>
  </r>
  <r>
    <d v="2024-07-26T00:00:00"/>
    <n v="208"/>
    <x v="2"/>
    <x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r>
  <r>
    <d v="2024-07-29T00:00:00"/>
    <n v="211"/>
    <x v="2"/>
    <x v="0"/>
    <n v="0"/>
    <n v="0"/>
    <n v="0"/>
    <n v="0"/>
    <n v="0"/>
    <n v="0"/>
    <n v="0"/>
    <n v="0"/>
    <n v="0"/>
    <n v="0"/>
    <n v="0"/>
    <n v="0"/>
    <n v="0"/>
    <n v="0"/>
    <n v="0"/>
    <n v="0"/>
    <n v="0"/>
    <n v="0"/>
    <n v="0"/>
    <n v="0"/>
    <n v="1"/>
    <n v="0"/>
    <n v="0"/>
    <n v="0"/>
    <n v="0"/>
    <n v="0"/>
    <n v="0"/>
    <n v="0"/>
    <n v="0"/>
    <n v="0"/>
    <n v="0"/>
    <n v="0"/>
    <n v="0"/>
    <n v="1"/>
    <n v="0"/>
    <n v="0"/>
    <n v="0"/>
    <n v="0"/>
    <n v="0"/>
    <n v="0"/>
    <n v="0"/>
    <n v="0"/>
    <n v="0"/>
    <n v="0"/>
    <n v="0"/>
    <n v="0"/>
    <n v="0"/>
    <n v="0"/>
    <n v="0"/>
    <n v="0"/>
    <n v="0"/>
    <n v="0"/>
    <n v="0"/>
    <n v="0"/>
    <n v="0"/>
    <n v="0"/>
    <n v="0"/>
    <n v="0"/>
    <n v="0"/>
    <n v="4"/>
    <n v="0"/>
    <n v="0"/>
    <n v="0"/>
    <n v="0"/>
    <n v="0"/>
    <n v="0"/>
    <n v="0"/>
    <n v="0"/>
    <n v="0"/>
    <n v="0"/>
    <n v="1"/>
    <n v="0"/>
    <n v="0"/>
  </r>
  <r>
    <d v="2024-08-08T00:00:00"/>
    <n v="221"/>
    <x v="2"/>
    <x v="1"/>
    <n v="0"/>
    <n v="0"/>
    <n v="0"/>
    <n v="0"/>
    <n v="0"/>
    <n v="0"/>
    <n v="0"/>
    <n v="0"/>
    <n v="0"/>
    <n v="0"/>
    <n v="0"/>
    <n v="0"/>
    <n v="0"/>
    <n v="0"/>
    <n v="0"/>
    <n v="0"/>
    <n v="0"/>
    <n v="0"/>
    <n v="0"/>
    <n v="0"/>
    <n v="0"/>
    <n v="0"/>
    <n v="1"/>
    <n v="0"/>
    <n v="0"/>
    <n v="0"/>
    <n v="0"/>
    <n v="0"/>
    <n v="0"/>
    <n v="0"/>
    <n v="0"/>
    <n v="0"/>
    <n v="1"/>
    <n v="0"/>
    <n v="0"/>
    <n v="0"/>
    <n v="0"/>
    <n v="0"/>
    <n v="0"/>
    <n v="0"/>
    <n v="0"/>
    <n v="0"/>
    <n v="0"/>
    <n v="0"/>
    <n v="0"/>
    <n v="0"/>
    <n v="0"/>
    <n v="0"/>
    <n v="0"/>
    <n v="0"/>
    <n v="0"/>
    <n v="0"/>
    <n v="0"/>
    <n v="0"/>
    <n v="0"/>
    <n v="0"/>
    <n v="0"/>
    <n v="0"/>
    <n v="0"/>
    <n v="0"/>
    <n v="0"/>
    <n v="0"/>
    <n v="0"/>
    <n v="0"/>
    <n v="0"/>
    <n v="0"/>
    <n v="0"/>
    <n v="0"/>
    <n v="0"/>
    <n v="0"/>
    <n v="0"/>
    <n v="0"/>
    <n v="0"/>
  </r>
  <r>
    <d v="2024-07-18T00:00:00"/>
    <n v="200"/>
    <x v="3"/>
    <x v="0"/>
    <n v="0"/>
    <n v="0"/>
    <n v="0"/>
    <n v="0"/>
    <n v="0"/>
    <n v="0"/>
    <n v="0"/>
    <n v="0"/>
    <n v="0"/>
    <n v="0"/>
    <n v="0"/>
    <n v="0"/>
    <n v="0"/>
    <n v="0"/>
    <n v="0"/>
    <n v="0"/>
    <n v="0"/>
    <n v="0"/>
    <n v="0"/>
    <n v="0"/>
    <n v="1"/>
    <n v="0"/>
    <n v="1"/>
    <n v="0"/>
    <n v="0"/>
    <n v="0"/>
    <n v="0"/>
    <n v="0"/>
    <n v="0"/>
    <n v="0"/>
    <n v="0"/>
    <n v="0"/>
    <n v="1"/>
    <n v="1"/>
    <n v="0"/>
    <n v="0"/>
    <n v="0"/>
    <n v="0"/>
    <n v="0"/>
    <n v="0"/>
    <n v="0"/>
    <n v="0"/>
    <n v="0"/>
    <n v="0"/>
    <n v="0"/>
    <n v="0"/>
    <n v="0"/>
    <n v="0"/>
    <n v="0"/>
    <n v="0"/>
    <n v="0"/>
    <n v="0"/>
    <n v="0"/>
    <n v="0"/>
    <n v="0"/>
    <n v="0"/>
    <n v="0"/>
    <n v="0"/>
    <n v="0"/>
    <n v="2"/>
    <n v="0"/>
    <n v="0"/>
    <n v="0"/>
    <n v="0"/>
    <n v="0"/>
    <n v="0"/>
    <n v="0"/>
    <n v="0"/>
    <n v="0"/>
    <n v="0"/>
    <n v="0"/>
    <n v="0"/>
    <n v="0"/>
  </r>
  <r>
    <d v="2024-08-08T00:00:00"/>
    <n v="221"/>
    <x v="3"/>
    <x v="1"/>
    <n v="0"/>
    <n v="0"/>
    <n v="0"/>
    <n v="0"/>
    <n v="0"/>
    <n v="0"/>
    <n v="0"/>
    <n v="0"/>
    <n v="0"/>
    <n v="0"/>
    <n v="0"/>
    <n v="0"/>
    <n v="1"/>
    <n v="1"/>
    <n v="0"/>
    <n v="0"/>
    <n v="0"/>
    <n v="0"/>
    <n v="0"/>
    <n v="0"/>
    <n v="0"/>
    <n v="0"/>
    <n v="1"/>
    <n v="0"/>
    <n v="0"/>
    <n v="0"/>
    <n v="0"/>
    <n v="0"/>
    <n v="0"/>
    <n v="0"/>
    <n v="0"/>
    <n v="0"/>
    <n v="1"/>
    <n v="0"/>
    <n v="0"/>
    <n v="0"/>
    <n v="0"/>
    <n v="0"/>
    <n v="0"/>
    <n v="0"/>
    <n v="0"/>
    <n v="0"/>
    <n v="0"/>
    <n v="0"/>
    <n v="0"/>
    <n v="0"/>
    <n v="0"/>
    <n v="0"/>
    <n v="0"/>
    <n v="0"/>
    <n v="0"/>
    <n v="0"/>
    <n v="0"/>
    <n v="0"/>
    <n v="0"/>
    <n v="0"/>
    <n v="0"/>
    <n v="0"/>
    <n v="0"/>
    <n v="1"/>
    <n v="0"/>
    <n v="0"/>
    <n v="0"/>
    <n v="0"/>
    <n v="0"/>
    <n v="0"/>
    <n v="0"/>
    <n v="0"/>
    <n v="0"/>
    <n v="0"/>
    <n v="0"/>
    <n v="0"/>
    <n v="0"/>
  </r>
  <r>
    <d v="2024-08-14T00:00:00"/>
    <n v="227"/>
    <x v="3"/>
    <x v="1"/>
    <n v="0"/>
    <n v="0"/>
    <n v="0"/>
    <n v="0"/>
    <n v="0"/>
    <n v="0"/>
    <n v="0"/>
    <n v="0"/>
    <n v="0"/>
    <n v="0"/>
    <n v="0"/>
    <n v="0"/>
    <n v="1"/>
    <n v="0"/>
    <n v="0"/>
    <n v="1"/>
    <n v="0"/>
    <n v="0"/>
    <n v="0"/>
    <n v="0"/>
    <n v="1"/>
    <n v="0"/>
    <n v="3"/>
    <n v="0"/>
    <n v="0"/>
    <n v="0"/>
    <n v="0"/>
    <n v="0"/>
    <n v="0"/>
    <n v="1"/>
    <n v="0"/>
    <n v="0"/>
    <n v="2"/>
    <n v="0"/>
    <n v="0"/>
    <n v="0"/>
    <n v="0"/>
    <n v="0"/>
    <n v="0"/>
    <n v="0"/>
    <n v="0"/>
    <n v="0"/>
    <n v="0"/>
    <n v="0"/>
    <n v="0"/>
    <n v="0"/>
    <n v="0"/>
    <n v="0"/>
    <n v="0"/>
    <n v="0"/>
    <n v="2"/>
    <n v="0"/>
    <n v="0"/>
    <n v="0"/>
    <n v="0"/>
    <n v="0"/>
    <n v="0"/>
    <n v="0"/>
    <n v="0"/>
    <n v="1"/>
    <n v="0"/>
    <n v="0"/>
    <n v="0"/>
    <n v="0"/>
    <n v="0"/>
    <n v="0"/>
    <n v="0"/>
    <n v="0"/>
    <n v="0"/>
    <n v="0"/>
    <n v="0"/>
    <n v="0"/>
    <n v="0"/>
  </r>
  <r>
    <d v="2024-08-21T00:00:00"/>
    <n v="234"/>
    <x v="3"/>
    <x v="1"/>
    <n v="0"/>
    <n v="0"/>
    <n v="0"/>
    <n v="0"/>
    <n v="0"/>
    <n v="0"/>
    <n v="0"/>
    <n v="0"/>
    <n v="0"/>
    <n v="0"/>
    <n v="0"/>
    <n v="0"/>
    <n v="0"/>
    <n v="0"/>
    <n v="0"/>
    <n v="0"/>
    <n v="0"/>
    <n v="0"/>
    <n v="0"/>
    <n v="0"/>
    <n v="0"/>
    <n v="0"/>
    <n v="1"/>
    <n v="0"/>
    <n v="0"/>
    <n v="0"/>
    <n v="0"/>
    <n v="0"/>
    <n v="0"/>
    <n v="0"/>
    <n v="0"/>
    <n v="0"/>
    <n v="1"/>
    <n v="0"/>
    <n v="0"/>
    <n v="0"/>
    <n v="0"/>
    <n v="0"/>
    <n v="0"/>
    <n v="0"/>
    <n v="0"/>
    <n v="0"/>
    <n v="0"/>
    <n v="0"/>
    <n v="0"/>
    <n v="0"/>
    <n v="0"/>
    <n v="0"/>
    <n v="0"/>
    <n v="0"/>
    <n v="0"/>
    <n v="0"/>
    <n v="0"/>
    <n v="0"/>
    <n v="0"/>
    <n v="0"/>
    <n v="0"/>
    <n v="0"/>
    <n v="0"/>
    <n v="0"/>
    <n v="0"/>
    <n v="0"/>
    <n v="0"/>
    <n v="0"/>
    <n v="0"/>
    <n v="0"/>
    <n v="0"/>
    <n v="0"/>
    <n v="0"/>
    <n v="0"/>
    <n v="0"/>
    <n v="0"/>
    <n v="0"/>
  </r>
  <r>
    <d v="2024-07-10T00:00:00"/>
    <n v="192"/>
    <x v="4"/>
    <x v="0"/>
    <n v="0"/>
    <n v="0"/>
    <n v="0"/>
    <n v="0"/>
    <n v="0"/>
    <n v="0"/>
    <n v="0"/>
    <n v="0"/>
    <n v="0"/>
    <n v="0"/>
    <n v="0"/>
    <n v="0"/>
    <n v="0"/>
    <n v="0"/>
    <n v="0"/>
    <n v="0"/>
    <n v="0"/>
    <n v="0"/>
    <n v="0"/>
    <n v="0"/>
    <n v="0"/>
    <n v="0"/>
    <n v="1"/>
    <n v="0"/>
    <n v="0"/>
    <n v="0"/>
    <n v="0"/>
    <n v="0"/>
    <n v="0"/>
    <n v="1"/>
    <n v="0"/>
    <n v="0"/>
    <n v="0"/>
    <n v="0"/>
    <n v="0"/>
    <n v="0"/>
    <n v="0"/>
    <n v="0"/>
    <n v="0"/>
    <n v="0"/>
    <n v="0"/>
    <n v="0"/>
    <n v="0"/>
    <n v="0"/>
    <n v="0"/>
    <n v="0"/>
    <n v="0"/>
    <n v="0"/>
    <n v="0"/>
    <n v="0"/>
    <n v="0"/>
    <n v="0"/>
    <n v="0"/>
    <n v="0"/>
    <n v="0"/>
    <n v="0"/>
    <n v="0"/>
    <n v="0"/>
    <n v="0"/>
    <n v="9"/>
    <n v="0"/>
    <n v="0"/>
    <n v="0"/>
    <n v="0"/>
    <n v="0"/>
    <n v="0"/>
    <n v="0"/>
    <n v="0"/>
    <n v="0"/>
    <n v="0"/>
    <n v="0"/>
    <n v="0"/>
    <n v="0"/>
  </r>
  <r>
    <d v="2024-07-30T00:00:00"/>
    <n v="212"/>
    <x v="4"/>
    <x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r>
  <r>
    <d v="2024-07-03T00:00:00"/>
    <n v="185"/>
    <x v="5"/>
    <x v="0"/>
    <n v="0"/>
    <n v="0"/>
    <n v="0"/>
    <n v="0"/>
    <n v="0"/>
    <n v="0"/>
    <n v="0"/>
    <n v="0"/>
    <n v="0"/>
    <n v="0"/>
    <n v="0"/>
    <n v="0"/>
    <n v="0"/>
    <n v="0"/>
    <n v="0"/>
    <n v="1"/>
    <n v="2"/>
    <n v="0"/>
    <n v="0"/>
    <n v="0"/>
    <n v="0"/>
    <n v="0"/>
    <n v="1"/>
    <n v="0"/>
    <n v="0"/>
    <n v="1"/>
    <n v="0"/>
    <n v="0"/>
    <n v="0"/>
    <n v="0"/>
    <n v="0"/>
    <n v="0"/>
    <n v="0"/>
    <n v="0"/>
    <n v="0"/>
    <n v="0"/>
    <n v="0"/>
    <n v="0"/>
    <n v="0"/>
    <n v="0"/>
    <n v="0"/>
    <n v="0"/>
    <n v="0"/>
    <n v="0"/>
    <n v="0"/>
    <n v="0"/>
    <n v="0"/>
    <n v="0"/>
    <n v="0"/>
    <n v="0"/>
    <n v="0"/>
    <n v="0"/>
    <n v="0"/>
    <n v="0"/>
    <n v="0"/>
    <n v="0"/>
    <n v="0"/>
    <n v="0"/>
    <n v="0"/>
    <n v="2"/>
    <n v="0"/>
    <n v="0"/>
    <n v="0"/>
    <n v="0"/>
    <n v="0"/>
    <n v="0"/>
    <n v="0"/>
    <n v="0"/>
    <n v="0"/>
    <n v="0"/>
    <n v="0"/>
    <n v="0"/>
    <n v="0"/>
  </r>
  <r>
    <d v="2024-07-25T00:00:00"/>
    <n v="207"/>
    <x v="6"/>
    <x v="0"/>
    <n v="0"/>
    <n v="0"/>
    <n v="0"/>
    <n v="0"/>
    <n v="0"/>
    <n v="0"/>
    <n v="0"/>
    <n v="2"/>
    <n v="0"/>
    <n v="0"/>
    <n v="0"/>
    <n v="0"/>
    <n v="0"/>
    <n v="0"/>
    <n v="0"/>
    <n v="0"/>
    <n v="0"/>
    <n v="0"/>
    <n v="0"/>
    <n v="0"/>
    <n v="1"/>
    <n v="0"/>
    <n v="3"/>
    <n v="0"/>
    <n v="0"/>
    <n v="0"/>
    <n v="0"/>
    <n v="0"/>
    <n v="0"/>
    <n v="1"/>
    <n v="0"/>
    <n v="0"/>
    <n v="2"/>
    <n v="1"/>
    <n v="0"/>
    <n v="0"/>
    <n v="0"/>
    <n v="0"/>
    <n v="0"/>
    <n v="0"/>
    <n v="0"/>
    <n v="0"/>
    <n v="0"/>
    <n v="0"/>
    <n v="0"/>
    <n v="0"/>
    <n v="0"/>
    <n v="0"/>
    <n v="0"/>
    <n v="0"/>
    <n v="0"/>
    <n v="0"/>
    <n v="0"/>
    <n v="0"/>
    <n v="0"/>
    <n v="0"/>
    <n v="0"/>
    <n v="0"/>
    <n v="0"/>
    <n v="4"/>
    <n v="0"/>
    <n v="0"/>
    <n v="0"/>
    <n v="0"/>
    <n v="0"/>
    <n v="0"/>
    <n v="0"/>
    <n v="0"/>
    <n v="0"/>
    <n v="0"/>
    <n v="0"/>
    <n v="0"/>
    <n v="0"/>
  </r>
  <r>
    <d v="2024-07-31T00:00:00"/>
    <n v="213"/>
    <x v="6"/>
    <x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1"/>
    <n v="1"/>
    <n v="0"/>
    <n v="0"/>
    <n v="0"/>
    <n v="0"/>
    <n v="0"/>
    <n v="0"/>
    <n v="0"/>
    <n v="0"/>
    <n v="0"/>
    <n v="0"/>
    <n v="0"/>
    <n v="0"/>
    <n v="0"/>
  </r>
  <r>
    <d v="2024-07-26T00:00:00"/>
    <n v="208"/>
    <x v="7"/>
    <x v="0"/>
    <n v="0"/>
    <n v="0"/>
    <n v="0"/>
    <n v="0"/>
    <n v="0"/>
    <n v="0"/>
    <n v="0"/>
    <n v="0"/>
    <n v="0"/>
    <n v="0"/>
    <n v="0"/>
    <n v="0"/>
    <n v="1"/>
    <n v="0"/>
    <n v="0"/>
    <n v="0"/>
    <n v="0"/>
    <n v="0"/>
    <n v="0"/>
    <n v="0"/>
    <n v="1"/>
    <n v="0"/>
    <n v="1"/>
    <n v="0"/>
    <n v="0"/>
    <n v="0"/>
    <n v="0"/>
    <n v="0"/>
    <n v="0"/>
    <n v="0"/>
    <n v="0"/>
    <n v="0"/>
    <n v="1"/>
    <n v="1"/>
    <n v="0"/>
    <n v="0"/>
    <n v="0"/>
    <n v="0"/>
    <n v="0"/>
    <n v="0"/>
    <n v="0"/>
    <n v="0"/>
    <n v="0"/>
    <n v="0"/>
    <n v="0"/>
    <n v="0"/>
    <n v="0"/>
    <n v="0"/>
    <n v="0"/>
    <n v="0"/>
    <n v="0"/>
    <n v="0"/>
    <n v="0"/>
    <n v="0"/>
    <n v="0"/>
    <n v="0"/>
    <n v="0"/>
    <n v="0"/>
    <n v="0"/>
    <n v="0"/>
    <n v="0"/>
    <n v="0"/>
    <n v="0"/>
    <n v="0"/>
    <n v="0"/>
    <n v="0"/>
    <n v="0"/>
    <n v="0"/>
    <n v="0"/>
    <n v="0"/>
    <n v="0"/>
    <n v="0"/>
    <n v="0"/>
  </r>
  <r>
    <d v="2024-07-29T00:00:00"/>
    <n v="211"/>
    <x v="7"/>
    <x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1"/>
    <n v="0"/>
    <n v="0"/>
    <n v="1"/>
    <n v="0"/>
    <n v="0"/>
    <n v="0"/>
    <n v="0"/>
    <n v="0"/>
    <n v="0"/>
    <n v="0"/>
    <n v="0"/>
    <n v="0"/>
    <n v="0"/>
    <n v="0"/>
    <n v="0"/>
    <n v="0"/>
  </r>
  <r>
    <d v="2024-08-08T00:00:00"/>
    <n v="221"/>
    <x v="7"/>
    <x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d v="2024-08-08T00:00:00"/>
    <n v="221"/>
    <x v="8"/>
    <x v="1"/>
    <n v="0"/>
    <n v="0"/>
    <n v="0"/>
    <n v="0"/>
    <n v="0"/>
    <n v="0"/>
    <n v="0"/>
    <n v="0"/>
    <n v="0"/>
    <n v="0"/>
    <n v="0"/>
    <n v="0"/>
    <n v="1"/>
    <n v="0"/>
    <n v="0"/>
    <n v="0"/>
    <n v="0"/>
    <n v="1"/>
    <n v="0"/>
    <n v="0"/>
    <n v="0"/>
    <n v="0"/>
    <n v="2"/>
    <n v="1"/>
    <n v="0"/>
    <n v="0"/>
    <n v="0"/>
    <n v="0"/>
    <n v="0"/>
    <n v="1"/>
    <n v="0"/>
    <n v="0"/>
    <n v="0"/>
    <n v="0"/>
    <n v="0"/>
    <n v="0"/>
    <n v="0"/>
    <n v="0"/>
    <n v="0"/>
    <n v="0"/>
    <n v="0"/>
    <n v="0"/>
    <n v="0"/>
    <n v="0"/>
    <n v="0"/>
    <n v="0"/>
    <n v="0"/>
    <n v="0"/>
    <n v="0"/>
    <n v="0"/>
    <n v="0"/>
    <n v="0"/>
    <n v="0"/>
    <n v="1"/>
    <n v="0"/>
    <n v="0"/>
    <n v="0"/>
    <n v="0"/>
    <n v="0"/>
    <n v="2"/>
    <n v="0"/>
    <n v="0"/>
    <n v="0"/>
    <n v="0"/>
    <n v="0"/>
    <n v="0"/>
    <n v="0"/>
    <n v="0"/>
    <n v="0"/>
    <n v="0"/>
    <n v="0"/>
    <n v="0"/>
    <n v="0"/>
  </r>
  <r>
    <d v="2024-08-14T00:00:00"/>
    <n v="227"/>
    <x v="8"/>
    <x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0"/>
    <n v="0"/>
    <n v="0"/>
    <n v="0"/>
    <n v="0"/>
    <n v="0"/>
    <n v="0"/>
    <n v="0"/>
    <n v="0"/>
    <n v="0"/>
    <n v="0"/>
    <n v="0"/>
    <n v="0"/>
  </r>
  <r>
    <d v="2024-07-25T00:00:00"/>
    <n v="207"/>
    <x v="9"/>
    <x v="0"/>
    <n v="0"/>
    <n v="0"/>
    <n v="0"/>
    <n v="0"/>
    <n v="0"/>
    <n v="0"/>
    <n v="0"/>
    <n v="0"/>
    <n v="0"/>
    <n v="0"/>
    <n v="0"/>
    <n v="0"/>
    <n v="0"/>
    <n v="0"/>
    <n v="0"/>
    <n v="0"/>
    <n v="0"/>
    <n v="0"/>
    <n v="0"/>
    <n v="0"/>
    <n v="0"/>
    <n v="0"/>
    <n v="1"/>
    <n v="0"/>
    <n v="0"/>
    <n v="0"/>
    <n v="0"/>
    <n v="0"/>
    <n v="0"/>
    <n v="0"/>
    <n v="0"/>
    <n v="0"/>
    <n v="1"/>
    <n v="0"/>
    <n v="0"/>
    <n v="0"/>
    <n v="0"/>
    <n v="0"/>
    <n v="0"/>
    <n v="0"/>
    <n v="0"/>
    <n v="0"/>
    <n v="0"/>
    <n v="0"/>
    <n v="0"/>
    <n v="0"/>
    <n v="0"/>
    <n v="0"/>
    <n v="0"/>
    <n v="0"/>
    <n v="0"/>
    <n v="0"/>
    <n v="0"/>
    <n v="0"/>
    <n v="0"/>
    <n v="0"/>
    <n v="0"/>
    <n v="0"/>
    <n v="0"/>
    <n v="0"/>
    <n v="0"/>
    <n v="0"/>
    <n v="0"/>
    <n v="0"/>
    <n v="0"/>
    <n v="0"/>
    <n v="0"/>
    <n v="0"/>
    <n v="0"/>
    <n v="0"/>
    <n v="0"/>
    <n v="0"/>
    <n v="0"/>
  </r>
  <r>
    <d v="2024-07-13T00:00:00"/>
    <n v="195"/>
    <x v="10"/>
    <x v="0"/>
    <n v="0"/>
    <n v="0"/>
    <n v="0"/>
    <n v="0"/>
    <n v="0"/>
    <n v="0"/>
    <n v="0"/>
    <n v="1"/>
    <n v="0"/>
    <n v="0"/>
    <n v="0"/>
    <n v="0"/>
    <n v="0"/>
    <n v="1"/>
    <n v="0"/>
    <n v="0"/>
    <n v="1"/>
    <n v="0"/>
    <n v="0"/>
    <n v="0"/>
    <n v="0"/>
    <n v="0"/>
    <n v="2"/>
    <n v="0"/>
    <n v="0"/>
    <n v="0"/>
    <n v="0"/>
    <n v="0"/>
    <n v="0"/>
    <n v="2"/>
    <n v="0"/>
    <n v="0"/>
    <n v="0"/>
    <n v="0"/>
    <n v="0"/>
    <n v="0"/>
    <n v="0"/>
    <n v="0"/>
    <n v="0"/>
    <n v="1"/>
    <n v="0"/>
    <n v="0"/>
    <n v="0"/>
    <n v="0"/>
    <n v="0"/>
    <n v="3"/>
    <n v="0"/>
    <n v="0"/>
    <n v="0"/>
    <n v="0"/>
    <n v="1"/>
    <n v="0"/>
    <n v="0"/>
    <n v="0"/>
    <n v="0"/>
    <n v="0"/>
    <n v="0"/>
    <n v="0"/>
    <n v="4"/>
    <n v="28"/>
    <n v="0"/>
    <n v="0"/>
    <n v="0"/>
    <n v="0"/>
    <n v="0"/>
    <n v="0"/>
    <n v="0"/>
    <n v="3"/>
    <n v="0"/>
    <n v="0"/>
    <n v="0"/>
    <n v="0"/>
    <n v="0"/>
  </r>
  <r>
    <d v="2024-07-17T00:00:00"/>
    <n v="199"/>
    <x v="10"/>
    <x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0"/>
    <n v="0"/>
    <n v="0"/>
    <n v="0"/>
    <n v="0"/>
    <n v="0"/>
    <n v="0"/>
    <n v="0"/>
    <n v="0"/>
    <n v="0"/>
    <n v="0"/>
    <n v="0"/>
    <n v="0"/>
  </r>
  <r>
    <d v="2024-07-25T00:00:00"/>
    <n v="207"/>
    <x v="11"/>
    <x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r>
  <r>
    <d v="2024-08-01T00:00:00"/>
    <n v="214"/>
    <x v="11"/>
    <x v="0"/>
    <n v="0"/>
    <n v="0"/>
    <n v="0"/>
    <n v="0"/>
    <n v="0"/>
    <n v="0"/>
    <n v="0"/>
    <n v="0"/>
    <n v="0"/>
    <n v="0"/>
    <n v="0"/>
    <n v="0"/>
    <n v="0"/>
    <n v="0"/>
    <n v="0"/>
    <n v="0"/>
    <n v="1"/>
    <n v="0"/>
    <n v="0"/>
    <n v="0"/>
    <n v="0"/>
    <n v="0"/>
    <n v="0"/>
    <n v="0"/>
    <n v="0"/>
    <n v="0"/>
    <n v="0"/>
    <n v="0"/>
    <n v="0"/>
    <n v="0"/>
    <n v="0"/>
    <n v="0"/>
    <n v="0"/>
    <n v="2"/>
    <n v="0"/>
    <n v="0"/>
    <n v="0"/>
    <n v="0"/>
    <n v="0"/>
    <n v="0"/>
    <n v="0"/>
    <n v="0"/>
    <n v="0"/>
    <n v="0"/>
    <n v="0"/>
    <n v="0"/>
    <n v="0"/>
    <n v="0"/>
    <n v="0"/>
    <n v="0"/>
    <n v="0"/>
    <n v="0"/>
    <n v="0"/>
    <n v="0"/>
    <n v="0"/>
    <n v="0"/>
    <n v="1"/>
    <n v="0"/>
    <n v="0"/>
    <n v="3"/>
    <n v="0"/>
    <n v="0"/>
    <n v="0"/>
    <n v="0"/>
    <n v="0"/>
    <n v="0"/>
    <n v="0"/>
    <n v="0"/>
    <n v="0"/>
    <n v="0"/>
    <n v="0"/>
    <n v="0"/>
    <n v="0"/>
  </r>
  <r>
    <d v="2024-07-17T00:00:00"/>
    <n v="199"/>
    <x v="12"/>
    <x v="0"/>
    <n v="0"/>
    <n v="0"/>
    <n v="0"/>
    <n v="0"/>
    <n v="0"/>
    <n v="0"/>
    <n v="0"/>
    <n v="0"/>
    <n v="0"/>
    <n v="0"/>
    <n v="0"/>
    <n v="0"/>
    <n v="1"/>
    <n v="0"/>
    <n v="0"/>
    <n v="0"/>
    <n v="1"/>
    <n v="0"/>
    <n v="0"/>
    <n v="0"/>
    <n v="0"/>
    <n v="0"/>
    <n v="0"/>
    <n v="0"/>
    <n v="0"/>
    <n v="0"/>
    <n v="0"/>
    <n v="0"/>
    <n v="0"/>
    <n v="0"/>
    <n v="0"/>
    <n v="0"/>
    <n v="0"/>
    <n v="1"/>
    <n v="0"/>
    <n v="0"/>
    <n v="0"/>
    <n v="0"/>
    <n v="0"/>
    <n v="0"/>
    <n v="0"/>
    <n v="0"/>
    <n v="0"/>
    <n v="0"/>
    <n v="0"/>
    <n v="0"/>
    <n v="0"/>
    <n v="0"/>
    <n v="0"/>
    <n v="0"/>
    <n v="0"/>
    <n v="0"/>
    <n v="0"/>
    <n v="0"/>
    <n v="0"/>
    <n v="0"/>
    <n v="0"/>
    <n v="0"/>
    <n v="0"/>
    <n v="1"/>
    <n v="0"/>
    <n v="0"/>
    <n v="0"/>
    <n v="0"/>
    <n v="0"/>
    <n v="0"/>
    <n v="0"/>
    <n v="0"/>
    <n v="0"/>
    <n v="0"/>
    <n v="0"/>
    <n v="0"/>
    <n v="0"/>
  </r>
  <r>
    <d v="2024-08-08T00:00:00"/>
    <n v="221"/>
    <x v="13"/>
    <x v="1"/>
    <n v="0"/>
    <n v="0"/>
    <n v="0"/>
    <n v="0"/>
    <n v="0"/>
    <n v="0"/>
    <n v="0"/>
    <n v="0"/>
    <n v="0"/>
    <n v="0"/>
    <n v="0"/>
    <n v="0"/>
    <n v="0"/>
    <n v="2"/>
    <n v="0"/>
    <n v="0"/>
    <n v="0"/>
    <n v="2"/>
    <n v="0"/>
    <n v="0"/>
    <n v="1"/>
    <n v="0"/>
    <n v="3"/>
    <n v="0"/>
    <n v="0"/>
    <n v="0"/>
    <n v="0"/>
    <n v="2"/>
    <n v="0"/>
    <n v="1"/>
    <n v="0"/>
    <n v="0"/>
    <n v="0"/>
    <n v="0"/>
    <n v="0"/>
    <n v="0"/>
    <n v="0"/>
    <n v="0"/>
    <n v="0"/>
    <n v="0"/>
    <n v="0"/>
    <n v="0"/>
    <n v="0"/>
    <n v="0"/>
    <n v="0"/>
    <n v="0"/>
    <n v="0"/>
    <n v="0"/>
    <n v="0"/>
    <n v="0"/>
    <n v="0"/>
    <n v="0"/>
    <n v="0"/>
    <n v="1"/>
    <n v="0"/>
    <n v="1"/>
    <n v="0"/>
    <n v="0"/>
    <n v="0"/>
    <n v="0"/>
    <n v="0"/>
    <n v="0"/>
    <n v="0"/>
    <n v="0"/>
    <n v="0"/>
    <n v="0"/>
    <n v="0"/>
    <n v="0"/>
    <n v="0"/>
    <n v="0"/>
    <n v="0"/>
    <n v="0"/>
    <n v="0"/>
  </r>
  <r>
    <d v="2024-08-21T00:00:00"/>
    <n v="234"/>
    <x v="13"/>
    <x v="1"/>
    <n v="0"/>
    <n v="0"/>
    <n v="0"/>
    <n v="0"/>
    <n v="0"/>
    <n v="0"/>
    <n v="0"/>
    <n v="0"/>
    <n v="0"/>
    <n v="0"/>
    <n v="0"/>
    <n v="0"/>
    <n v="0"/>
    <n v="0"/>
    <n v="0"/>
    <n v="0"/>
    <n v="0"/>
    <n v="0"/>
    <n v="0"/>
    <n v="0"/>
    <n v="3"/>
    <n v="0"/>
    <n v="3"/>
    <n v="0"/>
    <n v="2"/>
    <n v="0"/>
    <n v="0"/>
    <n v="0"/>
    <n v="0"/>
    <n v="0"/>
    <n v="0"/>
    <n v="0"/>
    <n v="1"/>
    <n v="0"/>
    <n v="0"/>
    <n v="0"/>
    <n v="0"/>
    <n v="0"/>
    <n v="0"/>
    <n v="0"/>
    <n v="0"/>
    <n v="0"/>
    <n v="0"/>
    <n v="0"/>
    <n v="0"/>
    <n v="0"/>
    <n v="0"/>
    <n v="0"/>
    <n v="0"/>
    <n v="0"/>
    <n v="0"/>
    <n v="0"/>
    <n v="0"/>
    <n v="0"/>
    <n v="0"/>
    <n v="0"/>
    <n v="0"/>
    <n v="0"/>
    <n v="0"/>
    <n v="0"/>
    <n v="0"/>
    <n v="0"/>
    <n v="0"/>
    <n v="0"/>
    <n v="0"/>
    <n v="0"/>
    <n v="0"/>
    <n v="0"/>
    <n v="0"/>
    <n v="1"/>
    <n v="0"/>
    <n v="0"/>
    <n v="0"/>
  </r>
  <r>
    <d v="2024-08-01T00:00:00"/>
    <n v="214"/>
    <x v="14"/>
    <x v="0"/>
    <n v="0"/>
    <n v="0"/>
    <n v="0"/>
    <n v="0"/>
    <n v="0"/>
    <n v="0"/>
    <n v="0"/>
    <n v="0"/>
    <n v="0"/>
    <n v="0"/>
    <n v="0"/>
    <n v="0"/>
    <n v="0"/>
    <n v="0"/>
    <n v="0"/>
    <n v="0"/>
    <n v="0"/>
    <n v="0"/>
    <n v="0"/>
    <n v="0"/>
    <n v="0"/>
    <n v="0"/>
    <n v="1"/>
    <n v="0"/>
    <n v="0"/>
    <n v="0"/>
    <n v="0"/>
    <n v="0"/>
    <n v="0"/>
    <n v="0"/>
    <n v="0"/>
    <n v="0"/>
    <n v="1"/>
    <n v="1"/>
    <n v="0"/>
    <n v="0"/>
    <n v="0"/>
    <n v="0"/>
    <n v="0"/>
    <n v="0"/>
    <n v="0"/>
    <n v="0"/>
    <n v="0"/>
    <n v="0"/>
    <n v="0"/>
    <n v="0"/>
    <n v="0"/>
    <n v="0"/>
    <n v="0"/>
    <n v="0"/>
    <n v="0"/>
    <n v="0"/>
    <n v="0"/>
    <n v="1"/>
    <n v="0"/>
    <n v="0"/>
    <n v="1"/>
    <n v="0"/>
    <n v="0"/>
    <n v="0"/>
    <n v="0"/>
    <n v="0"/>
    <n v="0"/>
    <n v="0"/>
    <n v="0"/>
    <n v="0"/>
    <n v="0"/>
    <n v="0"/>
    <n v="0"/>
    <n v="0"/>
    <n v="0"/>
    <n v="0"/>
    <n v="0"/>
  </r>
  <r>
    <d v="2024-07-26T00:00:00"/>
    <n v="208"/>
    <x v="15"/>
    <x v="0"/>
    <n v="0"/>
    <n v="0"/>
    <n v="0"/>
    <n v="0"/>
    <n v="0"/>
    <n v="0"/>
    <n v="0"/>
    <n v="0"/>
    <n v="0"/>
    <n v="0"/>
    <n v="0"/>
    <n v="0"/>
    <n v="0"/>
    <n v="0"/>
    <n v="0"/>
    <n v="0"/>
    <n v="0"/>
    <n v="0"/>
    <n v="0"/>
    <n v="0"/>
    <n v="1"/>
    <n v="0"/>
    <n v="4"/>
    <n v="0"/>
    <n v="0"/>
    <n v="0"/>
    <n v="0"/>
    <n v="0"/>
    <n v="0"/>
    <n v="0"/>
    <n v="0"/>
    <n v="0"/>
    <n v="4"/>
    <n v="0"/>
    <n v="0"/>
    <n v="0"/>
    <n v="0"/>
    <n v="0"/>
    <n v="0"/>
    <n v="0"/>
    <n v="0"/>
    <n v="0"/>
    <n v="0"/>
    <n v="0"/>
    <n v="0"/>
    <n v="1"/>
    <n v="0"/>
    <n v="0"/>
    <n v="0"/>
    <n v="0"/>
    <n v="0"/>
    <n v="0"/>
    <n v="0"/>
    <n v="0"/>
    <n v="0"/>
    <n v="0"/>
    <n v="0"/>
    <n v="0"/>
    <n v="0"/>
    <n v="0"/>
    <n v="0"/>
    <n v="0"/>
    <n v="0"/>
    <n v="0"/>
    <n v="0"/>
    <n v="0"/>
    <n v="0"/>
    <n v="0"/>
    <n v="0"/>
    <n v="0"/>
    <n v="0"/>
    <n v="0"/>
    <n v="0"/>
  </r>
  <r>
    <d v="2024-08-01T00:00:00"/>
    <n v="214"/>
    <x v="15"/>
    <x v="0"/>
    <n v="0"/>
    <n v="0"/>
    <n v="0"/>
    <n v="0"/>
    <n v="0"/>
    <n v="0"/>
    <n v="0"/>
    <n v="0"/>
    <n v="0"/>
    <n v="0"/>
    <n v="0"/>
    <n v="0"/>
    <n v="0"/>
    <n v="1"/>
    <n v="0"/>
    <n v="0"/>
    <n v="0"/>
    <n v="0"/>
    <n v="0"/>
    <n v="0"/>
    <n v="0"/>
    <n v="0"/>
    <n v="1"/>
    <n v="0"/>
    <n v="1"/>
    <n v="0"/>
    <n v="0"/>
    <n v="0"/>
    <n v="0"/>
    <n v="0"/>
    <n v="0"/>
    <n v="0"/>
    <n v="0"/>
    <n v="2"/>
    <n v="0"/>
    <n v="0"/>
    <n v="0"/>
    <n v="0"/>
    <n v="0"/>
    <n v="0"/>
    <n v="0"/>
    <n v="0"/>
    <n v="0"/>
    <n v="0"/>
    <n v="0"/>
    <n v="1"/>
    <n v="0"/>
    <n v="0"/>
    <n v="0"/>
    <n v="0"/>
    <n v="2"/>
    <n v="0"/>
    <n v="0"/>
    <n v="0"/>
    <n v="0"/>
    <n v="0"/>
    <n v="0"/>
    <n v="0"/>
    <n v="0"/>
    <n v="7"/>
    <n v="0"/>
    <n v="0"/>
    <n v="0"/>
    <n v="0"/>
    <n v="0"/>
    <n v="0"/>
    <n v="0"/>
    <n v="0"/>
    <n v="0"/>
    <n v="0"/>
    <n v="0"/>
    <n v="0"/>
    <n v="0"/>
  </r>
  <r>
    <d v="2024-07-08T00:00:00"/>
    <n v="190"/>
    <x v="16"/>
    <x v="0"/>
    <n v="0"/>
    <n v="0"/>
    <n v="0"/>
    <n v="0"/>
    <n v="0"/>
    <n v="0"/>
    <n v="0"/>
    <n v="0"/>
    <n v="0"/>
    <n v="0"/>
    <n v="0"/>
    <n v="0"/>
    <n v="1"/>
    <n v="0"/>
    <n v="0"/>
    <n v="0"/>
    <n v="0"/>
    <n v="0"/>
    <n v="0"/>
    <n v="1"/>
    <n v="1"/>
    <n v="0"/>
    <n v="2"/>
    <n v="0"/>
    <n v="0"/>
    <n v="0"/>
    <n v="0"/>
    <n v="0"/>
    <n v="0"/>
    <n v="2"/>
    <n v="0"/>
    <n v="0"/>
    <n v="0"/>
    <n v="1"/>
    <n v="0"/>
    <n v="0"/>
    <n v="0"/>
    <n v="0"/>
    <n v="0"/>
    <n v="0"/>
    <n v="0"/>
    <n v="0"/>
    <n v="0"/>
    <n v="0"/>
    <n v="0"/>
    <n v="0"/>
    <n v="0"/>
    <n v="0"/>
    <n v="0"/>
    <n v="0"/>
    <n v="0"/>
    <n v="0"/>
    <n v="0"/>
    <n v="0"/>
    <n v="0"/>
    <n v="0"/>
    <n v="0"/>
    <n v="0"/>
    <n v="0"/>
    <n v="8"/>
    <n v="0"/>
    <n v="0"/>
    <n v="0"/>
    <n v="0"/>
    <n v="0"/>
    <n v="0"/>
    <n v="0"/>
    <n v="2"/>
    <n v="0"/>
    <n v="0"/>
    <n v="0"/>
    <n v="0"/>
    <n v="0"/>
  </r>
  <r>
    <d v="2024-07-17T00:00:00"/>
    <n v="199"/>
    <x v="16"/>
    <x v="0"/>
    <n v="0"/>
    <n v="0"/>
    <n v="0"/>
    <n v="0"/>
    <n v="0"/>
    <n v="0"/>
    <n v="0"/>
    <n v="0"/>
    <n v="0"/>
    <n v="0"/>
    <n v="0"/>
    <n v="0"/>
    <n v="2"/>
    <n v="0"/>
    <n v="0"/>
    <n v="0"/>
    <n v="0"/>
    <n v="0"/>
    <n v="0"/>
    <n v="0"/>
    <n v="0"/>
    <n v="0"/>
    <n v="3"/>
    <n v="1"/>
    <n v="0"/>
    <n v="0"/>
    <n v="0"/>
    <n v="0"/>
    <n v="1"/>
    <n v="0"/>
    <n v="0"/>
    <n v="0"/>
    <n v="1"/>
    <n v="1"/>
    <n v="0"/>
    <n v="0"/>
    <n v="0"/>
    <n v="0"/>
    <n v="0"/>
    <n v="0"/>
    <n v="0"/>
    <n v="0"/>
    <n v="0"/>
    <n v="0"/>
    <n v="0"/>
    <n v="0"/>
    <n v="0"/>
    <n v="0"/>
    <n v="0"/>
    <n v="0"/>
    <n v="0"/>
    <n v="0"/>
    <n v="0"/>
    <n v="0"/>
    <n v="0"/>
    <n v="0"/>
    <n v="0"/>
    <n v="0"/>
    <n v="0"/>
    <n v="0"/>
    <n v="0"/>
    <n v="0"/>
    <n v="0"/>
    <n v="0"/>
    <n v="0"/>
    <n v="0"/>
    <n v="0"/>
    <n v="0"/>
    <n v="0"/>
    <n v="0"/>
    <n v="0"/>
    <n v="0"/>
    <n v="0"/>
  </r>
  <r>
    <d v="2024-07-26T00:00:00"/>
    <n v="208"/>
    <x v="16"/>
    <x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r>
  <r>
    <d v="2024-08-02T00:00:00"/>
    <n v="215"/>
    <x v="16"/>
    <x v="0"/>
    <n v="0"/>
    <n v="0"/>
    <n v="0"/>
    <n v="0"/>
    <n v="0"/>
    <n v="0"/>
    <n v="0"/>
    <n v="0"/>
    <n v="0"/>
    <n v="0"/>
    <n v="0"/>
    <n v="0"/>
    <n v="0"/>
    <n v="0"/>
    <n v="0"/>
    <n v="0"/>
    <n v="0"/>
    <n v="0"/>
    <n v="0"/>
    <n v="0"/>
    <n v="1"/>
    <n v="0"/>
    <n v="0"/>
    <n v="0"/>
    <n v="0"/>
    <n v="0"/>
    <n v="0"/>
    <n v="0"/>
    <n v="0"/>
    <n v="0"/>
    <n v="0"/>
    <n v="0"/>
    <n v="0"/>
    <n v="0"/>
    <n v="0"/>
    <n v="0"/>
    <n v="0"/>
    <n v="0"/>
    <n v="0"/>
    <n v="0"/>
    <n v="0"/>
    <n v="0"/>
    <n v="0"/>
    <n v="2"/>
    <n v="0"/>
    <n v="0"/>
    <n v="0"/>
    <n v="0"/>
    <n v="0"/>
    <n v="0"/>
    <n v="2"/>
    <n v="0"/>
    <n v="0"/>
    <n v="0"/>
    <n v="0"/>
    <n v="0"/>
    <n v="0"/>
    <n v="0"/>
    <n v="0"/>
    <n v="0"/>
    <n v="0"/>
    <n v="0"/>
    <n v="0"/>
    <n v="0"/>
    <n v="0"/>
    <n v="0"/>
    <n v="0"/>
    <n v="0"/>
    <n v="0"/>
    <n v="0"/>
    <n v="0"/>
    <n v="0"/>
    <n v="0"/>
  </r>
  <r>
    <d v="2024-08-08T00:00:00"/>
    <n v="221"/>
    <x v="17"/>
    <x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1"/>
    <n v="0"/>
    <n v="0"/>
    <n v="0"/>
  </r>
  <r>
    <d v="2024-08-14T00:00:00"/>
    <n v="227"/>
    <x v="17"/>
    <x v="1"/>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2"/>
    <n v="0"/>
    <n v="0"/>
    <n v="0"/>
    <n v="0"/>
    <n v="0"/>
    <n v="0"/>
    <n v="0"/>
    <n v="0"/>
    <n v="0"/>
    <n v="0"/>
    <n v="0"/>
    <n v="0"/>
    <n v="0"/>
  </r>
  <r>
    <d v="2024-08-08T00:00:00"/>
    <n v="221"/>
    <x v="18"/>
    <x v="1"/>
    <n v="0"/>
    <n v="0"/>
    <n v="0"/>
    <n v="0"/>
    <n v="0"/>
    <n v="0"/>
    <n v="0"/>
    <n v="0"/>
    <n v="0"/>
    <n v="0"/>
    <n v="0"/>
    <n v="0"/>
    <n v="0"/>
    <n v="0"/>
    <n v="0"/>
    <n v="0"/>
    <n v="0"/>
    <n v="0"/>
    <n v="0"/>
    <n v="0"/>
    <n v="0"/>
    <n v="0"/>
    <n v="3"/>
    <n v="0"/>
    <n v="0"/>
    <n v="0"/>
    <n v="0"/>
    <n v="0"/>
    <n v="0"/>
    <n v="1"/>
    <n v="0"/>
    <n v="0"/>
    <n v="2"/>
    <n v="2"/>
    <n v="0"/>
    <n v="0"/>
    <n v="0"/>
    <n v="0"/>
    <n v="0"/>
    <n v="0"/>
    <n v="0"/>
    <n v="0"/>
    <n v="0"/>
    <n v="0"/>
    <n v="0"/>
    <n v="0"/>
    <n v="0"/>
    <n v="0"/>
    <n v="0"/>
    <n v="0"/>
    <n v="0"/>
    <n v="0"/>
    <n v="0"/>
    <n v="1"/>
    <n v="0"/>
    <n v="0"/>
    <n v="0"/>
    <n v="0"/>
    <n v="0"/>
    <n v="1"/>
    <n v="0"/>
    <n v="0"/>
    <n v="0"/>
    <n v="0"/>
    <n v="0"/>
    <n v="0"/>
    <n v="0"/>
    <n v="0"/>
    <n v="0"/>
    <n v="0"/>
    <n v="0"/>
    <n v="0"/>
    <n v="0"/>
  </r>
  <r>
    <d v="2024-08-14T00:00:00"/>
    <n v="227"/>
    <x v="18"/>
    <x v="1"/>
    <n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n v="0"/>
    <n v="1"/>
    <n v="3"/>
    <n v="0"/>
    <n v="0"/>
    <n v="0"/>
    <n v="0"/>
    <n v="0"/>
    <n v="0"/>
    <n v="0"/>
    <n v="0"/>
    <n v="0"/>
    <n v="0"/>
    <n v="0"/>
    <n v="0"/>
    <n v="0"/>
  </r>
  <r>
    <d v="2024-08-21T00:00:00"/>
    <n v="234"/>
    <x v="18"/>
    <x v="0"/>
    <n v="0"/>
    <n v="0"/>
    <n v="0"/>
    <n v="0"/>
    <n v="0"/>
    <n v="0"/>
    <n v="0"/>
    <n v="0"/>
    <n v="0"/>
    <n v="0"/>
    <n v="0"/>
    <n v="0"/>
    <n v="0"/>
    <n v="0"/>
    <n v="0"/>
    <n v="0"/>
    <n v="0"/>
    <n v="0"/>
    <n v="0"/>
    <n v="0"/>
    <n v="0"/>
    <n v="0"/>
    <n v="1"/>
    <n v="0"/>
    <n v="0"/>
    <n v="0"/>
    <n v="0"/>
    <n v="0"/>
    <n v="0"/>
    <n v="0"/>
    <n v="0"/>
    <n v="0"/>
    <n v="1"/>
    <n v="0"/>
    <n v="0"/>
    <n v="0"/>
    <n v="0"/>
    <n v="0"/>
    <n v="0"/>
    <n v="0"/>
    <n v="0"/>
    <n v="0"/>
    <n v="0"/>
    <n v="0"/>
    <n v="0"/>
    <n v="0"/>
    <n v="0"/>
    <n v="0"/>
    <n v="0"/>
    <n v="0"/>
    <n v="0"/>
    <n v="0"/>
    <n v="0"/>
    <n v="0"/>
    <n v="0"/>
    <n v="0"/>
    <n v="0"/>
    <n v="0"/>
    <n v="0"/>
    <n v="0"/>
    <n v="0"/>
    <n v="0"/>
    <n v="0"/>
    <n v="0"/>
    <n v="0"/>
    <n v="0"/>
    <n v="0"/>
    <n v="0"/>
    <n v="0"/>
    <n v="0"/>
    <n v="0"/>
    <n v="0"/>
    <n v="0"/>
  </r>
  <r>
    <d v="2024-07-17T00:00:00"/>
    <n v="199"/>
    <x v="19"/>
    <x v="0"/>
    <n v="0"/>
    <n v="0"/>
    <n v="0"/>
    <n v="0"/>
    <n v="0"/>
    <n v="0"/>
    <n v="0"/>
    <n v="0"/>
    <n v="0"/>
    <n v="0"/>
    <n v="0"/>
    <n v="0"/>
    <n v="2"/>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d v="2024-08-08T00:00:00"/>
    <n v="221"/>
    <x v="19"/>
    <x v="1"/>
    <n v="0"/>
    <n v="0"/>
    <n v="0"/>
    <n v="0"/>
    <n v="0"/>
    <n v="0"/>
    <n v="0"/>
    <n v="0"/>
    <n v="0"/>
    <n v="0"/>
    <n v="0"/>
    <n v="0"/>
    <n v="0"/>
    <n v="0"/>
    <n v="0"/>
    <n v="0"/>
    <n v="0"/>
    <n v="0"/>
    <n v="0"/>
    <n v="0"/>
    <n v="1"/>
    <n v="0"/>
    <n v="0"/>
    <n v="0"/>
    <n v="0"/>
    <n v="0"/>
    <n v="0"/>
    <n v="0"/>
    <n v="0"/>
    <n v="0"/>
    <n v="0"/>
    <n v="0"/>
    <n v="0"/>
    <n v="5"/>
    <n v="0"/>
    <n v="0"/>
    <n v="0"/>
    <n v="0"/>
    <n v="0"/>
    <n v="0"/>
    <n v="0"/>
    <n v="0"/>
    <n v="0"/>
    <n v="0"/>
    <n v="0"/>
    <n v="0"/>
    <n v="0"/>
    <n v="0"/>
    <n v="0"/>
    <n v="0"/>
    <n v="1"/>
    <n v="0"/>
    <n v="0"/>
    <n v="0"/>
    <n v="0"/>
    <n v="0"/>
    <n v="0"/>
    <n v="0"/>
    <n v="0"/>
    <n v="1"/>
    <n v="0"/>
    <n v="0"/>
    <n v="0"/>
    <n v="0"/>
    <n v="0"/>
    <n v="0"/>
    <n v="0"/>
    <n v="0"/>
    <n v="0"/>
    <n v="0"/>
    <n v="0"/>
    <n v="0"/>
    <n v="0"/>
  </r>
  <r>
    <d v="2024-08-14T00:00:00"/>
    <n v="227"/>
    <x v="19"/>
    <x v="1"/>
    <n v="0"/>
    <n v="0"/>
    <n v="0"/>
    <n v="0"/>
    <n v="0"/>
    <n v="0"/>
    <n v="0"/>
    <n v="1"/>
    <n v="0"/>
    <n v="0"/>
    <n v="0"/>
    <n v="0"/>
    <n v="0"/>
    <n v="0"/>
    <n v="0"/>
    <n v="0"/>
    <n v="0"/>
    <n v="1"/>
    <n v="0"/>
    <n v="0"/>
    <n v="0"/>
    <n v="0"/>
    <n v="0"/>
    <n v="0"/>
    <n v="0"/>
    <n v="0"/>
    <n v="0"/>
    <n v="0"/>
    <n v="0"/>
    <n v="0"/>
    <n v="0"/>
    <n v="0"/>
    <n v="0"/>
    <n v="0"/>
    <n v="0"/>
    <n v="0"/>
    <n v="0"/>
    <n v="0"/>
    <n v="0"/>
    <n v="0"/>
    <n v="0"/>
    <n v="0"/>
    <n v="0"/>
    <n v="0"/>
    <n v="0"/>
    <n v="0"/>
    <n v="0"/>
    <n v="0"/>
    <n v="0"/>
    <n v="0"/>
    <n v="0"/>
    <n v="0"/>
    <n v="0"/>
    <n v="0"/>
    <n v="0"/>
    <n v="0"/>
    <n v="0"/>
    <n v="0"/>
    <n v="0"/>
    <n v="2"/>
    <n v="0"/>
    <n v="0"/>
    <n v="0"/>
    <n v="0"/>
    <n v="0"/>
    <n v="0"/>
    <n v="0"/>
    <n v="0"/>
    <n v="0"/>
    <n v="0"/>
    <n v="0"/>
    <n v="0"/>
    <n v="0"/>
  </r>
  <r>
    <d v="2024-08-21T00:00:00"/>
    <n v="234"/>
    <x v="19"/>
    <x v="1"/>
    <n v="0"/>
    <n v="0"/>
    <n v="0"/>
    <n v="0"/>
    <n v="0"/>
    <n v="0"/>
    <n v="0"/>
    <n v="0"/>
    <n v="0"/>
    <n v="0"/>
    <n v="0"/>
    <n v="0"/>
    <n v="0"/>
    <n v="0"/>
    <n v="0"/>
    <n v="0"/>
    <n v="0"/>
    <n v="0"/>
    <n v="0"/>
    <n v="0"/>
    <n v="1"/>
    <n v="0"/>
    <n v="1"/>
    <n v="0"/>
    <n v="0"/>
    <n v="0"/>
    <n v="0"/>
    <n v="0"/>
    <n v="0"/>
    <n v="0"/>
    <n v="0"/>
    <n v="0"/>
    <n v="1"/>
    <n v="0"/>
    <n v="0"/>
    <n v="0"/>
    <n v="0"/>
    <n v="0"/>
    <n v="0"/>
    <n v="0"/>
    <n v="0"/>
    <n v="0"/>
    <n v="0"/>
    <n v="0"/>
    <n v="0"/>
    <n v="0"/>
    <n v="0"/>
    <n v="0"/>
    <n v="0"/>
    <n v="0"/>
    <n v="0"/>
    <n v="0"/>
    <n v="0"/>
    <n v="0"/>
    <n v="0"/>
    <n v="0"/>
    <n v="0"/>
    <n v="0"/>
    <n v="0"/>
    <n v="0"/>
    <n v="0"/>
    <n v="0"/>
    <n v="0"/>
    <n v="0"/>
    <n v="0"/>
    <n v="0"/>
    <n v="0"/>
    <n v="0"/>
    <n v="0"/>
    <n v="0"/>
    <n v="0"/>
    <n v="0"/>
    <n v="0"/>
  </r>
  <r>
    <d v="2024-07-18T00:00:00"/>
    <n v="200"/>
    <x v="20"/>
    <x v="0"/>
    <n v="0"/>
    <n v="0"/>
    <n v="0"/>
    <n v="0"/>
    <n v="0"/>
    <n v="0"/>
    <n v="0"/>
    <n v="0"/>
    <n v="0"/>
    <n v="0"/>
    <n v="0"/>
    <n v="0"/>
    <n v="0"/>
    <n v="0"/>
    <n v="0"/>
    <n v="0"/>
    <n v="0"/>
    <n v="0"/>
    <n v="0"/>
    <n v="0"/>
    <n v="0"/>
    <n v="0"/>
    <n v="1"/>
    <n v="0"/>
    <n v="0"/>
    <n v="0"/>
    <n v="0"/>
    <n v="0"/>
    <n v="0"/>
    <n v="0"/>
    <n v="0"/>
    <n v="0"/>
    <n v="1"/>
    <n v="0"/>
    <n v="0"/>
    <n v="0"/>
    <n v="0"/>
    <n v="0"/>
    <n v="0"/>
    <n v="0"/>
    <n v="0"/>
    <n v="0"/>
    <n v="0"/>
    <n v="0"/>
    <n v="0"/>
    <n v="0"/>
    <n v="0"/>
    <n v="0"/>
    <n v="0"/>
    <n v="0"/>
    <n v="0"/>
    <n v="0"/>
    <n v="0"/>
    <n v="0"/>
    <n v="0"/>
    <n v="1"/>
    <n v="0"/>
    <n v="0"/>
    <n v="0"/>
    <n v="0"/>
    <n v="0"/>
    <n v="0"/>
    <n v="0"/>
    <n v="0"/>
    <n v="0"/>
    <n v="0"/>
    <n v="0"/>
    <n v="0"/>
    <n v="0"/>
    <n v="0"/>
    <n v="0"/>
    <n v="0"/>
    <n v="0"/>
  </r>
  <r>
    <d v="2024-07-26T00:00:00"/>
    <n v="208"/>
    <x v="20"/>
    <x v="0"/>
    <n v="0"/>
    <n v="0"/>
    <n v="0"/>
    <n v="0"/>
    <n v="0"/>
    <n v="0"/>
    <n v="0"/>
    <n v="0"/>
    <n v="0"/>
    <n v="0"/>
    <n v="0"/>
    <n v="0"/>
    <n v="0"/>
    <n v="0"/>
    <n v="0"/>
    <n v="0"/>
    <n v="0"/>
    <n v="0"/>
    <n v="0"/>
    <n v="0"/>
    <n v="0"/>
    <n v="0"/>
    <n v="0"/>
    <n v="0"/>
    <n v="0"/>
    <n v="0"/>
    <n v="0"/>
    <n v="0"/>
    <n v="0"/>
    <n v="0"/>
    <n v="0"/>
    <n v="0"/>
    <n v="0"/>
    <n v="1"/>
    <n v="0"/>
    <n v="0"/>
    <n v="0"/>
    <n v="0"/>
    <n v="0"/>
    <n v="0"/>
    <n v="0"/>
    <n v="0"/>
    <n v="0"/>
    <n v="0"/>
    <n v="0"/>
    <n v="0"/>
    <n v="0"/>
    <n v="0"/>
    <n v="0"/>
    <n v="0"/>
    <n v="0"/>
    <n v="0"/>
    <n v="0"/>
    <n v="1"/>
    <n v="0"/>
    <n v="0"/>
    <n v="0"/>
    <n v="0"/>
    <n v="0"/>
    <n v="0"/>
    <n v="0"/>
    <n v="0"/>
    <n v="0"/>
    <n v="0"/>
    <n v="0"/>
    <n v="0"/>
    <n v="0"/>
    <n v="0"/>
    <n v="0"/>
    <n v="0"/>
    <n v="0"/>
    <n v="0"/>
    <n v="0"/>
  </r>
  <r>
    <d v="2024-08-02T00:00:00"/>
    <n v="215"/>
    <x v="20"/>
    <x v="0"/>
    <n v="0"/>
    <n v="0"/>
    <n v="0"/>
    <n v="0"/>
    <n v="0"/>
    <n v="0"/>
    <n v="0"/>
    <n v="0"/>
    <n v="0"/>
    <n v="0"/>
    <n v="0"/>
    <n v="0"/>
    <n v="0"/>
    <n v="0"/>
    <n v="0"/>
    <n v="0"/>
    <n v="0"/>
    <n v="1"/>
    <n v="0"/>
    <n v="0"/>
    <n v="0"/>
    <n v="0"/>
    <n v="5"/>
    <n v="0"/>
    <n v="0"/>
    <n v="0"/>
    <n v="1"/>
    <n v="0"/>
    <n v="0"/>
    <n v="1"/>
    <n v="0"/>
    <n v="0"/>
    <n v="3"/>
    <n v="2"/>
    <n v="0"/>
    <n v="0"/>
    <n v="0"/>
    <n v="0"/>
    <n v="0"/>
    <n v="0"/>
    <n v="0"/>
    <n v="0"/>
    <n v="0"/>
    <n v="0"/>
    <n v="0"/>
    <n v="0"/>
    <n v="0"/>
    <n v="0"/>
    <n v="0"/>
    <n v="0"/>
    <n v="0"/>
    <n v="0"/>
    <n v="0"/>
    <n v="0"/>
    <n v="0"/>
    <n v="0"/>
    <n v="3"/>
    <n v="0"/>
    <n v="0"/>
    <n v="5"/>
    <n v="0"/>
    <n v="0"/>
    <n v="0"/>
    <n v="0"/>
    <n v="0"/>
    <n v="0"/>
    <n v="0"/>
    <n v="0"/>
    <n v="0"/>
    <n v="0"/>
    <n v="0"/>
    <n v="0"/>
    <n v="0"/>
  </r>
  <r>
    <d v="2024-08-13T00:00:00"/>
    <n v="226"/>
    <x v="20"/>
    <x v="1"/>
    <n v="0"/>
    <n v="0"/>
    <n v="0"/>
    <n v="0"/>
    <n v="0"/>
    <n v="0"/>
    <n v="0"/>
    <n v="0"/>
    <n v="0"/>
    <n v="0"/>
    <n v="0"/>
    <n v="0"/>
    <n v="0"/>
    <n v="0"/>
    <n v="0"/>
    <n v="0"/>
    <n v="0"/>
    <n v="0"/>
    <n v="0"/>
    <n v="0"/>
    <n v="0"/>
    <n v="0"/>
    <n v="1"/>
    <n v="0"/>
    <n v="0"/>
    <n v="0"/>
    <n v="0"/>
    <n v="0"/>
    <n v="0"/>
    <n v="0"/>
    <n v="0"/>
    <n v="0"/>
    <n v="1"/>
    <n v="0"/>
    <n v="0"/>
    <n v="0"/>
    <n v="0"/>
    <n v="0"/>
    <n v="0"/>
    <n v="0"/>
    <n v="0"/>
    <n v="0"/>
    <n v="0"/>
    <n v="0"/>
    <n v="0"/>
    <n v="0"/>
    <n v="0"/>
    <n v="0"/>
    <n v="0"/>
    <n v="0"/>
    <n v="0"/>
    <n v="0"/>
    <n v="0"/>
    <n v="0"/>
    <n v="0"/>
    <n v="0"/>
    <n v="0"/>
    <n v="0"/>
    <n v="0"/>
    <n v="0"/>
    <n v="0"/>
    <n v="0"/>
    <n v="0"/>
    <n v="0"/>
    <n v="0"/>
    <n v="0"/>
    <n v="0"/>
    <n v="0"/>
    <n v="0"/>
    <n v="0"/>
    <n v="0"/>
    <n v="0"/>
    <n v="0"/>
  </r>
  <r>
    <d v="2024-07-10T00:00:00"/>
    <n v="192"/>
    <x v="21"/>
    <x v="0"/>
    <n v="0"/>
    <n v="0"/>
    <n v="0"/>
    <n v="0"/>
    <n v="0"/>
    <n v="0"/>
    <n v="0"/>
    <n v="0"/>
    <n v="0"/>
    <n v="0"/>
    <n v="0"/>
    <n v="0"/>
    <n v="2"/>
    <n v="0"/>
    <n v="0"/>
    <n v="0"/>
    <n v="1"/>
    <n v="0"/>
    <n v="0"/>
    <n v="0"/>
    <n v="0"/>
    <n v="0"/>
    <n v="2"/>
    <n v="0"/>
    <n v="0"/>
    <n v="0"/>
    <n v="0"/>
    <n v="0"/>
    <n v="0"/>
    <n v="2"/>
    <n v="0"/>
    <n v="0"/>
    <n v="0"/>
    <n v="1"/>
    <n v="0"/>
    <n v="0"/>
    <n v="0"/>
    <n v="0"/>
    <n v="0"/>
    <n v="0"/>
    <n v="0"/>
    <n v="0"/>
    <n v="0"/>
    <n v="0"/>
    <n v="0"/>
    <n v="0"/>
    <n v="0"/>
    <n v="0"/>
    <n v="0"/>
    <n v="0"/>
    <n v="0"/>
    <n v="0"/>
    <n v="0"/>
    <n v="0"/>
    <n v="0"/>
    <n v="0"/>
    <n v="0"/>
    <n v="0"/>
    <n v="0"/>
    <n v="4"/>
    <n v="0"/>
    <n v="0"/>
    <n v="0"/>
    <n v="0"/>
    <n v="0"/>
    <n v="0"/>
    <n v="0"/>
    <n v="1"/>
    <n v="0"/>
    <n v="0"/>
    <n v="0"/>
    <n v="0"/>
    <n v="0"/>
  </r>
  <r>
    <d v="2024-07-25T00:00:00"/>
    <n v="207"/>
    <x v="21"/>
    <x v="0"/>
    <n v="0"/>
    <n v="0"/>
    <n v="0"/>
    <n v="0"/>
    <n v="0"/>
    <n v="0"/>
    <n v="0"/>
    <n v="0"/>
    <n v="0"/>
    <n v="0"/>
    <n v="0"/>
    <n v="0"/>
    <n v="0"/>
    <n v="1"/>
    <n v="0"/>
    <n v="0"/>
    <n v="0"/>
    <n v="0"/>
    <n v="0"/>
    <n v="0"/>
    <n v="1"/>
    <n v="0"/>
    <n v="0"/>
    <n v="0"/>
    <n v="0"/>
    <n v="0"/>
    <n v="0"/>
    <n v="0"/>
    <n v="0"/>
    <n v="0"/>
    <n v="0"/>
    <n v="0"/>
    <n v="0"/>
    <n v="2"/>
    <n v="0"/>
    <n v="0"/>
    <n v="0"/>
    <n v="0"/>
    <n v="0"/>
    <n v="0"/>
    <n v="0"/>
    <n v="0"/>
    <n v="0"/>
    <n v="0"/>
    <n v="0"/>
    <n v="0"/>
    <n v="0"/>
    <n v="0"/>
    <n v="0"/>
    <n v="0"/>
    <n v="0"/>
    <n v="0"/>
    <n v="0"/>
    <n v="0"/>
    <n v="0"/>
    <n v="0"/>
    <n v="0"/>
    <n v="0"/>
    <n v="0"/>
    <n v="0"/>
    <n v="0"/>
    <n v="0"/>
    <n v="0"/>
    <n v="0"/>
    <n v="0"/>
    <n v="0"/>
    <n v="0"/>
    <n v="0"/>
    <n v="0"/>
    <n v="0"/>
    <n v="0"/>
    <n v="0"/>
    <n v="0"/>
  </r>
  <r>
    <d v="2024-08-09T00:00:00"/>
    <n v="222"/>
    <x v="21"/>
    <x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d v="2024-07-26T00:00:00"/>
    <n v="208"/>
    <x v="22"/>
    <x v="0"/>
    <n v="0"/>
    <n v="0"/>
    <n v="0"/>
    <n v="0"/>
    <n v="0"/>
    <n v="0"/>
    <n v="0"/>
    <n v="0"/>
    <n v="0"/>
    <n v="0"/>
    <n v="0"/>
    <n v="0"/>
    <n v="0"/>
    <n v="0"/>
    <n v="0"/>
    <n v="0"/>
    <n v="0"/>
    <n v="0"/>
    <n v="0"/>
    <n v="0"/>
    <n v="1"/>
    <n v="0"/>
    <n v="1"/>
    <n v="0"/>
    <n v="0"/>
    <n v="0"/>
    <n v="0"/>
    <n v="0"/>
    <n v="0"/>
    <n v="0"/>
    <n v="0"/>
    <n v="0"/>
    <n v="1"/>
    <n v="0"/>
    <n v="0"/>
    <n v="0"/>
    <n v="0"/>
    <n v="0"/>
    <n v="0"/>
    <n v="0"/>
    <n v="0"/>
    <n v="0"/>
    <n v="0"/>
    <n v="0"/>
    <n v="0"/>
    <n v="0"/>
    <n v="0"/>
    <n v="0"/>
    <n v="0"/>
    <n v="0"/>
    <n v="0"/>
    <n v="0"/>
    <n v="0"/>
    <n v="0"/>
    <n v="0"/>
    <n v="0"/>
    <n v="0"/>
    <n v="0"/>
    <n v="0"/>
    <n v="1"/>
    <n v="0"/>
    <n v="0"/>
    <n v="0"/>
    <n v="0"/>
    <n v="0"/>
    <n v="0"/>
    <n v="0"/>
    <n v="0"/>
    <n v="0"/>
    <n v="0"/>
    <n v="0"/>
    <n v="0"/>
    <n v="0"/>
  </r>
  <r>
    <d v="2024-07-29T00:00:00"/>
    <n v="211"/>
    <x v="22"/>
    <x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r>
  <r>
    <d v="2024-08-08T00:00:00"/>
    <n v="221"/>
    <x v="23"/>
    <x v="1"/>
    <n v="0"/>
    <n v="0"/>
    <n v="0"/>
    <n v="0"/>
    <n v="0"/>
    <n v="0"/>
    <n v="0"/>
    <n v="0"/>
    <n v="0"/>
    <n v="0"/>
    <n v="0"/>
    <n v="0"/>
    <n v="0"/>
    <n v="0"/>
    <n v="0"/>
    <n v="0"/>
    <n v="0"/>
    <n v="0"/>
    <n v="0"/>
    <n v="0"/>
    <n v="0"/>
    <n v="0"/>
    <n v="1"/>
    <n v="0"/>
    <n v="0"/>
    <n v="0"/>
    <n v="0"/>
    <n v="0"/>
    <n v="0"/>
    <n v="0"/>
    <n v="0"/>
    <n v="0"/>
    <n v="1"/>
    <n v="0"/>
    <n v="0"/>
    <n v="0"/>
    <n v="0"/>
    <n v="0"/>
    <n v="0"/>
    <n v="0"/>
    <n v="0"/>
    <n v="0"/>
    <n v="0"/>
    <n v="0"/>
    <n v="0"/>
    <n v="0"/>
    <n v="0"/>
    <n v="0"/>
    <n v="0"/>
    <n v="0"/>
    <n v="0"/>
    <n v="0"/>
    <n v="0"/>
    <n v="0"/>
    <n v="0"/>
    <n v="0"/>
    <n v="0"/>
    <n v="0"/>
    <n v="0"/>
    <n v="0"/>
    <n v="0"/>
    <n v="0"/>
    <n v="0"/>
    <n v="0"/>
    <n v="0"/>
    <n v="0"/>
    <n v="0"/>
    <n v="0"/>
    <n v="0"/>
    <n v="0"/>
    <n v="0"/>
    <n v="0"/>
    <n v="0"/>
  </r>
  <r>
    <d v="2024-08-13T00:00:00"/>
    <n v="226"/>
    <x v="23"/>
    <x v="1"/>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r>
  <r>
    <d v="2024-08-20T00:00:00"/>
    <n v="233"/>
    <x v="23"/>
    <x v="2"/>
    <n v="0"/>
    <n v="0"/>
    <n v="1"/>
    <n v="0"/>
    <n v="0"/>
    <n v="1"/>
    <n v="0"/>
    <n v="0"/>
    <n v="0"/>
    <n v="0"/>
    <n v="0"/>
    <n v="0"/>
    <n v="0"/>
    <n v="0"/>
    <n v="0"/>
    <n v="0"/>
    <n v="0"/>
    <n v="0"/>
    <n v="0"/>
    <n v="0"/>
    <n v="0"/>
    <n v="0"/>
    <n v="0"/>
    <n v="0"/>
    <n v="0"/>
    <n v="0"/>
    <n v="0"/>
    <n v="0"/>
    <n v="0"/>
    <n v="0"/>
    <n v="0"/>
    <n v="0"/>
    <n v="0"/>
    <n v="0"/>
    <n v="0"/>
    <n v="0"/>
    <n v="0"/>
    <n v="0"/>
    <n v="0"/>
    <n v="0"/>
    <n v="0"/>
    <n v="0"/>
    <n v="0"/>
    <n v="0"/>
    <n v="0"/>
    <n v="0"/>
    <n v="0"/>
    <n v="0"/>
    <n v="0"/>
    <n v="0"/>
    <n v="1"/>
    <n v="0"/>
    <n v="0"/>
    <n v="0"/>
    <n v="0"/>
    <n v="0"/>
    <n v="0"/>
    <n v="0"/>
    <n v="0"/>
    <n v="1"/>
    <n v="0"/>
    <n v="0"/>
    <n v="0"/>
    <n v="0"/>
    <n v="0"/>
    <n v="0"/>
    <n v="0"/>
    <n v="0"/>
    <n v="0"/>
    <n v="0"/>
    <n v="0"/>
    <n v="0"/>
    <n v="0"/>
  </r>
  <r>
    <d v="2024-07-18T00:00:00"/>
    <n v="200"/>
    <x v="24"/>
    <x v="0"/>
    <n v="0"/>
    <n v="0"/>
    <n v="0"/>
    <n v="0"/>
    <n v="0"/>
    <n v="0"/>
    <n v="0"/>
    <n v="0"/>
    <n v="0"/>
    <n v="0"/>
    <n v="0"/>
    <n v="0"/>
    <n v="0"/>
    <n v="0"/>
    <n v="0"/>
    <n v="0"/>
    <n v="1"/>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r>
  <r>
    <d v="2024-07-26T00:00:00"/>
    <n v="208"/>
    <x v="25"/>
    <x v="0"/>
    <n v="0"/>
    <n v="0"/>
    <n v="0"/>
    <n v="0"/>
    <n v="0"/>
    <n v="0"/>
    <n v="0"/>
    <n v="0"/>
    <n v="0"/>
    <n v="0"/>
    <n v="0"/>
    <n v="0"/>
    <n v="0"/>
    <n v="0"/>
    <n v="0"/>
    <n v="0"/>
    <n v="1"/>
    <n v="2"/>
    <n v="0"/>
    <n v="0"/>
    <n v="1"/>
    <n v="0"/>
    <n v="0"/>
    <n v="0"/>
    <n v="0"/>
    <n v="0"/>
    <n v="0"/>
    <n v="0"/>
    <n v="0"/>
    <n v="0"/>
    <n v="0"/>
    <n v="0"/>
    <n v="0"/>
    <n v="0"/>
    <n v="0"/>
    <n v="0"/>
    <n v="0"/>
    <n v="0"/>
    <n v="0"/>
    <n v="0"/>
    <n v="0"/>
    <n v="0"/>
    <n v="0"/>
    <n v="0"/>
    <n v="0"/>
    <n v="0"/>
    <n v="0"/>
    <n v="0"/>
    <n v="0"/>
    <n v="0"/>
    <n v="0"/>
    <n v="0"/>
    <n v="0"/>
    <n v="0"/>
    <n v="0"/>
    <n v="0"/>
    <n v="0"/>
    <n v="0"/>
    <n v="0"/>
    <n v="3"/>
    <n v="0"/>
    <n v="0"/>
    <n v="0"/>
    <n v="0"/>
    <n v="0"/>
    <n v="0"/>
    <n v="0"/>
    <n v="0"/>
    <n v="0"/>
    <n v="0"/>
    <n v="0"/>
    <n v="0"/>
    <n v="0"/>
  </r>
  <r>
    <d v="2024-08-02T00:00:00"/>
    <n v="215"/>
    <x v="25"/>
    <x v="0"/>
    <n v="0"/>
    <n v="0"/>
    <n v="0"/>
    <n v="0"/>
    <n v="0"/>
    <n v="0"/>
    <n v="0"/>
    <n v="0"/>
    <n v="0"/>
    <n v="0"/>
    <n v="0"/>
    <n v="0"/>
    <n v="0"/>
    <n v="0"/>
    <n v="0"/>
    <n v="0"/>
    <n v="1"/>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r>
  <r>
    <d v="2024-08-09T00:00:00"/>
    <n v="222"/>
    <x v="25"/>
    <x v="0"/>
    <n v="0"/>
    <n v="0"/>
    <n v="0"/>
    <n v="0"/>
    <n v="0"/>
    <n v="0"/>
    <n v="0"/>
    <n v="0"/>
    <n v="0"/>
    <n v="0"/>
    <n v="0"/>
    <n v="0"/>
    <n v="0"/>
    <n v="0"/>
    <n v="0"/>
    <n v="0"/>
    <n v="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d v="2024-07-26T00:00:00"/>
    <n v="208"/>
    <x v="26"/>
    <x v="0"/>
    <n v="0"/>
    <n v="0"/>
    <n v="0"/>
    <n v="0"/>
    <n v="0"/>
    <n v="0"/>
    <n v="0"/>
    <n v="0"/>
    <n v="0"/>
    <n v="0"/>
    <n v="0"/>
    <n v="0"/>
    <n v="1"/>
    <n v="0"/>
    <n v="0"/>
    <n v="0"/>
    <n v="0"/>
    <n v="0"/>
    <n v="0"/>
    <n v="0"/>
    <n v="1"/>
    <n v="0"/>
    <n v="0"/>
    <n v="0"/>
    <n v="0"/>
    <n v="0"/>
    <n v="0"/>
    <n v="0"/>
    <n v="0"/>
    <n v="0"/>
    <n v="0"/>
    <n v="0"/>
    <n v="0"/>
    <n v="0"/>
    <n v="0"/>
    <n v="0"/>
    <n v="0"/>
    <n v="0"/>
    <n v="0"/>
    <n v="0"/>
    <n v="0"/>
    <n v="0"/>
    <n v="0"/>
    <n v="0"/>
    <n v="0"/>
    <n v="0"/>
    <n v="0"/>
    <n v="0"/>
    <n v="0"/>
    <n v="0"/>
    <n v="0"/>
    <n v="0"/>
    <n v="0"/>
    <n v="0"/>
    <n v="0"/>
    <n v="0"/>
    <n v="0"/>
    <n v="0"/>
    <n v="0"/>
    <n v="0"/>
    <n v="1"/>
    <n v="0"/>
    <n v="0"/>
    <n v="0"/>
    <n v="0"/>
    <n v="0"/>
    <n v="0"/>
    <n v="0"/>
    <n v="0"/>
    <n v="0"/>
    <n v="0"/>
    <n v="0"/>
    <n v="0"/>
  </r>
  <r>
    <d v="2024-08-01T00:00:00"/>
    <n v="214"/>
    <x v="26"/>
    <x v="0"/>
    <n v="0"/>
    <n v="0"/>
    <n v="0"/>
    <n v="0"/>
    <n v="0"/>
    <n v="0"/>
    <n v="0"/>
    <n v="0"/>
    <n v="0"/>
    <n v="0"/>
    <n v="0"/>
    <n v="0"/>
    <n v="0"/>
    <n v="0"/>
    <n v="0"/>
    <n v="0"/>
    <n v="0"/>
    <n v="0"/>
    <n v="0"/>
    <n v="0"/>
    <n v="0"/>
    <n v="0"/>
    <n v="1"/>
    <n v="0"/>
    <n v="0"/>
    <n v="0"/>
    <n v="0"/>
    <n v="0"/>
    <n v="0"/>
    <n v="1"/>
    <n v="0"/>
    <n v="0"/>
    <n v="0"/>
    <n v="0"/>
    <n v="0"/>
    <n v="0"/>
    <n v="0"/>
    <n v="0"/>
    <n v="0"/>
    <n v="0"/>
    <n v="0"/>
    <n v="0"/>
    <n v="0"/>
    <n v="0"/>
    <n v="0"/>
    <n v="0"/>
    <n v="0"/>
    <n v="0"/>
    <n v="0"/>
    <n v="0"/>
    <n v="0"/>
    <n v="0"/>
    <n v="0"/>
    <n v="0"/>
    <n v="0"/>
    <n v="0"/>
    <n v="0"/>
    <n v="0"/>
    <n v="0"/>
    <n v="1"/>
    <n v="0"/>
    <n v="0"/>
    <n v="0"/>
    <n v="0"/>
    <n v="0"/>
    <n v="0"/>
    <n v="0"/>
    <n v="0"/>
    <n v="0"/>
    <n v="0"/>
    <n v="0"/>
    <n v="0"/>
    <n v="0"/>
  </r>
  <r>
    <d v="2024-07-26T00:00:00"/>
    <n v="208"/>
    <x v="27"/>
    <x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3"/>
    <n v="0"/>
    <n v="1"/>
    <n v="7"/>
    <n v="0"/>
    <n v="0"/>
    <n v="0"/>
    <n v="0"/>
    <n v="0"/>
    <n v="0"/>
    <n v="0"/>
    <n v="0"/>
    <n v="0"/>
    <n v="0"/>
    <n v="0"/>
    <n v="0"/>
    <n v="0"/>
  </r>
  <r>
    <d v="2024-07-30T00:00:00"/>
    <n v="212"/>
    <x v="28"/>
    <x v="0"/>
    <n v="0"/>
    <n v="0"/>
    <n v="0"/>
    <n v="0"/>
    <n v="0"/>
    <n v="0"/>
    <n v="0"/>
    <n v="0"/>
    <n v="0"/>
    <n v="0"/>
    <n v="0"/>
    <n v="0"/>
    <n v="0"/>
    <n v="0"/>
    <n v="0"/>
    <n v="0"/>
    <n v="1"/>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r>
  <r>
    <d v="2024-08-08T00:00:00"/>
    <n v="221"/>
    <x v="29"/>
    <x v="1"/>
    <n v="0"/>
    <n v="0"/>
    <n v="0"/>
    <n v="0"/>
    <n v="0"/>
    <n v="0"/>
    <n v="0"/>
    <n v="0"/>
    <n v="0"/>
    <n v="0"/>
    <n v="0"/>
    <n v="0"/>
    <n v="0"/>
    <n v="0"/>
    <n v="0"/>
    <n v="0"/>
    <n v="1"/>
    <n v="0"/>
    <n v="0"/>
    <n v="0"/>
    <n v="0"/>
    <n v="0"/>
    <n v="1"/>
    <n v="0"/>
    <n v="0"/>
    <n v="0"/>
    <n v="0"/>
    <n v="0"/>
    <n v="0"/>
    <n v="0"/>
    <n v="0"/>
    <n v="0"/>
    <n v="1"/>
    <n v="0"/>
    <n v="0"/>
    <n v="0"/>
    <n v="0"/>
    <n v="0"/>
    <n v="0"/>
    <n v="0"/>
    <n v="0"/>
    <n v="0"/>
    <n v="0"/>
    <n v="0"/>
    <n v="0"/>
    <n v="0"/>
    <n v="0"/>
    <n v="0"/>
    <n v="0"/>
    <n v="0"/>
    <n v="0"/>
    <n v="0"/>
    <n v="0"/>
    <n v="0"/>
    <n v="0"/>
    <n v="0"/>
    <n v="0"/>
    <n v="0"/>
    <n v="0"/>
    <n v="0"/>
    <n v="0"/>
    <n v="0"/>
    <n v="0"/>
    <n v="0"/>
    <n v="0"/>
    <n v="0"/>
    <n v="0"/>
    <n v="0"/>
    <n v="0"/>
    <n v="0"/>
    <n v="0"/>
    <n v="0"/>
    <n v="0"/>
  </r>
  <r>
    <d v="2024-08-13T00:00:00"/>
    <n v="226"/>
    <x v="29"/>
    <x v="1"/>
    <n v="0"/>
    <n v="0"/>
    <n v="0"/>
    <n v="0"/>
    <n v="0"/>
    <n v="0"/>
    <n v="0"/>
    <n v="0"/>
    <n v="0"/>
    <n v="0"/>
    <n v="0"/>
    <n v="0"/>
    <n v="0"/>
    <n v="0"/>
    <n v="0"/>
    <n v="0"/>
    <n v="0"/>
    <n v="0"/>
    <n v="0"/>
    <n v="0"/>
    <n v="0"/>
    <n v="0"/>
    <n v="1"/>
    <n v="0"/>
    <n v="0"/>
    <n v="0"/>
    <n v="0"/>
    <n v="0"/>
    <n v="0"/>
    <n v="0"/>
    <n v="0"/>
    <n v="0"/>
    <n v="1"/>
    <n v="0"/>
    <n v="0"/>
    <n v="0"/>
    <n v="0"/>
    <n v="0"/>
    <n v="0"/>
    <n v="0"/>
    <n v="0"/>
    <n v="0"/>
    <n v="0"/>
    <n v="0"/>
    <n v="0"/>
    <n v="0"/>
    <n v="0"/>
    <n v="0"/>
    <n v="0"/>
    <n v="0"/>
    <n v="0"/>
    <n v="0"/>
    <n v="0"/>
    <n v="0"/>
    <n v="0"/>
    <n v="0"/>
    <n v="0"/>
    <n v="0"/>
    <n v="0"/>
    <n v="0"/>
    <n v="0"/>
    <n v="0"/>
    <n v="0"/>
    <n v="0"/>
    <n v="0"/>
    <n v="0"/>
    <n v="0"/>
    <n v="0"/>
    <n v="0"/>
    <n v="0"/>
    <n v="0"/>
    <n v="0"/>
    <n v="0"/>
  </r>
  <r>
    <d v="2024-08-20T00:00:00"/>
    <n v="233"/>
    <x v="29"/>
    <x v="2"/>
    <n v="0"/>
    <n v="0"/>
    <n v="0"/>
    <n v="0"/>
    <n v="1"/>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d v="2024-07-03T00:00:00"/>
    <n v="185"/>
    <x v="30"/>
    <x v="0"/>
    <n v="0"/>
    <n v="0"/>
    <n v="0"/>
    <n v="0"/>
    <n v="0"/>
    <n v="0"/>
    <n v="1"/>
    <n v="1"/>
    <n v="0"/>
    <n v="0"/>
    <n v="0"/>
    <n v="0"/>
    <n v="0"/>
    <n v="0"/>
    <n v="0"/>
    <n v="0"/>
    <n v="1"/>
    <n v="0"/>
    <n v="0"/>
    <n v="0"/>
    <n v="1"/>
    <n v="0"/>
    <n v="1"/>
    <n v="0"/>
    <n v="0"/>
    <n v="0"/>
    <n v="0"/>
    <n v="0"/>
    <n v="0"/>
    <n v="1"/>
    <n v="0"/>
    <n v="0"/>
    <n v="0"/>
    <n v="0"/>
    <n v="0"/>
    <n v="0"/>
    <n v="0"/>
    <n v="0"/>
    <n v="0"/>
    <n v="0"/>
    <n v="0"/>
    <n v="0"/>
    <n v="0"/>
    <n v="0"/>
    <n v="0"/>
    <n v="1"/>
    <n v="0"/>
    <n v="0"/>
    <n v="0"/>
    <n v="0"/>
    <n v="1"/>
    <n v="0"/>
    <n v="0"/>
    <n v="0"/>
    <n v="0"/>
    <n v="0"/>
    <n v="0"/>
    <n v="0"/>
    <n v="1"/>
    <n v="10"/>
    <n v="0"/>
    <n v="0"/>
    <n v="0"/>
    <n v="0"/>
    <n v="1"/>
    <n v="0"/>
    <n v="0"/>
    <n v="1"/>
    <n v="0"/>
    <n v="0"/>
    <n v="0"/>
    <n v="0"/>
    <n v="0"/>
  </r>
  <r>
    <d v="2024-07-17T00:00:00"/>
    <n v="199"/>
    <x v="30"/>
    <x v="0"/>
    <n v="0"/>
    <n v="0"/>
    <n v="0"/>
    <n v="0"/>
    <n v="0"/>
    <n v="0"/>
    <n v="0"/>
    <n v="0"/>
    <n v="0"/>
    <n v="0"/>
    <n v="0"/>
    <n v="0"/>
    <n v="0"/>
    <n v="0"/>
    <n v="0"/>
    <n v="0"/>
    <n v="2"/>
    <n v="0"/>
    <n v="0"/>
    <n v="0"/>
    <n v="2"/>
    <n v="0"/>
    <n v="0"/>
    <n v="0"/>
    <n v="0"/>
    <n v="0"/>
    <n v="0"/>
    <n v="0"/>
    <n v="0"/>
    <n v="0"/>
    <n v="0"/>
    <n v="0"/>
    <n v="0"/>
    <n v="0"/>
    <n v="0"/>
    <n v="0"/>
    <n v="0"/>
    <n v="0"/>
    <n v="0"/>
    <n v="0"/>
    <n v="0"/>
    <n v="0"/>
    <n v="0"/>
    <n v="0"/>
    <n v="0"/>
    <n v="0"/>
    <n v="0"/>
    <n v="0"/>
    <n v="0"/>
    <n v="0"/>
    <n v="1"/>
    <n v="0"/>
    <n v="0"/>
    <n v="0"/>
    <n v="0"/>
    <n v="0"/>
    <n v="1"/>
    <n v="0"/>
    <n v="0"/>
    <n v="4"/>
    <n v="0"/>
    <n v="0"/>
    <n v="0"/>
    <n v="0"/>
    <n v="0"/>
    <n v="0"/>
    <n v="0"/>
    <n v="0"/>
    <n v="0"/>
    <n v="0"/>
    <n v="0"/>
    <n v="0"/>
    <n v="0"/>
  </r>
  <r>
    <d v="2024-07-17T00:00:00"/>
    <n v="199"/>
    <x v="30"/>
    <x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2"/>
    <n v="0"/>
    <n v="0"/>
    <n v="0"/>
    <n v="0"/>
    <n v="1"/>
    <n v="0"/>
    <n v="0"/>
    <n v="1"/>
    <n v="0"/>
    <n v="0"/>
    <n v="0"/>
    <n v="0"/>
    <n v="0"/>
  </r>
  <r>
    <d v="2024-07-25T00:00:00"/>
    <n v="207"/>
    <x v="31"/>
    <x v="0"/>
    <n v="0"/>
    <n v="0"/>
    <n v="0"/>
    <n v="0"/>
    <n v="0"/>
    <n v="0"/>
    <n v="0"/>
    <n v="0"/>
    <n v="0"/>
    <n v="0"/>
    <n v="0"/>
    <n v="0"/>
    <n v="0"/>
    <n v="0"/>
    <n v="0"/>
    <n v="0"/>
    <n v="2"/>
    <n v="0"/>
    <n v="0"/>
    <n v="0"/>
    <n v="0"/>
    <n v="0"/>
    <n v="1"/>
    <n v="0"/>
    <n v="0"/>
    <n v="0"/>
    <n v="0"/>
    <n v="0"/>
    <n v="0"/>
    <n v="0"/>
    <n v="0"/>
    <n v="0"/>
    <n v="1"/>
    <n v="1"/>
    <n v="0"/>
    <n v="0"/>
    <n v="0"/>
    <n v="0"/>
    <n v="0"/>
    <n v="0"/>
    <n v="0"/>
    <n v="0"/>
    <n v="0"/>
    <n v="0"/>
    <n v="0"/>
    <n v="0"/>
    <n v="0"/>
    <n v="0"/>
    <n v="0"/>
    <n v="0"/>
    <n v="0"/>
    <n v="0"/>
    <n v="0"/>
    <n v="0"/>
    <n v="0"/>
    <n v="0"/>
    <n v="0"/>
    <n v="0"/>
    <n v="0"/>
    <n v="0"/>
    <n v="0"/>
    <n v="0"/>
    <n v="0"/>
    <n v="0"/>
    <n v="0"/>
    <n v="0"/>
    <n v="0"/>
    <n v="0"/>
    <n v="0"/>
    <n v="0"/>
    <n v="0"/>
    <n v="0"/>
    <n v="0"/>
  </r>
  <r>
    <d v="2024-08-01T00:00:00"/>
    <n v="214"/>
    <x v="31"/>
    <x v="0"/>
    <n v="0"/>
    <n v="0"/>
    <n v="0"/>
    <n v="0"/>
    <n v="0"/>
    <n v="0"/>
    <n v="0"/>
    <n v="0"/>
    <n v="0"/>
    <n v="0"/>
    <n v="0"/>
    <n v="0"/>
    <n v="0"/>
    <n v="0"/>
    <n v="0"/>
    <n v="0"/>
    <n v="1"/>
    <n v="0"/>
    <n v="0"/>
    <n v="0"/>
    <n v="0"/>
    <n v="0"/>
    <n v="2"/>
    <n v="0"/>
    <n v="0"/>
    <n v="0"/>
    <n v="0"/>
    <n v="0"/>
    <n v="0"/>
    <n v="0"/>
    <n v="0"/>
    <n v="0"/>
    <n v="2"/>
    <n v="0"/>
    <n v="0"/>
    <n v="0"/>
    <n v="0"/>
    <n v="0"/>
    <n v="0"/>
    <n v="0"/>
    <n v="0"/>
    <n v="0"/>
    <n v="0"/>
    <n v="0"/>
    <n v="0"/>
    <n v="0"/>
    <n v="0"/>
    <n v="0"/>
    <n v="0"/>
    <n v="0"/>
    <n v="0"/>
    <n v="0"/>
    <n v="0"/>
    <n v="0"/>
    <n v="0"/>
    <n v="0"/>
    <n v="3"/>
    <n v="0"/>
    <n v="0"/>
    <n v="2"/>
    <n v="0"/>
    <n v="0"/>
    <n v="0"/>
    <n v="0"/>
    <n v="1"/>
    <n v="0"/>
    <n v="0"/>
    <n v="0"/>
    <n v="0"/>
    <n v="0"/>
    <n v="0"/>
    <n v="0"/>
    <n v="1"/>
  </r>
  <r>
    <d v="2024-08-09T00:00:00"/>
    <n v="222"/>
    <x v="31"/>
    <x v="0"/>
    <n v="0"/>
    <n v="0"/>
    <n v="0"/>
    <n v="0"/>
    <n v="0"/>
    <n v="0"/>
    <n v="0"/>
    <n v="0"/>
    <n v="0"/>
    <n v="0"/>
    <n v="0"/>
    <n v="0"/>
    <n v="0"/>
    <n v="0"/>
    <n v="0"/>
    <n v="0"/>
    <n v="1"/>
    <n v="0"/>
    <n v="0"/>
    <n v="0"/>
    <n v="1"/>
    <n v="0"/>
    <n v="1"/>
    <n v="0"/>
    <n v="0"/>
    <n v="0"/>
    <n v="0"/>
    <n v="0"/>
    <n v="0"/>
    <n v="0"/>
    <n v="1"/>
    <n v="0"/>
    <n v="0"/>
    <n v="0"/>
    <n v="0"/>
    <n v="0"/>
    <n v="0"/>
    <n v="0"/>
    <n v="0"/>
    <n v="0"/>
    <n v="0"/>
    <n v="0"/>
    <n v="0"/>
    <n v="0"/>
    <n v="0"/>
    <n v="0"/>
    <n v="0"/>
    <n v="0"/>
    <n v="0"/>
    <n v="0"/>
    <n v="0"/>
    <n v="0"/>
    <n v="0"/>
    <n v="0"/>
    <n v="0"/>
    <n v="0"/>
    <n v="0"/>
    <n v="0"/>
    <n v="0"/>
    <n v="0"/>
    <n v="0"/>
    <n v="0"/>
    <n v="0"/>
    <n v="0"/>
    <n v="0"/>
    <n v="0"/>
    <n v="0"/>
    <n v="0"/>
    <n v="0"/>
    <n v="0"/>
    <n v="0"/>
    <n v="1"/>
    <n v="0"/>
  </r>
  <r>
    <d v="2024-08-21T00:00:00"/>
    <n v="234"/>
    <x v="31"/>
    <x v="1"/>
    <n v="0"/>
    <n v="0"/>
    <n v="0"/>
    <n v="0"/>
    <n v="0"/>
    <n v="0"/>
    <n v="0"/>
    <n v="0"/>
    <n v="0"/>
    <n v="0"/>
    <n v="0"/>
    <n v="0"/>
    <n v="0"/>
    <n v="1"/>
    <n v="0"/>
    <n v="0"/>
    <n v="0"/>
    <n v="0"/>
    <n v="0"/>
    <n v="0"/>
    <n v="0"/>
    <n v="0"/>
    <n v="0"/>
    <n v="0"/>
    <n v="0"/>
    <n v="0"/>
    <n v="0"/>
    <n v="0"/>
    <n v="0"/>
    <n v="0"/>
    <n v="0"/>
    <n v="0"/>
    <n v="0"/>
    <n v="0"/>
    <n v="0"/>
    <n v="0"/>
    <n v="0"/>
    <n v="0"/>
    <n v="0"/>
    <n v="0"/>
    <n v="0"/>
    <n v="0"/>
    <n v="0"/>
    <n v="0"/>
    <n v="0"/>
    <n v="0"/>
    <n v="0"/>
    <n v="0"/>
    <n v="0"/>
    <n v="0"/>
    <n v="0"/>
    <n v="0"/>
    <n v="0"/>
    <n v="0"/>
    <n v="0"/>
    <n v="0"/>
    <n v="1"/>
    <n v="0"/>
    <n v="4"/>
    <n v="1"/>
    <n v="0"/>
    <n v="0"/>
    <n v="0"/>
    <n v="0"/>
    <n v="0"/>
    <n v="0"/>
    <n v="0"/>
    <n v="0"/>
    <n v="0"/>
    <n v="0"/>
    <n v="0"/>
    <n v="0"/>
    <n v="0"/>
  </r>
  <r>
    <d v="2024-07-26T00:00:00"/>
    <n v="208"/>
    <x v="32"/>
    <x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0"/>
    <n v="0"/>
    <n v="0"/>
    <n v="0"/>
    <n v="0"/>
    <n v="0"/>
    <n v="0"/>
    <n v="0"/>
    <n v="0"/>
    <n v="0"/>
    <n v="0"/>
    <n v="0"/>
    <n v="0"/>
  </r>
  <r>
    <d v="2024-08-02T00:00:00"/>
    <n v="215"/>
    <x v="32"/>
    <x v="0"/>
    <n v="0"/>
    <n v="0"/>
    <n v="0"/>
    <n v="0"/>
    <n v="0"/>
    <n v="0"/>
    <n v="0"/>
    <n v="0"/>
    <n v="0"/>
    <n v="0"/>
    <n v="0"/>
    <n v="0"/>
    <n v="1"/>
    <n v="1"/>
    <n v="0"/>
    <n v="0"/>
    <n v="1"/>
    <n v="0"/>
    <n v="0"/>
    <n v="0"/>
    <n v="0"/>
    <n v="0"/>
    <n v="0"/>
    <n v="0"/>
    <n v="0"/>
    <n v="0"/>
    <n v="0"/>
    <n v="0"/>
    <n v="0"/>
    <n v="0"/>
    <n v="0"/>
    <n v="0"/>
    <n v="0"/>
    <n v="1"/>
    <n v="0"/>
    <n v="0"/>
    <n v="0"/>
    <n v="0"/>
    <n v="0"/>
    <n v="0"/>
    <n v="0"/>
    <n v="0"/>
    <n v="0"/>
    <n v="0"/>
    <n v="0"/>
    <n v="0"/>
    <n v="0"/>
    <n v="0"/>
    <n v="0"/>
    <n v="0"/>
    <n v="0"/>
    <n v="0"/>
    <n v="0"/>
    <n v="0"/>
    <n v="0"/>
    <n v="0"/>
    <n v="0"/>
    <n v="0"/>
    <n v="0"/>
    <n v="3"/>
    <n v="0"/>
    <n v="0"/>
    <n v="0"/>
    <n v="0"/>
    <n v="0"/>
    <n v="0"/>
    <n v="0"/>
    <n v="0"/>
    <n v="0"/>
    <n v="0"/>
    <n v="0"/>
    <n v="0"/>
    <n v="0"/>
  </r>
  <r>
    <d v="2024-08-08T00:00:00"/>
    <n v="221"/>
    <x v="32"/>
    <x v="1"/>
    <n v="0"/>
    <n v="0"/>
    <n v="0"/>
    <n v="0"/>
    <n v="0"/>
    <n v="0"/>
    <n v="0"/>
    <n v="0"/>
    <n v="0"/>
    <n v="0"/>
    <n v="0"/>
    <n v="0"/>
    <n v="0"/>
    <n v="0"/>
    <n v="0"/>
    <n v="1"/>
    <n v="0"/>
    <n v="1"/>
    <n v="0"/>
    <n v="0"/>
    <n v="2"/>
    <n v="0"/>
    <n v="1"/>
    <n v="0"/>
    <n v="0"/>
    <n v="0"/>
    <n v="0"/>
    <n v="0"/>
    <n v="0"/>
    <n v="0"/>
    <n v="0"/>
    <n v="0"/>
    <n v="1"/>
    <n v="0"/>
    <n v="0"/>
    <n v="0"/>
    <n v="0"/>
    <n v="0"/>
    <n v="0"/>
    <n v="0"/>
    <n v="0"/>
    <n v="0"/>
    <n v="0"/>
    <n v="0"/>
    <n v="0"/>
    <n v="0"/>
    <n v="0"/>
    <n v="0"/>
    <n v="0"/>
    <n v="0"/>
    <n v="0"/>
    <n v="0"/>
    <n v="0"/>
    <n v="0"/>
    <n v="0"/>
    <n v="0"/>
    <n v="0"/>
    <n v="0"/>
    <n v="0"/>
    <n v="0"/>
    <n v="0"/>
    <n v="0"/>
    <n v="0"/>
    <n v="0"/>
    <n v="0"/>
    <n v="0"/>
    <n v="0"/>
    <n v="0"/>
    <n v="0"/>
    <n v="0"/>
    <n v="0"/>
    <n v="0"/>
    <n v="0"/>
  </r>
  <r>
    <d v="2024-08-13T00:00:00"/>
    <n v="226"/>
    <x v="32"/>
    <x v="0"/>
    <n v="0"/>
    <n v="0"/>
    <n v="0"/>
    <n v="0"/>
    <n v="0"/>
    <n v="0"/>
    <n v="0"/>
    <n v="0"/>
    <n v="0"/>
    <n v="0"/>
    <n v="0"/>
    <n v="0"/>
    <n v="1"/>
    <n v="0"/>
    <n v="0"/>
    <n v="0"/>
    <n v="0"/>
    <n v="0"/>
    <n v="0"/>
    <n v="0"/>
    <n v="0"/>
    <n v="0"/>
    <n v="1"/>
    <n v="1"/>
    <n v="0"/>
    <n v="0"/>
    <n v="0"/>
    <n v="0"/>
    <n v="0"/>
    <n v="0"/>
    <n v="0"/>
    <n v="0"/>
    <n v="0"/>
    <n v="0"/>
    <n v="0"/>
    <n v="0"/>
    <n v="0"/>
    <n v="0"/>
    <n v="0"/>
    <n v="0"/>
    <n v="0"/>
    <n v="0"/>
    <n v="0"/>
    <n v="0"/>
    <n v="0"/>
    <n v="0"/>
    <n v="0"/>
    <n v="0"/>
    <n v="0"/>
    <n v="0"/>
    <n v="0"/>
    <n v="0"/>
    <n v="0"/>
    <n v="0"/>
    <n v="0"/>
    <n v="0"/>
    <n v="0"/>
    <n v="0"/>
    <n v="1"/>
    <n v="1"/>
    <n v="0"/>
    <n v="0"/>
    <n v="0"/>
    <n v="0"/>
    <n v="0"/>
    <n v="0"/>
    <n v="0"/>
    <n v="0"/>
    <n v="0"/>
    <n v="0"/>
    <n v="0"/>
    <n v="0"/>
    <n v="0"/>
  </r>
  <r>
    <d v="2024-08-20T00:00:00"/>
    <n v="233"/>
    <x v="32"/>
    <x v="2"/>
    <n v="1"/>
    <n v="0"/>
    <n v="2"/>
    <n v="0"/>
    <n v="1"/>
    <n v="1"/>
    <n v="0"/>
    <n v="0"/>
    <n v="1"/>
    <n v="0"/>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r>
  <r>
    <d v="2024-08-21T00:00:00"/>
    <n v="234"/>
    <x v="32"/>
    <x v="0"/>
    <n v="0"/>
    <n v="0"/>
    <n v="0"/>
    <n v="0"/>
    <n v="0"/>
    <n v="0"/>
    <n v="0"/>
    <n v="0"/>
    <n v="0"/>
    <n v="0"/>
    <n v="0"/>
    <n v="0"/>
    <n v="0"/>
    <n v="0"/>
    <n v="0"/>
    <n v="0"/>
    <n v="0"/>
    <n v="1"/>
    <n v="0"/>
    <n v="0"/>
    <n v="1"/>
    <n v="0"/>
    <n v="0"/>
    <n v="0"/>
    <n v="0"/>
    <n v="0"/>
    <n v="0"/>
    <n v="0"/>
    <n v="0"/>
    <n v="0"/>
    <n v="0"/>
    <n v="0"/>
    <n v="0"/>
    <n v="0"/>
    <n v="0"/>
    <n v="0"/>
    <n v="0"/>
    <n v="0"/>
    <n v="0"/>
    <n v="0"/>
    <n v="0"/>
    <n v="0"/>
    <n v="1"/>
    <n v="0"/>
    <n v="0"/>
    <n v="0"/>
    <n v="0"/>
    <n v="0"/>
    <n v="0"/>
    <n v="0"/>
    <n v="0"/>
    <n v="0"/>
    <n v="0"/>
    <n v="0"/>
    <n v="0"/>
    <n v="0"/>
    <n v="0"/>
    <n v="0"/>
    <n v="0"/>
    <n v="0"/>
    <n v="0"/>
    <n v="0"/>
    <n v="0"/>
    <n v="0"/>
    <n v="0"/>
    <n v="0"/>
    <n v="0"/>
    <n v="0"/>
    <n v="0"/>
    <n v="0"/>
    <n v="0"/>
    <n v="0"/>
    <n v="0"/>
  </r>
  <r>
    <d v="2024-07-23T00:00:00"/>
    <n v="205"/>
    <x v="33"/>
    <x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1"/>
    <n v="2"/>
    <n v="0"/>
    <n v="0"/>
    <n v="0"/>
    <n v="0"/>
    <n v="0"/>
    <n v="0"/>
    <n v="0"/>
    <n v="0"/>
    <n v="0"/>
    <n v="0"/>
    <n v="0"/>
    <n v="0"/>
    <n v="0"/>
  </r>
  <r>
    <d v="2024-07-29T00:00:00"/>
    <n v="211"/>
    <x v="33"/>
    <x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r>
  <r>
    <d v="2024-07-10T00:00:00"/>
    <n v="192"/>
    <x v="34"/>
    <x v="0"/>
    <n v="0"/>
    <n v="0"/>
    <n v="0"/>
    <n v="0"/>
    <n v="0"/>
    <n v="0"/>
    <n v="0"/>
    <n v="0"/>
    <n v="0"/>
    <n v="0"/>
    <n v="0"/>
    <n v="0"/>
    <n v="0"/>
    <n v="0"/>
    <n v="0"/>
    <n v="0"/>
    <n v="0"/>
    <n v="0"/>
    <n v="0"/>
    <n v="0"/>
    <n v="0"/>
    <n v="0"/>
    <n v="1"/>
    <n v="0"/>
    <n v="0"/>
    <n v="0"/>
    <n v="0"/>
    <n v="0"/>
    <n v="0"/>
    <n v="1"/>
    <n v="0"/>
    <n v="0"/>
    <n v="0"/>
    <n v="0"/>
    <n v="0"/>
    <n v="0"/>
    <n v="0"/>
    <n v="0"/>
    <n v="0"/>
    <n v="0"/>
    <n v="0"/>
    <n v="0"/>
    <n v="0"/>
    <n v="0"/>
    <n v="0"/>
    <n v="0"/>
    <n v="0"/>
    <n v="0"/>
    <n v="0"/>
    <n v="0"/>
    <n v="0"/>
    <n v="0"/>
    <n v="0"/>
    <n v="0"/>
    <n v="0"/>
    <n v="0"/>
    <n v="0"/>
    <n v="0"/>
    <n v="0"/>
    <n v="0"/>
    <n v="0"/>
    <n v="0"/>
    <n v="0"/>
    <n v="0"/>
    <n v="0"/>
    <n v="0"/>
    <n v="0"/>
    <n v="0"/>
    <n v="0"/>
    <n v="0"/>
    <n v="0"/>
    <n v="0"/>
    <n v="0"/>
  </r>
  <r>
    <d v="2024-07-25T00:00:00"/>
    <n v="207"/>
    <x v="34"/>
    <x v="0"/>
    <n v="0"/>
    <n v="0"/>
    <n v="0"/>
    <n v="0"/>
    <n v="0"/>
    <n v="0"/>
    <n v="0"/>
    <n v="0"/>
    <n v="0"/>
    <n v="0"/>
    <n v="0"/>
    <n v="0"/>
    <n v="0"/>
    <n v="0"/>
    <n v="0"/>
    <n v="1"/>
    <n v="0"/>
    <n v="0"/>
    <n v="0"/>
    <n v="0"/>
    <n v="0"/>
    <n v="0"/>
    <n v="1"/>
    <n v="0"/>
    <n v="0"/>
    <n v="0"/>
    <n v="0"/>
    <n v="0"/>
    <n v="0"/>
    <n v="0"/>
    <n v="0"/>
    <n v="0"/>
    <n v="1"/>
    <n v="0"/>
    <n v="0"/>
    <n v="0"/>
    <n v="0"/>
    <n v="0"/>
    <n v="0"/>
    <n v="0"/>
    <n v="0"/>
    <n v="0"/>
    <n v="0"/>
    <n v="0"/>
    <n v="0"/>
    <n v="0"/>
    <n v="0"/>
    <n v="0"/>
    <n v="0"/>
    <n v="0"/>
    <n v="1"/>
    <n v="0"/>
    <n v="0"/>
    <n v="0"/>
    <n v="0"/>
    <n v="0"/>
    <n v="3"/>
    <n v="0"/>
    <n v="3"/>
    <n v="6"/>
    <n v="0"/>
    <n v="0"/>
    <n v="0"/>
    <n v="0"/>
    <n v="0"/>
    <n v="0"/>
    <n v="0"/>
    <n v="1"/>
    <n v="0"/>
    <n v="0"/>
    <n v="0"/>
    <n v="0"/>
    <n v="0"/>
  </r>
  <r>
    <d v="2024-07-20T00:00:00"/>
    <n v="202"/>
    <x v="34"/>
    <x v="0"/>
    <n v="0"/>
    <n v="0"/>
    <n v="0"/>
    <n v="0"/>
    <n v="1"/>
    <n v="0"/>
    <n v="0"/>
    <n v="4"/>
    <n v="0"/>
    <n v="0"/>
    <n v="0"/>
    <n v="0"/>
    <n v="1"/>
    <n v="0"/>
    <n v="0"/>
    <n v="0"/>
    <n v="1"/>
    <n v="0"/>
    <n v="1"/>
    <n v="0"/>
    <n v="1"/>
    <n v="0"/>
    <n v="0"/>
    <n v="0"/>
    <n v="0"/>
    <n v="0"/>
    <n v="0"/>
    <n v="0"/>
    <n v="0"/>
    <n v="0"/>
    <n v="0"/>
    <n v="0"/>
    <n v="0"/>
    <n v="0"/>
    <n v="0"/>
    <n v="0"/>
    <n v="0"/>
    <n v="0"/>
    <n v="0"/>
    <n v="0"/>
    <n v="0"/>
    <n v="0"/>
    <n v="0"/>
    <n v="0"/>
    <n v="0"/>
    <n v="0"/>
    <n v="0"/>
    <n v="0"/>
    <n v="0"/>
    <n v="0"/>
    <n v="0"/>
    <n v="0"/>
    <n v="0"/>
    <n v="0"/>
    <n v="0"/>
    <n v="0"/>
    <n v="1"/>
    <n v="0"/>
    <n v="1"/>
    <n v="2"/>
    <n v="0"/>
    <n v="0"/>
    <n v="0"/>
    <n v="0"/>
    <n v="0"/>
    <n v="0"/>
    <n v="0"/>
    <n v="0"/>
    <n v="0"/>
    <n v="0"/>
    <n v="0"/>
    <n v="0"/>
    <n v="0"/>
  </r>
  <r>
    <d v="2024-07-17T00:00:00"/>
    <n v="199"/>
    <x v="35"/>
    <x v="0"/>
    <n v="0"/>
    <n v="0"/>
    <n v="0"/>
    <n v="0"/>
    <n v="0"/>
    <n v="0"/>
    <n v="0"/>
    <n v="0"/>
    <n v="0"/>
    <n v="0"/>
    <n v="0"/>
    <n v="0"/>
    <n v="0"/>
    <n v="0"/>
    <n v="0"/>
    <n v="0"/>
    <n v="0"/>
    <n v="0"/>
    <n v="0"/>
    <n v="0"/>
    <n v="0"/>
    <n v="0"/>
    <n v="0"/>
    <n v="0"/>
    <n v="0"/>
    <n v="0"/>
    <n v="0"/>
    <n v="0"/>
    <n v="0"/>
    <n v="0"/>
    <n v="0"/>
    <n v="0"/>
    <n v="0"/>
    <n v="1"/>
    <n v="0"/>
    <n v="0"/>
    <n v="0"/>
    <n v="0"/>
    <n v="0"/>
    <n v="0"/>
    <n v="0"/>
    <n v="0"/>
    <n v="0"/>
    <n v="0"/>
    <n v="0"/>
    <n v="0"/>
    <n v="0"/>
    <n v="0"/>
    <n v="0"/>
    <n v="0"/>
    <n v="1"/>
    <n v="0"/>
    <n v="1"/>
    <n v="0"/>
    <n v="0"/>
    <n v="0"/>
    <n v="0"/>
    <n v="0"/>
    <n v="0"/>
    <n v="1"/>
    <n v="0"/>
    <n v="0"/>
    <n v="0"/>
    <n v="0"/>
    <n v="0"/>
    <n v="0"/>
    <n v="0"/>
    <n v="0"/>
    <n v="0"/>
    <n v="0"/>
    <n v="0"/>
    <n v="0"/>
    <n v="0"/>
  </r>
  <r>
    <d v="2024-07-26T00:00:00"/>
    <n v="208"/>
    <x v="35"/>
    <x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r>
  <r>
    <d v="2024-07-29T00:00:00"/>
    <n v="211"/>
    <x v="35"/>
    <x v="0"/>
    <n v="0"/>
    <n v="0"/>
    <n v="0"/>
    <n v="0"/>
    <n v="0"/>
    <n v="0"/>
    <n v="0"/>
    <n v="0"/>
    <n v="0"/>
    <n v="0"/>
    <n v="0"/>
    <n v="0"/>
    <n v="0"/>
    <n v="0"/>
    <n v="0"/>
    <n v="0"/>
    <n v="0"/>
    <n v="1"/>
    <n v="0"/>
    <n v="0"/>
    <n v="0"/>
    <n v="0"/>
    <n v="1"/>
    <n v="0"/>
    <n v="0"/>
    <n v="0"/>
    <n v="0"/>
    <n v="0"/>
    <n v="0"/>
    <n v="0"/>
    <n v="0"/>
    <n v="0"/>
    <n v="1"/>
    <n v="1"/>
    <n v="0"/>
    <n v="0"/>
    <n v="0"/>
    <n v="0"/>
    <n v="0"/>
    <n v="0"/>
    <n v="0"/>
    <n v="0"/>
    <n v="0"/>
    <n v="0"/>
    <n v="0"/>
    <n v="0"/>
    <n v="0"/>
    <n v="0"/>
    <n v="0"/>
    <n v="0"/>
    <n v="0"/>
    <n v="0"/>
    <n v="0"/>
    <n v="0"/>
    <n v="0"/>
    <n v="0"/>
    <n v="0"/>
    <n v="0"/>
    <n v="0"/>
    <n v="3"/>
    <n v="0"/>
    <n v="0"/>
    <n v="0"/>
    <n v="0"/>
    <n v="0"/>
    <n v="0"/>
    <n v="0"/>
    <n v="1"/>
    <n v="0"/>
    <n v="0"/>
    <n v="0"/>
    <n v="0"/>
    <n v="0"/>
  </r>
  <r>
    <d v="2024-08-08T00:00:00"/>
    <n v="221"/>
    <x v="35"/>
    <x v="0"/>
    <n v="0"/>
    <n v="0"/>
    <n v="0"/>
    <n v="0"/>
    <n v="0"/>
    <n v="0"/>
    <n v="0"/>
    <n v="0"/>
    <n v="0"/>
    <n v="0"/>
    <n v="0"/>
    <n v="0"/>
    <n v="0"/>
    <n v="0"/>
    <n v="0"/>
    <n v="0"/>
    <n v="0"/>
    <n v="0"/>
    <n v="0"/>
    <n v="0"/>
    <n v="0"/>
    <n v="0"/>
    <n v="0"/>
    <n v="0"/>
    <n v="0"/>
    <n v="0"/>
    <n v="0"/>
    <n v="0"/>
    <n v="0"/>
    <n v="0"/>
    <n v="0"/>
    <n v="0"/>
    <n v="0"/>
    <n v="1"/>
    <n v="0"/>
    <n v="0"/>
    <n v="0"/>
    <n v="0"/>
    <n v="0"/>
    <n v="0"/>
    <n v="0"/>
    <n v="0"/>
    <n v="0"/>
    <n v="0"/>
    <n v="0"/>
    <n v="0"/>
    <n v="0"/>
    <n v="0"/>
    <n v="0"/>
    <n v="0"/>
    <n v="0"/>
    <n v="0"/>
    <n v="0"/>
    <n v="0"/>
    <n v="1"/>
    <n v="0"/>
    <n v="0"/>
    <n v="0"/>
    <n v="0"/>
    <n v="0"/>
    <n v="0"/>
    <n v="0"/>
    <n v="0"/>
    <n v="0"/>
    <n v="0"/>
    <n v="0"/>
    <n v="0"/>
    <n v="0"/>
    <n v="0"/>
    <n v="0"/>
    <n v="0"/>
    <n v="0"/>
    <n v="0"/>
  </r>
  <r>
    <d v="2024-08-08T00:00:00"/>
    <n v="221"/>
    <x v="36"/>
    <x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r>
  <r>
    <d v="2024-08-13T00:00:00"/>
    <n v="226"/>
    <x v="36"/>
    <x v="0"/>
    <n v="0"/>
    <n v="0"/>
    <n v="0"/>
    <n v="0"/>
    <n v="0"/>
    <n v="0"/>
    <n v="0"/>
    <n v="0"/>
    <n v="0"/>
    <n v="0"/>
    <n v="0"/>
    <n v="0"/>
    <n v="1"/>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r>
  <r>
    <d v="2024-08-20T00:00:00"/>
    <n v="233"/>
    <x v="36"/>
    <x v="2"/>
    <n v="0"/>
    <n v="0"/>
    <n v="0"/>
    <n v="0"/>
    <n v="0"/>
    <n v="0"/>
    <n v="0"/>
    <n v="0"/>
    <n v="0"/>
    <n v="0"/>
    <n v="0"/>
    <n v="0"/>
    <n v="0"/>
    <n v="0"/>
    <n v="0"/>
    <n v="0"/>
    <n v="0"/>
    <n v="0"/>
    <n v="0"/>
    <n v="0"/>
    <n v="0"/>
    <n v="0"/>
    <n v="0"/>
    <n v="0"/>
    <n v="0"/>
    <n v="0"/>
    <n v="0"/>
    <n v="0"/>
    <n v="0"/>
    <n v="0"/>
    <n v="0"/>
    <n v="0"/>
    <n v="0"/>
    <n v="0"/>
    <n v="0"/>
    <n v="0"/>
    <n v="0"/>
    <n v="0"/>
    <n v="0"/>
    <n v="0"/>
    <n v="0"/>
    <n v="0"/>
    <n v="0"/>
    <n v="0"/>
    <n v="1"/>
    <n v="1"/>
    <n v="0"/>
    <n v="0"/>
    <n v="0"/>
    <n v="0"/>
    <n v="0"/>
    <n v="0"/>
    <n v="0"/>
    <n v="0"/>
    <n v="0"/>
    <n v="0"/>
    <n v="0"/>
    <n v="0"/>
    <n v="0"/>
    <n v="1"/>
    <n v="0"/>
    <n v="0"/>
    <n v="0"/>
    <n v="0"/>
    <n v="0"/>
    <n v="0"/>
    <n v="0"/>
    <n v="0"/>
    <n v="0"/>
    <n v="0"/>
    <n v="0"/>
    <n v="0"/>
    <n v="0"/>
  </r>
  <r>
    <d v="2024-07-23T00:00:00"/>
    <n v="205"/>
    <x v="37"/>
    <x v="0"/>
    <n v="0"/>
    <n v="0"/>
    <n v="0"/>
    <n v="0"/>
    <n v="0"/>
    <n v="0"/>
    <n v="0"/>
    <n v="0"/>
    <n v="0"/>
    <n v="0"/>
    <n v="0"/>
    <n v="0"/>
    <n v="0"/>
    <n v="0"/>
    <n v="0"/>
    <n v="0"/>
    <n v="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d v="2024-07-17T00:00:00"/>
    <n v="199"/>
    <x v="38"/>
    <x v="0"/>
    <n v="0"/>
    <n v="0"/>
    <n v="0"/>
    <n v="2"/>
    <n v="0"/>
    <n v="0"/>
    <n v="0"/>
    <n v="0"/>
    <n v="0"/>
    <n v="0"/>
    <n v="0"/>
    <n v="0"/>
    <n v="0"/>
    <n v="0"/>
    <n v="0"/>
    <n v="0"/>
    <n v="0"/>
    <n v="0"/>
    <n v="0"/>
    <n v="0"/>
    <n v="0"/>
    <n v="0"/>
    <n v="1"/>
    <n v="0"/>
    <n v="0"/>
    <n v="0"/>
    <n v="0"/>
    <n v="0"/>
    <n v="0"/>
    <n v="1"/>
    <n v="0"/>
    <n v="0"/>
    <n v="0"/>
    <n v="0"/>
    <n v="0"/>
    <n v="0"/>
    <n v="0"/>
    <n v="0"/>
    <n v="0"/>
    <n v="0"/>
    <n v="0"/>
    <n v="0"/>
    <n v="0"/>
    <n v="0"/>
    <n v="0"/>
    <n v="0"/>
    <n v="0"/>
    <n v="0"/>
    <n v="0"/>
    <n v="0"/>
    <n v="3"/>
    <n v="0"/>
    <n v="0"/>
    <n v="0"/>
    <n v="0"/>
    <n v="0"/>
    <n v="0"/>
    <n v="1"/>
    <n v="1"/>
    <n v="0"/>
    <n v="0"/>
    <n v="0"/>
    <n v="0"/>
    <n v="0"/>
    <n v="0"/>
    <n v="0"/>
    <n v="0"/>
    <n v="0"/>
    <n v="0"/>
    <n v="0"/>
    <n v="0"/>
    <n v="0"/>
    <n v="0"/>
  </r>
  <r>
    <d v="2024-07-26T00:00:00"/>
    <n v="208"/>
    <x v="38"/>
    <x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r>
  <r>
    <d v="2024-08-14T00:00:00"/>
    <n v="227"/>
    <x v="38"/>
    <x v="1"/>
    <n v="0"/>
    <n v="0"/>
    <n v="0"/>
    <n v="0"/>
    <n v="0"/>
    <n v="0"/>
    <n v="0"/>
    <n v="0"/>
    <n v="0"/>
    <n v="0"/>
    <n v="0"/>
    <n v="0"/>
    <n v="0"/>
    <n v="0"/>
    <n v="0"/>
    <n v="0"/>
    <n v="1"/>
    <n v="0"/>
    <n v="0"/>
    <n v="0"/>
    <n v="0"/>
    <n v="0"/>
    <n v="0"/>
    <n v="0"/>
    <n v="0"/>
    <n v="0"/>
    <n v="0"/>
    <n v="0"/>
    <n v="0"/>
    <n v="0"/>
    <n v="0"/>
    <n v="0"/>
    <n v="0"/>
    <n v="0"/>
    <n v="0"/>
    <n v="0"/>
    <n v="0"/>
    <n v="0"/>
    <n v="0"/>
    <n v="0"/>
    <n v="0"/>
    <n v="0"/>
    <n v="0"/>
    <n v="0"/>
    <n v="0"/>
    <n v="0"/>
    <n v="0"/>
    <n v="0"/>
    <n v="0"/>
    <n v="0"/>
    <n v="1"/>
    <n v="0"/>
    <n v="0"/>
    <n v="0"/>
    <n v="0"/>
    <n v="0"/>
    <n v="0"/>
    <n v="0"/>
    <n v="0"/>
    <n v="0"/>
    <n v="0"/>
    <n v="0"/>
    <n v="0"/>
    <n v="0"/>
    <n v="0"/>
    <n v="0"/>
    <n v="0"/>
    <n v="0"/>
    <n v="0"/>
    <n v="1"/>
    <n v="0"/>
    <n v="0"/>
    <n v="0"/>
  </r>
  <r>
    <d v="2024-08-20T00:00:00"/>
    <n v="233"/>
    <x v="38"/>
    <x v="2"/>
    <n v="0"/>
    <n v="0"/>
    <n v="1"/>
    <n v="0"/>
    <n v="0"/>
    <n v="0"/>
    <n v="0"/>
    <n v="0"/>
    <n v="0"/>
    <n v="0"/>
    <n v="0"/>
    <n v="0"/>
    <n v="0"/>
    <n v="1"/>
    <n v="0"/>
    <n v="0"/>
    <n v="0"/>
    <n v="0"/>
    <n v="0"/>
    <n v="0"/>
    <n v="0"/>
    <n v="0"/>
    <n v="0"/>
    <n v="0"/>
    <n v="0"/>
    <n v="0"/>
    <n v="0"/>
    <n v="0"/>
    <n v="0"/>
    <n v="0"/>
    <n v="0"/>
    <n v="0"/>
    <n v="0"/>
    <n v="0"/>
    <n v="0"/>
    <n v="0"/>
    <n v="0"/>
    <n v="0"/>
    <n v="0"/>
    <n v="0"/>
    <n v="0"/>
    <n v="0"/>
    <n v="0"/>
    <n v="0"/>
    <n v="0"/>
    <n v="0"/>
    <n v="0"/>
    <n v="0"/>
    <n v="0"/>
    <n v="0"/>
    <n v="1"/>
    <n v="0"/>
    <n v="0"/>
    <n v="0"/>
    <n v="0"/>
    <n v="0"/>
    <n v="0"/>
    <n v="0"/>
    <n v="0"/>
    <n v="1"/>
    <n v="0"/>
    <n v="0"/>
    <n v="0"/>
    <n v="0"/>
    <n v="0"/>
    <n v="0"/>
    <n v="0"/>
    <n v="0"/>
    <n v="0"/>
    <n v="0"/>
    <n v="0"/>
    <n v="0"/>
    <n v="0"/>
  </r>
  <r>
    <d v="2024-07-10T00:00:00"/>
    <n v="192"/>
    <x v="39"/>
    <x v="0"/>
    <n v="0"/>
    <n v="0"/>
    <n v="0"/>
    <n v="0"/>
    <n v="0"/>
    <n v="0"/>
    <n v="0"/>
    <n v="0"/>
    <n v="0"/>
    <n v="0"/>
    <n v="0"/>
    <n v="1"/>
    <n v="1"/>
    <n v="0"/>
    <n v="0"/>
    <n v="0"/>
    <n v="0"/>
    <n v="0"/>
    <n v="0"/>
    <n v="0"/>
    <n v="0"/>
    <n v="0"/>
    <n v="2"/>
    <n v="0"/>
    <n v="0"/>
    <n v="0"/>
    <n v="0"/>
    <n v="0"/>
    <n v="0"/>
    <n v="0"/>
    <n v="0"/>
    <n v="0"/>
    <n v="2"/>
    <n v="2"/>
    <n v="0"/>
    <n v="0"/>
    <n v="0"/>
    <n v="0"/>
    <n v="0"/>
    <n v="0"/>
    <n v="0"/>
    <n v="0"/>
    <n v="0"/>
    <n v="0"/>
    <n v="0"/>
    <n v="0"/>
    <n v="0"/>
    <n v="0"/>
    <n v="0"/>
    <n v="0"/>
    <n v="0"/>
    <n v="0"/>
    <n v="0"/>
    <n v="0"/>
    <n v="0"/>
    <n v="0"/>
    <n v="0"/>
    <n v="0"/>
    <n v="1"/>
    <n v="2"/>
    <n v="0"/>
    <n v="0"/>
    <n v="0"/>
    <n v="0"/>
    <n v="0"/>
    <n v="0"/>
    <n v="0"/>
    <n v="0"/>
    <n v="0"/>
    <n v="0"/>
    <n v="0"/>
    <n v="0"/>
    <n v="0"/>
  </r>
  <r>
    <d v="2024-07-25T00:00:00"/>
    <n v="207"/>
    <x v="39"/>
    <x v="0"/>
    <n v="0"/>
    <n v="0"/>
    <n v="0"/>
    <n v="0"/>
    <n v="0"/>
    <n v="0"/>
    <n v="0"/>
    <n v="0"/>
    <n v="0"/>
    <n v="0"/>
    <n v="0"/>
    <n v="0"/>
    <n v="0"/>
    <n v="0"/>
    <n v="0"/>
    <n v="0"/>
    <n v="0"/>
    <n v="0"/>
    <n v="0"/>
    <n v="0"/>
    <n v="2"/>
    <n v="0"/>
    <n v="0"/>
    <n v="0"/>
    <n v="0"/>
    <n v="0"/>
    <n v="0"/>
    <n v="0"/>
    <n v="0"/>
    <n v="0"/>
    <n v="0"/>
    <n v="0"/>
    <n v="0"/>
    <n v="0"/>
    <n v="0"/>
    <n v="0"/>
    <n v="0"/>
    <n v="0"/>
    <n v="0"/>
    <n v="0"/>
    <n v="0"/>
    <n v="0"/>
    <n v="0"/>
    <n v="0"/>
    <n v="0"/>
    <n v="0"/>
    <n v="0"/>
    <n v="0"/>
    <n v="0"/>
    <n v="0"/>
    <n v="0"/>
    <n v="0"/>
    <n v="0"/>
    <n v="0"/>
    <n v="0"/>
    <n v="0"/>
    <n v="1"/>
    <n v="0"/>
    <n v="0"/>
    <n v="1"/>
    <n v="0"/>
    <n v="0"/>
    <n v="0"/>
    <n v="0"/>
    <n v="0"/>
    <n v="0"/>
    <n v="0"/>
    <n v="0"/>
    <n v="0"/>
    <n v="1"/>
    <n v="0"/>
    <n v="0"/>
    <n v="0"/>
  </r>
  <r>
    <d v="2024-08-01T00:00:00"/>
    <n v="214"/>
    <x v="39"/>
    <x v="0"/>
    <n v="0"/>
    <n v="0"/>
    <n v="0"/>
    <n v="0"/>
    <n v="0"/>
    <n v="0"/>
    <n v="0"/>
    <n v="0"/>
    <n v="0"/>
    <n v="0"/>
    <n v="0"/>
    <n v="0"/>
    <n v="0"/>
    <n v="0"/>
    <n v="0"/>
    <n v="0"/>
    <n v="0"/>
    <n v="0"/>
    <n v="0"/>
    <n v="0"/>
    <n v="2"/>
    <n v="1"/>
    <n v="0"/>
    <n v="0"/>
    <n v="0"/>
    <n v="0"/>
    <n v="0"/>
    <n v="0"/>
    <n v="0"/>
    <n v="0"/>
    <n v="0"/>
    <n v="0"/>
    <n v="0"/>
    <n v="0"/>
    <n v="0"/>
    <n v="0"/>
    <n v="0"/>
    <n v="0"/>
    <n v="0"/>
    <n v="0"/>
    <n v="0"/>
    <n v="0"/>
    <n v="0"/>
    <n v="0"/>
    <n v="0"/>
    <n v="0"/>
    <n v="0"/>
    <n v="0"/>
    <n v="0"/>
    <n v="0"/>
    <n v="0"/>
    <n v="0"/>
    <n v="0"/>
    <n v="0"/>
    <n v="0"/>
    <n v="0"/>
    <n v="0"/>
    <n v="0"/>
    <n v="0"/>
    <n v="2"/>
    <n v="0"/>
    <n v="0"/>
    <n v="0"/>
    <n v="0"/>
    <n v="0"/>
    <n v="0"/>
    <n v="0"/>
    <n v="0"/>
    <n v="0"/>
    <n v="0"/>
    <n v="0"/>
    <n v="0"/>
    <n v="0"/>
  </r>
  <r>
    <d v="2024-07-08T00:00:00"/>
    <n v="190"/>
    <x v="40"/>
    <x v="0"/>
    <n v="0"/>
    <n v="0"/>
    <n v="0"/>
    <n v="0"/>
    <n v="0"/>
    <n v="0"/>
    <n v="0"/>
    <n v="1"/>
    <n v="0"/>
    <n v="0"/>
    <n v="0"/>
    <n v="0"/>
    <n v="2"/>
    <n v="0"/>
    <n v="0"/>
    <n v="0"/>
    <n v="1"/>
    <n v="0"/>
    <n v="0"/>
    <n v="0"/>
    <n v="0"/>
    <n v="0"/>
    <n v="0"/>
    <n v="0"/>
    <n v="0"/>
    <n v="0"/>
    <n v="0"/>
    <n v="0"/>
    <n v="0"/>
    <n v="0"/>
    <n v="0"/>
    <n v="0"/>
    <n v="0"/>
    <n v="4"/>
    <n v="0"/>
    <n v="0"/>
    <n v="0"/>
    <n v="0"/>
    <n v="0"/>
    <n v="0"/>
    <n v="0"/>
    <n v="0"/>
    <n v="0"/>
    <n v="0"/>
    <n v="0"/>
    <n v="1"/>
    <n v="0"/>
    <n v="0"/>
    <n v="0"/>
    <n v="0"/>
    <n v="0"/>
    <n v="0"/>
    <n v="0"/>
    <n v="0"/>
    <n v="1"/>
    <n v="0"/>
    <n v="0"/>
    <n v="0"/>
    <n v="1"/>
    <n v="12"/>
    <n v="0"/>
    <n v="0"/>
    <n v="0"/>
    <n v="0"/>
    <n v="0"/>
    <n v="0"/>
    <n v="0"/>
    <n v="3"/>
    <n v="0"/>
    <n v="0"/>
    <n v="0"/>
    <n v="0"/>
    <n v="0"/>
  </r>
  <r>
    <d v="2024-07-18T00:00:00"/>
    <n v="200"/>
    <x v="40"/>
    <x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0"/>
  </r>
  <r>
    <d v="2024-07-25T00:00:00"/>
    <n v="207"/>
    <x v="40"/>
    <x v="0"/>
    <n v="0"/>
    <n v="0"/>
    <n v="0"/>
    <n v="0"/>
    <n v="0"/>
    <n v="0"/>
    <n v="0"/>
    <n v="0"/>
    <n v="0"/>
    <n v="0"/>
    <n v="0"/>
    <n v="0"/>
    <n v="0"/>
    <n v="0"/>
    <n v="0"/>
    <n v="0"/>
    <n v="0"/>
    <n v="0"/>
    <n v="0"/>
    <n v="0"/>
    <n v="2"/>
    <n v="0"/>
    <n v="1"/>
    <n v="0"/>
    <n v="0"/>
    <n v="0"/>
    <n v="0"/>
    <n v="0"/>
    <n v="0"/>
    <n v="0"/>
    <n v="0"/>
    <n v="0"/>
    <n v="1"/>
    <n v="0"/>
    <n v="0"/>
    <n v="0"/>
    <n v="0"/>
    <n v="0"/>
    <n v="0"/>
    <n v="0"/>
    <n v="0"/>
    <n v="0"/>
    <n v="0"/>
    <n v="0"/>
    <n v="0"/>
    <n v="0"/>
    <n v="0"/>
    <n v="0"/>
    <n v="0"/>
    <n v="0"/>
    <n v="0"/>
    <n v="0"/>
    <n v="0"/>
    <n v="0"/>
    <n v="0"/>
    <n v="0"/>
    <n v="0"/>
    <n v="0"/>
    <n v="0"/>
    <n v="0"/>
    <n v="0"/>
    <n v="0"/>
    <n v="0"/>
    <n v="0"/>
    <n v="0"/>
    <n v="0"/>
    <n v="0"/>
    <n v="0"/>
    <n v="0"/>
    <n v="0"/>
    <n v="0"/>
    <n v="0"/>
    <n v="0"/>
  </r>
  <r>
    <d v="2024-08-01T00:00:00"/>
    <n v="214"/>
    <x v="40"/>
    <x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0"/>
    <n v="0"/>
    <n v="0"/>
    <n v="0"/>
    <n v="0"/>
    <n v="0"/>
    <n v="0"/>
    <n v="0"/>
    <n v="0"/>
    <n v="0"/>
    <n v="0"/>
    <n v="0"/>
  </r>
  <r>
    <d v="2024-07-26T00:00:00"/>
    <n v="208"/>
    <x v="41"/>
    <x v="0"/>
    <n v="0"/>
    <n v="0"/>
    <n v="0"/>
    <n v="0"/>
    <n v="0"/>
    <n v="0"/>
    <n v="0"/>
    <n v="0"/>
    <n v="0"/>
    <n v="0"/>
    <n v="0"/>
    <n v="0"/>
    <n v="0"/>
    <n v="0"/>
    <n v="0"/>
    <n v="0"/>
    <n v="0"/>
    <n v="0"/>
    <n v="0"/>
    <n v="0"/>
    <n v="1"/>
    <n v="0"/>
    <n v="0"/>
    <n v="0"/>
    <n v="0"/>
    <n v="0"/>
    <n v="0"/>
    <n v="0"/>
    <n v="0"/>
    <n v="0"/>
    <n v="0"/>
    <n v="0"/>
    <n v="0"/>
    <n v="1"/>
    <n v="0"/>
    <n v="0"/>
    <n v="0"/>
    <n v="0"/>
    <n v="0"/>
    <n v="0"/>
    <n v="0"/>
    <n v="0"/>
    <n v="0"/>
    <n v="0"/>
    <n v="0"/>
    <n v="0"/>
    <n v="0"/>
    <n v="0"/>
    <n v="0"/>
    <n v="0"/>
    <n v="0"/>
    <n v="0"/>
    <n v="0"/>
    <n v="0"/>
    <n v="0"/>
    <n v="0"/>
    <n v="0"/>
    <n v="0"/>
    <n v="0"/>
    <n v="0"/>
    <n v="0"/>
    <n v="0"/>
    <n v="0"/>
    <n v="0"/>
    <n v="0"/>
    <n v="0"/>
    <n v="0"/>
    <n v="0"/>
    <n v="0"/>
    <n v="0"/>
    <n v="0"/>
    <n v="0"/>
    <n v="0"/>
  </r>
  <r>
    <d v="2024-08-02T00:00:00"/>
    <n v="215"/>
    <x v="41"/>
    <x v="0"/>
    <n v="0"/>
    <n v="0"/>
    <n v="0"/>
    <n v="0"/>
    <n v="0"/>
    <n v="0"/>
    <n v="0"/>
    <n v="0"/>
    <n v="0"/>
    <n v="0"/>
    <n v="0"/>
    <n v="0"/>
    <n v="0"/>
    <n v="0"/>
    <n v="0"/>
    <n v="0"/>
    <n v="0"/>
    <n v="0"/>
    <n v="0"/>
    <n v="0"/>
    <n v="0"/>
    <n v="0"/>
    <n v="0"/>
    <n v="0"/>
    <n v="0"/>
    <n v="0"/>
    <n v="0"/>
    <n v="0"/>
    <n v="0"/>
    <n v="0"/>
    <n v="0"/>
    <n v="0"/>
    <n v="0"/>
    <n v="1"/>
    <n v="0"/>
    <n v="0"/>
    <n v="0"/>
    <n v="0"/>
    <n v="0"/>
    <n v="0"/>
    <n v="0"/>
    <n v="0"/>
    <n v="0"/>
    <n v="0"/>
    <n v="0"/>
    <n v="0"/>
    <n v="0"/>
    <n v="0"/>
    <n v="1"/>
    <n v="0"/>
    <n v="0"/>
    <n v="0"/>
    <n v="0"/>
    <n v="0"/>
    <n v="0"/>
    <n v="0"/>
    <n v="1"/>
    <n v="0"/>
    <n v="0"/>
    <n v="1"/>
    <n v="0"/>
    <n v="0"/>
    <n v="0"/>
    <n v="0"/>
    <n v="0"/>
    <n v="0"/>
    <n v="0"/>
    <n v="0"/>
    <n v="0"/>
    <n v="0"/>
    <n v="0"/>
    <n v="0"/>
    <n v="0"/>
  </r>
  <r>
    <d v="2024-08-08T00:00:00"/>
    <n v="221"/>
    <x v="41"/>
    <x v="1"/>
    <n v="0"/>
    <n v="0"/>
    <n v="0"/>
    <n v="0"/>
    <n v="0"/>
    <n v="0"/>
    <n v="0"/>
    <n v="0"/>
    <n v="0"/>
    <n v="0"/>
    <n v="0"/>
    <n v="0"/>
    <n v="1"/>
    <n v="0"/>
    <n v="0"/>
    <n v="0"/>
    <n v="0"/>
    <n v="0"/>
    <n v="0"/>
    <n v="0"/>
    <n v="1"/>
    <n v="0"/>
    <n v="1"/>
    <n v="0"/>
    <n v="0"/>
    <n v="0"/>
    <n v="0"/>
    <n v="0"/>
    <n v="0"/>
    <n v="0"/>
    <n v="0"/>
    <n v="0"/>
    <n v="1"/>
    <n v="1"/>
    <n v="0"/>
    <n v="0"/>
    <n v="0"/>
    <n v="0"/>
    <n v="0"/>
    <n v="0"/>
    <n v="0"/>
    <n v="0"/>
    <n v="0"/>
    <n v="0"/>
    <n v="0"/>
    <n v="0"/>
    <n v="0"/>
    <n v="0"/>
    <n v="0"/>
    <n v="0"/>
    <n v="0"/>
    <n v="0"/>
    <n v="0"/>
    <n v="0"/>
    <n v="0"/>
    <n v="0"/>
    <n v="0"/>
    <n v="0"/>
    <n v="0"/>
    <n v="0"/>
    <n v="0"/>
    <n v="0"/>
    <n v="0"/>
    <n v="0"/>
    <n v="0"/>
    <n v="0"/>
    <n v="0"/>
    <n v="0"/>
    <n v="0"/>
    <n v="0"/>
    <n v="0"/>
    <n v="0"/>
    <n v="0"/>
  </r>
  <r>
    <d v="2024-08-20T00:00:00"/>
    <n v="233"/>
    <x v="41"/>
    <x v="2"/>
    <n v="0"/>
    <n v="0"/>
    <n v="3"/>
    <n v="0"/>
    <n v="0"/>
    <n v="1"/>
    <n v="0"/>
    <n v="0"/>
    <n v="0"/>
    <n v="0"/>
    <n v="0"/>
    <n v="0"/>
    <n v="0"/>
    <n v="0"/>
    <n v="0"/>
    <n v="0"/>
    <n v="0"/>
    <n v="0"/>
    <n v="0"/>
    <n v="0"/>
    <n v="0"/>
    <n v="0"/>
    <n v="0"/>
    <n v="0"/>
    <n v="0"/>
    <n v="0"/>
    <n v="0"/>
    <n v="0"/>
    <n v="0"/>
    <n v="0"/>
    <n v="0"/>
    <n v="0"/>
    <n v="0"/>
    <n v="0"/>
    <n v="0"/>
    <n v="0"/>
    <n v="0"/>
    <n v="0"/>
    <n v="0"/>
    <n v="0"/>
    <n v="0"/>
    <n v="0"/>
    <n v="0"/>
    <n v="0"/>
    <n v="0"/>
    <n v="0"/>
    <n v="1"/>
    <n v="0"/>
    <n v="0"/>
    <n v="0"/>
    <n v="1"/>
    <n v="0"/>
    <n v="0"/>
    <n v="0"/>
    <n v="0"/>
    <n v="0"/>
    <n v="0"/>
    <n v="0"/>
    <n v="0"/>
    <n v="0"/>
    <n v="0"/>
    <n v="0"/>
    <n v="0"/>
    <n v="0"/>
    <n v="0"/>
    <n v="0"/>
    <n v="0"/>
    <n v="0"/>
    <n v="0"/>
    <n v="0"/>
    <n v="0"/>
    <n v="0"/>
    <n v="0"/>
  </r>
  <r>
    <d v="2024-07-23T00:00:00"/>
    <n v="205"/>
    <x v="42"/>
    <x v="0"/>
    <n v="0"/>
    <n v="0"/>
    <n v="0"/>
    <n v="0"/>
    <n v="0"/>
    <n v="0"/>
    <n v="0"/>
    <n v="0"/>
    <n v="0"/>
    <n v="0"/>
    <n v="0"/>
    <n v="0"/>
    <n v="0"/>
    <n v="0"/>
    <n v="0"/>
    <n v="0"/>
    <n v="1"/>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r>
  <r>
    <d v="2024-07-29T00:00:00"/>
    <n v="211"/>
    <x v="42"/>
    <x v="0"/>
    <n v="0"/>
    <n v="0"/>
    <n v="0"/>
    <n v="0"/>
    <n v="0"/>
    <n v="0"/>
    <n v="0"/>
    <n v="0"/>
    <n v="0"/>
    <n v="0"/>
    <n v="0"/>
    <n v="0"/>
    <n v="1"/>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d v="2024-07-17T00:00:00"/>
    <n v="199"/>
    <x v="43"/>
    <x v="0"/>
    <n v="0"/>
    <n v="0"/>
    <n v="0"/>
    <n v="0"/>
    <n v="0"/>
    <n v="0"/>
    <n v="0"/>
    <n v="0"/>
    <n v="0"/>
    <n v="0"/>
    <n v="0"/>
    <n v="0"/>
    <n v="0"/>
    <n v="0"/>
    <n v="0"/>
    <n v="0"/>
    <n v="0"/>
    <n v="0"/>
    <n v="0"/>
    <n v="0"/>
    <n v="0"/>
    <n v="0"/>
    <n v="1"/>
    <n v="0"/>
    <n v="1"/>
    <n v="0"/>
    <n v="0"/>
    <n v="0"/>
    <n v="0"/>
    <n v="0"/>
    <n v="0"/>
    <n v="0"/>
    <n v="0"/>
    <n v="0"/>
    <n v="0"/>
    <n v="0"/>
    <n v="0"/>
    <n v="0"/>
    <n v="0"/>
    <n v="0"/>
    <n v="0"/>
    <n v="0"/>
    <n v="0"/>
    <n v="0"/>
    <n v="0"/>
    <n v="0"/>
    <n v="0"/>
    <n v="0"/>
    <n v="0"/>
    <n v="0"/>
    <n v="0"/>
    <n v="0"/>
    <n v="0"/>
    <n v="0"/>
    <n v="0"/>
    <n v="0"/>
    <n v="0"/>
    <n v="0"/>
    <n v="0"/>
    <n v="0"/>
    <n v="0"/>
    <n v="0"/>
    <n v="0"/>
    <n v="0"/>
    <n v="0"/>
    <n v="0"/>
    <n v="0"/>
    <n v="0"/>
    <n v="0"/>
    <n v="0"/>
    <n v="0"/>
    <n v="0"/>
    <n v="0"/>
  </r>
  <r>
    <d v="2024-07-26T00:00:00"/>
    <n v="208"/>
    <x v="43"/>
    <x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d v="2024-07-25T00:00:00"/>
    <n v="207"/>
    <x v="44"/>
    <x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0"/>
    <n v="0"/>
    <n v="0"/>
    <n v="0"/>
    <n v="0"/>
    <n v="0"/>
    <n v="0"/>
    <n v="0"/>
    <n v="0"/>
    <n v="0"/>
    <n v="0"/>
    <n v="0"/>
    <n v="0"/>
  </r>
  <r>
    <d v="2024-07-30T00:00:00"/>
    <n v="212"/>
    <x v="44"/>
    <x v="0"/>
    <n v="0"/>
    <n v="0"/>
    <n v="0"/>
    <n v="0"/>
    <n v="0"/>
    <n v="0"/>
    <n v="0"/>
    <n v="0"/>
    <n v="0"/>
    <n v="0"/>
    <n v="0"/>
    <n v="0"/>
    <n v="0"/>
    <n v="0"/>
    <n v="0"/>
    <n v="0"/>
    <n v="0"/>
    <n v="0"/>
    <n v="0"/>
    <n v="0"/>
    <n v="0"/>
    <n v="0"/>
    <n v="0"/>
    <n v="0"/>
    <n v="0"/>
    <n v="0"/>
    <n v="0"/>
    <n v="0"/>
    <n v="0"/>
    <n v="0"/>
    <n v="0"/>
    <n v="0"/>
    <n v="0"/>
    <n v="1"/>
    <n v="0"/>
    <n v="0"/>
    <n v="0"/>
    <n v="0"/>
    <n v="0"/>
    <n v="0"/>
    <n v="0"/>
    <n v="0"/>
    <n v="0"/>
    <n v="0"/>
    <n v="0"/>
    <n v="0"/>
    <n v="0"/>
    <n v="0"/>
    <n v="0"/>
    <n v="0"/>
    <n v="0"/>
    <n v="0"/>
    <n v="0"/>
    <n v="0"/>
    <n v="0"/>
    <n v="0"/>
    <n v="0"/>
    <n v="0"/>
    <n v="1"/>
    <n v="0"/>
    <n v="0"/>
    <n v="0"/>
    <n v="0"/>
    <n v="0"/>
    <n v="0"/>
    <n v="0"/>
    <n v="0"/>
    <n v="0"/>
    <n v="0"/>
    <n v="0"/>
    <n v="0"/>
    <n v="0"/>
    <n v="0"/>
  </r>
  <r>
    <d v="2024-08-21T00:00:00"/>
    <n v="234"/>
    <x v="44"/>
    <x v="1"/>
    <n v="0"/>
    <n v="0"/>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2"/>
    <n v="3"/>
    <n v="0"/>
    <n v="0"/>
    <n v="0"/>
    <n v="1"/>
    <n v="0"/>
    <n v="0"/>
    <n v="0"/>
    <n v="0"/>
    <n v="0"/>
    <n v="0"/>
    <n v="0"/>
    <n v="0"/>
    <n v="0"/>
  </r>
  <r>
    <d v="2024-07-18T00:00:00"/>
    <n v="200"/>
    <x v="45"/>
    <x v="0"/>
    <n v="0"/>
    <n v="0"/>
    <n v="0"/>
    <n v="0"/>
    <n v="0"/>
    <n v="0"/>
    <n v="0"/>
    <n v="0"/>
    <n v="0"/>
    <n v="0"/>
    <n v="0"/>
    <n v="0"/>
    <n v="0"/>
    <n v="0"/>
    <n v="0"/>
    <n v="0"/>
    <n v="2"/>
    <n v="0"/>
    <n v="0"/>
    <n v="0"/>
    <n v="0"/>
    <n v="0"/>
    <n v="2"/>
    <n v="0"/>
    <n v="0"/>
    <n v="0"/>
    <n v="0"/>
    <n v="0"/>
    <n v="0"/>
    <n v="0"/>
    <n v="0"/>
    <n v="0"/>
    <n v="2"/>
    <n v="1"/>
    <n v="0"/>
    <n v="0"/>
    <n v="0"/>
    <n v="0"/>
    <n v="0"/>
    <n v="0"/>
    <n v="0"/>
    <n v="0"/>
    <n v="0"/>
    <n v="0"/>
    <n v="0"/>
    <n v="0"/>
    <n v="0"/>
    <n v="0"/>
    <n v="0"/>
    <n v="0"/>
    <n v="0"/>
    <n v="0"/>
    <n v="0"/>
    <n v="0"/>
    <n v="0"/>
    <n v="0"/>
    <n v="1"/>
    <n v="0"/>
    <n v="0"/>
    <n v="2"/>
    <n v="0"/>
    <n v="0"/>
    <n v="0"/>
    <n v="0"/>
    <n v="0"/>
    <n v="0"/>
    <n v="0"/>
    <n v="0"/>
    <n v="0"/>
    <n v="0"/>
    <n v="0"/>
    <n v="0"/>
    <n v="0"/>
  </r>
  <r>
    <d v="2024-07-26T00:00:00"/>
    <n v="208"/>
    <x v="45"/>
    <x v="0"/>
    <n v="0"/>
    <n v="0"/>
    <n v="0"/>
    <n v="0"/>
    <n v="0"/>
    <n v="0"/>
    <n v="0"/>
    <n v="0"/>
    <n v="0"/>
    <n v="0"/>
    <n v="0"/>
    <n v="0"/>
    <n v="0"/>
    <n v="0"/>
    <n v="0"/>
    <n v="0"/>
    <n v="1"/>
    <n v="0"/>
    <n v="0"/>
    <n v="0"/>
    <n v="1"/>
    <n v="0"/>
    <n v="0"/>
    <n v="0"/>
    <n v="0"/>
    <n v="0"/>
    <n v="0"/>
    <n v="0"/>
    <n v="0"/>
    <n v="0"/>
    <n v="0"/>
    <n v="0"/>
    <n v="0"/>
    <n v="1"/>
    <n v="0"/>
    <n v="0"/>
    <n v="0"/>
    <n v="0"/>
    <n v="0"/>
    <n v="0"/>
    <n v="0"/>
    <n v="0"/>
    <n v="0"/>
    <n v="0"/>
    <n v="0"/>
    <n v="0"/>
    <n v="0"/>
    <n v="0"/>
    <n v="0"/>
    <n v="0"/>
    <n v="0"/>
    <n v="0"/>
    <n v="0"/>
    <n v="0"/>
    <n v="0"/>
    <n v="0"/>
    <n v="1"/>
    <n v="0"/>
    <n v="0"/>
    <n v="4"/>
    <n v="0"/>
    <n v="0"/>
    <n v="0"/>
    <n v="0"/>
    <n v="0"/>
    <n v="0"/>
    <n v="0"/>
    <n v="0"/>
    <n v="0"/>
    <n v="0"/>
    <n v="0"/>
    <n v="0"/>
    <n v="0"/>
  </r>
  <r>
    <d v="2024-08-01T00:00:00"/>
    <n v="214"/>
    <x v="45"/>
    <x v="0"/>
    <n v="0"/>
    <n v="0"/>
    <n v="0"/>
    <n v="0"/>
    <n v="0"/>
    <n v="0"/>
    <n v="0"/>
    <n v="0"/>
    <n v="0"/>
    <n v="1"/>
    <n v="0"/>
    <n v="0"/>
    <n v="0"/>
    <n v="0"/>
    <n v="0"/>
    <n v="0"/>
    <n v="1"/>
    <n v="0"/>
    <n v="0"/>
    <n v="0"/>
    <n v="0"/>
    <n v="0"/>
    <n v="1"/>
    <n v="0"/>
    <n v="0"/>
    <n v="0"/>
    <n v="0"/>
    <n v="0"/>
    <n v="0"/>
    <n v="1"/>
    <n v="0"/>
    <n v="0"/>
    <n v="0"/>
    <n v="0"/>
    <n v="0"/>
    <n v="0"/>
    <n v="0"/>
    <n v="0"/>
    <n v="0"/>
    <n v="0"/>
    <n v="0"/>
    <n v="0"/>
    <n v="0"/>
    <n v="0"/>
    <n v="0"/>
    <n v="0"/>
    <n v="0"/>
    <n v="0"/>
    <n v="0"/>
    <n v="0"/>
    <n v="0"/>
    <n v="0"/>
    <n v="0"/>
    <n v="1"/>
    <n v="0"/>
    <n v="0"/>
    <n v="8"/>
    <n v="0"/>
    <n v="0"/>
    <n v="3"/>
    <n v="0"/>
    <n v="0"/>
    <n v="0"/>
    <n v="0"/>
    <n v="0"/>
    <n v="0"/>
    <n v="0"/>
    <n v="0"/>
    <n v="0"/>
    <n v="0"/>
    <n v="0"/>
    <n v="0"/>
    <n v="0"/>
  </r>
  <r>
    <d v="2024-08-08T00:00:00"/>
    <n v="221"/>
    <x v="45"/>
    <x v="1"/>
    <n v="0"/>
    <n v="0"/>
    <n v="0"/>
    <n v="0"/>
    <n v="0"/>
    <n v="0"/>
    <n v="0"/>
    <n v="0"/>
    <n v="0"/>
    <n v="0"/>
    <n v="0"/>
    <n v="0"/>
    <n v="0"/>
    <n v="0"/>
    <n v="0"/>
    <n v="0"/>
    <n v="0"/>
    <n v="0"/>
    <n v="0"/>
    <n v="0"/>
    <n v="0"/>
    <n v="0"/>
    <n v="5"/>
    <n v="1"/>
    <n v="0"/>
    <n v="0"/>
    <n v="0"/>
    <n v="0"/>
    <n v="0"/>
    <n v="0"/>
    <n v="0"/>
    <n v="2"/>
    <n v="2"/>
    <n v="0"/>
    <n v="0"/>
    <n v="0"/>
    <n v="0"/>
    <n v="0"/>
    <n v="0"/>
    <n v="0"/>
    <n v="0"/>
    <n v="0"/>
    <n v="0"/>
    <n v="0"/>
    <n v="0"/>
    <n v="0"/>
    <n v="0"/>
    <n v="0"/>
    <n v="0"/>
    <n v="0"/>
    <n v="0"/>
    <n v="0"/>
    <n v="0"/>
    <n v="0"/>
    <n v="0"/>
    <n v="0"/>
    <n v="0"/>
    <n v="0"/>
    <n v="0"/>
    <n v="0"/>
    <n v="0"/>
    <n v="0"/>
    <n v="0"/>
    <n v="0"/>
    <n v="0"/>
    <n v="0"/>
    <n v="0"/>
    <n v="0"/>
    <n v="0"/>
    <n v="0"/>
    <n v="0"/>
    <n v="0"/>
    <n v="0"/>
  </r>
  <r>
    <d v="2024-08-09T00:00:00"/>
    <n v="222"/>
    <x v="45"/>
    <x v="1"/>
    <n v="0"/>
    <n v="0"/>
    <n v="0"/>
    <n v="0"/>
    <n v="0"/>
    <n v="0"/>
    <n v="0"/>
    <n v="0"/>
    <n v="0"/>
    <n v="0"/>
    <n v="0"/>
    <n v="0"/>
    <n v="0"/>
    <n v="0"/>
    <n v="0"/>
    <n v="0"/>
    <n v="0"/>
    <n v="0"/>
    <n v="0"/>
    <n v="0"/>
    <n v="0"/>
    <n v="0"/>
    <n v="2"/>
    <n v="0"/>
    <n v="0"/>
    <n v="0"/>
    <n v="0"/>
    <n v="0"/>
    <n v="0"/>
    <n v="0"/>
    <n v="0"/>
    <n v="0"/>
    <n v="2"/>
    <n v="0"/>
    <n v="0"/>
    <n v="0"/>
    <n v="0"/>
    <n v="0"/>
    <n v="0"/>
    <n v="0"/>
    <n v="0"/>
    <n v="0"/>
    <n v="0"/>
    <n v="0"/>
    <n v="0"/>
    <n v="0"/>
    <n v="0"/>
    <n v="0"/>
    <n v="0"/>
    <n v="0"/>
    <n v="0"/>
    <n v="0"/>
    <n v="0"/>
    <n v="0"/>
    <n v="0"/>
    <n v="0"/>
    <n v="0"/>
    <n v="0"/>
    <n v="0"/>
    <n v="0"/>
    <n v="0"/>
    <n v="0"/>
    <n v="0"/>
    <n v="0"/>
    <n v="0"/>
    <n v="0"/>
    <n v="0"/>
    <n v="0"/>
    <n v="0"/>
    <n v="0"/>
    <n v="0"/>
    <n v="0"/>
    <n v="0"/>
  </r>
  <r>
    <d v="2024-08-20T00:00:00"/>
    <n v="233"/>
    <x v="45"/>
    <x v="2"/>
    <n v="0"/>
    <n v="0"/>
    <n v="1"/>
    <n v="0"/>
    <n v="1"/>
    <n v="1"/>
    <n v="0"/>
    <n v="0"/>
    <n v="0"/>
    <n v="0"/>
    <n v="0"/>
    <n v="0"/>
    <n v="0"/>
    <n v="0"/>
    <n v="0"/>
    <n v="1"/>
    <n v="0"/>
    <n v="1"/>
    <n v="0"/>
    <n v="0"/>
    <n v="0"/>
    <n v="0"/>
    <n v="0"/>
    <n v="0"/>
    <n v="0"/>
    <n v="0"/>
    <n v="0"/>
    <n v="0"/>
    <n v="0"/>
    <n v="0"/>
    <n v="0"/>
    <n v="0"/>
    <n v="0"/>
    <n v="0"/>
    <n v="0"/>
    <n v="0"/>
    <n v="0"/>
    <n v="0"/>
    <n v="1"/>
    <n v="0"/>
    <n v="0"/>
    <n v="0"/>
    <n v="0"/>
    <n v="0"/>
    <n v="0"/>
    <n v="0"/>
    <n v="0"/>
    <n v="0"/>
    <n v="0"/>
    <n v="0"/>
    <n v="0"/>
    <n v="0"/>
    <n v="0"/>
    <n v="0"/>
    <n v="0"/>
    <n v="0"/>
    <n v="1"/>
    <n v="0"/>
    <n v="0"/>
    <n v="0"/>
    <n v="0"/>
    <n v="0"/>
    <n v="0"/>
    <n v="0"/>
    <n v="0"/>
    <n v="0"/>
    <n v="0"/>
    <n v="0"/>
    <n v="0"/>
    <n v="0"/>
    <n v="0"/>
    <n v="0"/>
    <n v="0"/>
  </r>
  <r>
    <d v="2024-07-23T00:00:00"/>
    <n v="205"/>
    <x v="46"/>
    <x v="0"/>
    <n v="0"/>
    <n v="0"/>
    <n v="0"/>
    <n v="0"/>
    <n v="0"/>
    <n v="0"/>
    <n v="0"/>
    <n v="0"/>
    <n v="0"/>
    <n v="0"/>
    <n v="0"/>
    <n v="0"/>
    <n v="0"/>
    <n v="0"/>
    <n v="0"/>
    <n v="0"/>
    <n v="1"/>
    <n v="1"/>
    <n v="0"/>
    <n v="0"/>
    <n v="2"/>
    <n v="0"/>
    <n v="0"/>
    <n v="0"/>
    <n v="0"/>
    <n v="0"/>
    <n v="0"/>
    <n v="0"/>
    <n v="0"/>
    <n v="0"/>
    <n v="0"/>
    <n v="0"/>
    <n v="0"/>
    <n v="0"/>
    <n v="0"/>
    <n v="0"/>
    <n v="0"/>
    <n v="0"/>
    <n v="0"/>
    <n v="0"/>
    <n v="0"/>
    <n v="0"/>
    <n v="0"/>
    <n v="0"/>
    <n v="0"/>
    <n v="0"/>
    <n v="0"/>
    <n v="0"/>
    <n v="0"/>
    <n v="0"/>
    <n v="0"/>
    <n v="0"/>
    <n v="0"/>
    <n v="0"/>
    <n v="0"/>
    <n v="0"/>
    <n v="0"/>
    <n v="0"/>
    <n v="0"/>
    <n v="0"/>
    <n v="0"/>
    <n v="0"/>
    <n v="0"/>
    <n v="0"/>
    <n v="0"/>
    <n v="0"/>
    <n v="0"/>
    <n v="0"/>
    <n v="0"/>
    <n v="0"/>
    <n v="0"/>
    <n v="0"/>
    <n v="0"/>
  </r>
  <r>
    <d v="2024-07-23T00:00:00"/>
    <n v="205"/>
    <x v="46"/>
    <x v="0"/>
    <n v="0"/>
    <n v="0"/>
    <n v="0"/>
    <n v="0"/>
    <n v="0"/>
    <n v="0"/>
    <n v="0"/>
    <n v="0"/>
    <n v="0"/>
    <n v="0"/>
    <n v="0"/>
    <n v="0"/>
    <n v="0"/>
    <n v="0"/>
    <n v="0"/>
    <n v="0"/>
    <n v="1"/>
    <n v="0"/>
    <n v="0"/>
    <n v="0"/>
    <n v="1"/>
    <n v="0"/>
    <n v="0"/>
    <n v="0"/>
    <n v="0"/>
    <n v="0"/>
    <n v="0"/>
    <n v="0"/>
    <n v="0"/>
    <n v="0"/>
    <n v="0"/>
    <n v="0"/>
    <n v="0"/>
    <n v="0"/>
    <n v="0"/>
    <n v="0"/>
    <n v="0"/>
    <n v="0"/>
    <n v="0"/>
    <n v="1"/>
    <n v="0"/>
    <n v="0"/>
    <n v="0"/>
    <n v="0"/>
    <n v="0"/>
    <n v="0"/>
    <n v="0"/>
    <n v="0"/>
    <n v="0"/>
    <n v="0"/>
    <n v="0"/>
    <n v="0"/>
    <n v="0"/>
    <n v="0"/>
    <n v="0"/>
    <n v="0"/>
    <n v="0"/>
    <n v="0"/>
    <n v="0"/>
    <n v="0"/>
    <n v="0"/>
    <n v="0"/>
    <n v="0"/>
    <n v="0"/>
    <n v="0"/>
    <n v="0"/>
    <n v="0"/>
    <n v="0"/>
    <n v="0"/>
    <n v="0"/>
    <n v="0"/>
    <n v="0"/>
    <n v="0"/>
  </r>
  <r>
    <d v="2024-08-02T00:00:00"/>
    <n v="215"/>
    <x v="47"/>
    <x v="0"/>
    <n v="0"/>
    <n v="0"/>
    <n v="0"/>
    <n v="0"/>
    <n v="0"/>
    <n v="0"/>
    <n v="0"/>
    <n v="0"/>
    <n v="0"/>
    <n v="0"/>
    <n v="0"/>
    <n v="0"/>
    <n v="0"/>
    <n v="0"/>
    <n v="0"/>
    <n v="0"/>
    <n v="0"/>
    <n v="0"/>
    <n v="0"/>
    <n v="0"/>
    <n v="0"/>
    <n v="0"/>
    <n v="1"/>
    <n v="0"/>
    <n v="0"/>
    <n v="0"/>
    <n v="1"/>
    <n v="0"/>
    <n v="0"/>
    <n v="0"/>
    <n v="0"/>
    <n v="0"/>
    <n v="0"/>
    <n v="0"/>
    <n v="0"/>
    <n v="0"/>
    <n v="0"/>
    <n v="0"/>
    <n v="0"/>
    <n v="0"/>
    <n v="0"/>
    <n v="0"/>
    <n v="0"/>
    <n v="0"/>
    <n v="0"/>
    <n v="0"/>
    <n v="0"/>
    <n v="0"/>
    <n v="0"/>
    <n v="0"/>
    <n v="0"/>
    <n v="0"/>
    <n v="0"/>
    <n v="0"/>
    <n v="0"/>
    <n v="0"/>
    <n v="0"/>
    <n v="0"/>
    <n v="0"/>
    <n v="0"/>
    <n v="0"/>
    <n v="0"/>
    <n v="0"/>
    <n v="0"/>
    <n v="0"/>
    <n v="0"/>
    <n v="0"/>
    <n v="0"/>
    <n v="0"/>
    <n v="0"/>
    <n v="0"/>
    <n v="0"/>
    <n v="0"/>
  </r>
  <r>
    <d v="2024-08-14T00:00:00"/>
    <n v="227"/>
    <x v="47"/>
    <x v="1"/>
    <n v="0"/>
    <n v="0"/>
    <n v="0"/>
    <n v="0"/>
    <n v="0"/>
    <n v="0"/>
    <n v="0"/>
    <n v="0"/>
    <n v="0"/>
    <n v="0"/>
    <n v="0"/>
    <n v="0"/>
    <n v="0"/>
    <n v="0"/>
    <n v="0"/>
    <n v="0"/>
    <n v="0"/>
    <n v="0"/>
    <n v="0"/>
    <n v="0"/>
    <n v="0"/>
    <n v="0"/>
    <n v="1"/>
    <n v="0"/>
    <n v="0"/>
    <n v="0"/>
    <n v="0"/>
    <n v="0"/>
    <n v="0"/>
    <n v="0"/>
    <n v="0"/>
    <n v="0"/>
    <n v="1"/>
    <n v="0"/>
    <n v="0"/>
    <n v="0"/>
    <n v="0"/>
    <n v="0"/>
    <n v="0"/>
    <n v="0"/>
    <n v="0"/>
    <n v="0"/>
    <n v="0"/>
    <n v="0"/>
    <n v="0"/>
    <n v="0"/>
    <n v="0"/>
    <n v="0"/>
    <n v="0"/>
    <n v="0"/>
    <n v="0"/>
    <n v="0"/>
    <n v="0"/>
    <n v="0"/>
    <n v="0"/>
    <n v="0"/>
    <n v="0"/>
    <n v="0"/>
    <n v="0"/>
    <n v="0"/>
    <n v="0"/>
    <n v="0"/>
    <n v="0"/>
    <n v="0"/>
    <n v="0"/>
    <n v="0"/>
    <n v="0"/>
    <n v="0"/>
    <n v="0"/>
    <n v="0"/>
    <n v="0"/>
    <n v="0"/>
    <n v="0"/>
  </r>
  <r>
    <d v="2024-08-01T00:00:00"/>
    <n v="214"/>
    <x v="48"/>
    <x v="0"/>
    <n v="0"/>
    <n v="0"/>
    <n v="0"/>
    <n v="0"/>
    <n v="0"/>
    <n v="0"/>
    <n v="0"/>
    <n v="1"/>
    <n v="0"/>
    <n v="0"/>
    <n v="0"/>
    <n v="0"/>
    <n v="3"/>
    <n v="0"/>
    <n v="0"/>
    <n v="0"/>
    <n v="0"/>
    <n v="0"/>
    <n v="0"/>
    <n v="0"/>
    <n v="0"/>
    <n v="0"/>
    <n v="0"/>
    <n v="0"/>
    <n v="0"/>
    <n v="0"/>
    <n v="0"/>
    <n v="0"/>
    <n v="0"/>
    <n v="0"/>
    <n v="0"/>
    <n v="0"/>
    <n v="0"/>
    <n v="0"/>
    <n v="0"/>
    <n v="0"/>
    <n v="0"/>
    <n v="0"/>
    <n v="0"/>
    <n v="0"/>
    <n v="0"/>
    <n v="0"/>
    <n v="0"/>
    <n v="0"/>
    <n v="0"/>
    <n v="0"/>
    <n v="0"/>
    <n v="0"/>
    <n v="0"/>
    <n v="0"/>
    <n v="0"/>
    <n v="0"/>
    <n v="0"/>
    <n v="0"/>
    <n v="1"/>
    <n v="0"/>
    <n v="3"/>
    <n v="0"/>
    <n v="1"/>
    <n v="1"/>
    <n v="0"/>
    <n v="0"/>
    <n v="0"/>
    <n v="0"/>
    <n v="0"/>
    <n v="0"/>
    <n v="0"/>
    <n v="0"/>
    <n v="0"/>
    <n v="0"/>
    <n v="0"/>
    <n v="0"/>
    <n v="0"/>
  </r>
  <r>
    <d v="2024-08-08T00:00:00"/>
    <n v="221"/>
    <x v="49"/>
    <x v="3"/>
    <n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1"/>
    <n v="0"/>
    <n v="0"/>
    <n v="0"/>
    <n v="0"/>
    <n v="0"/>
    <n v="0"/>
  </r>
  <r>
    <d v="2024-08-14T00:00:00"/>
    <n v="227"/>
    <x v="49"/>
    <x v="1"/>
    <n v="0"/>
    <n v="0"/>
    <n v="0"/>
    <n v="0"/>
    <n v="0"/>
    <n v="0"/>
    <n v="0"/>
    <n v="0"/>
    <n v="0"/>
    <n v="0"/>
    <n v="0"/>
    <n v="0"/>
    <n v="0"/>
    <n v="2"/>
    <n v="0"/>
    <n v="0"/>
    <n v="0"/>
    <n v="0"/>
    <n v="0"/>
    <n v="0"/>
    <n v="1"/>
    <n v="0"/>
    <n v="0"/>
    <n v="0"/>
    <n v="0"/>
    <n v="0"/>
    <n v="0"/>
    <n v="0"/>
    <n v="0"/>
    <n v="0"/>
    <n v="0"/>
    <n v="0"/>
    <n v="0"/>
    <n v="0"/>
    <n v="0"/>
    <n v="0"/>
    <n v="0"/>
    <n v="0"/>
    <n v="0"/>
    <n v="0"/>
    <n v="0"/>
    <n v="0"/>
    <n v="0"/>
    <n v="0"/>
    <n v="0"/>
    <n v="0"/>
    <n v="0"/>
    <n v="0"/>
    <n v="0"/>
    <n v="0"/>
    <n v="0"/>
    <n v="0"/>
    <n v="0"/>
    <n v="0"/>
    <n v="0"/>
    <n v="0"/>
    <n v="1"/>
    <n v="0"/>
    <n v="0"/>
    <n v="3"/>
    <n v="0"/>
    <n v="0"/>
    <n v="0"/>
    <n v="0"/>
    <n v="0"/>
    <n v="0"/>
    <n v="0"/>
    <n v="0"/>
    <n v="0"/>
    <n v="0"/>
    <n v="0"/>
    <n v="0"/>
    <n v="0"/>
  </r>
  <r>
    <d v="2024-08-20T00:00:00"/>
    <n v="233"/>
    <x v="49"/>
    <x v="2"/>
    <n v="0"/>
    <n v="1"/>
    <n v="2"/>
    <n v="0"/>
    <n v="0"/>
    <n v="1"/>
    <n v="0"/>
    <n v="0"/>
    <n v="0"/>
    <n v="0"/>
    <n v="0"/>
    <n v="0"/>
    <n v="0"/>
    <n v="0"/>
    <n v="0"/>
    <n v="0"/>
    <n v="0"/>
    <n v="0"/>
    <n v="0"/>
    <n v="0"/>
    <n v="1"/>
    <n v="0"/>
    <n v="0"/>
    <n v="0"/>
    <n v="0"/>
    <n v="0"/>
    <n v="0"/>
    <n v="0"/>
    <n v="0"/>
    <n v="0"/>
    <n v="0"/>
    <n v="0"/>
    <n v="0"/>
    <n v="0"/>
    <n v="0"/>
    <n v="0"/>
    <n v="0"/>
    <n v="0"/>
    <n v="0"/>
    <n v="0"/>
    <n v="1"/>
    <n v="0"/>
    <n v="0"/>
    <n v="0"/>
    <n v="0"/>
    <n v="0"/>
    <n v="0"/>
    <n v="0"/>
    <n v="0"/>
    <n v="0"/>
    <n v="0"/>
    <n v="0"/>
    <n v="0"/>
    <n v="1"/>
    <n v="0"/>
    <n v="0"/>
    <n v="0"/>
    <n v="0"/>
    <n v="0"/>
    <n v="0"/>
    <n v="0"/>
    <n v="0"/>
    <n v="0"/>
    <n v="0"/>
    <n v="0"/>
    <n v="0"/>
    <n v="0"/>
    <n v="0"/>
    <n v="0"/>
    <n v="0"/>
    <n v="0"/>
    <n v="0"/>
    <n v="0"/>
  </r>
  <r>
    <d v="2024-07-10T00:00:00"/>
    <n v="192"/>
    <x v="50"/>
    <x v="0"/>
    <n v="0"/>
    <n v="0"/>
    <n v="0"/>
    <n v="0"/>
    <n v="0"/>
    <n v="0"/>
    <n v="0"/>
    <n v="0"/>
    <n v="0"/>
    <n v="0"/>
    <n v="0"/>
    <n v="0"/>
    <n v="0"/>
    <n v="0"/>
    <n v="0"/>
    <n v="0"/>
    <n v="0"/>
    <n v="0"/>
    <n v="0"/>
    <n v="0"/>
    <n v="0"/>
    <n v="0"/>
    <n v="2"/>
    <n v="0"/>
    <n v="0"/>
    <n v="0"/>
    <n v="0"/>
    <n v="0"/>
    <n v="0"/>
    <n v="2"/>
    <n v="0"/>
    <n v="0"/>
    <n v="0"/>
    <n v="0"/>
    <n v="0"/>
    <n v="0"/>
    <n v="0"/>
    <n v="0"/>
    <n v="0"/>
    <n v="0"/>
    <n v="0"/>
    <n v="0"/>
    <n v="0"/>
    <n v="0"/>
    <n v="0"/>
    <n v="0"/>
    <n v="0"/>
    <n v="0"/>
    <n v="0"/>
    <n v="0"/>
    <n v="0"/>
    <n v="0"/>
    <n v="0"/>
    <n v="0"/>
    <n v="0"/>
    <n v="0"/>
    <n v="0"/>
    <n v="0"/>
    <n v="0"/>
    <n v="0"/>
    <n v="0"/>
    <n v="0"/>
    <n v="0"/>
    <n v="0"/>
    <n v="0"/>
    <n v="0"/>
    <n v="0"/>
    <n v="0"/>
    <n v="0"/>
    <n v="0"/>
    <n v="0"/>
    <n v="0"/>
    <n v="0"/>
  </r>
  <r>
    <d v="2024-07-25T00:00:00"/>
    <n v="207"/>
    <x v="50"/>
    <x v="0"/>
    <n v="0"/>
    <n v="1"/>
    <n v="0"/>
    <n v="0"/>
    <n v="0"/>
    <n v="0"/>
    <n v="0"/>
    <n v="0"/>
    <n v="0"/>
    <n v="0"/>
    <n v="0"/>
    <n v="0"/>
    <n v="0"/>
    <n v="0"/>
    <n v="0"/>
    <n v="0"/>
    <n v="0"/>
    <n v="0"/>
    <n v="0"/>
    <n v="0"/>
    <n v="0"/>
    <n v="0"/>
    <n v="0"/>
    <n v="0"/>
    <n v="0"/>
    <n v="0"/>
    <n v="0"/>
    <n v="0"/>
    <n v="0"/>
    <n v="0"/>
    <n v="0"/>
    <n v="0"/>
    <n v="0"/>
    <n v="2"/>
    <n v="0"/>
    <n v="0"/>
    <n v="0"/>
    <n v="0"/>
    <n v="0"/>
    <n v="0"/>
    <n v="0"/>
    <n v="0"/>
    <n v="0"/>
    <n v="0"/>
    <n v="0"/>
    <n v="0"/>
    <n v="0"/>
    <n v="0"/>
    <n v="0"/>
    <n v="0"/>
    <n v="0"/>
    <n v="0"/>
    <n v="0"/>
    <n v="1"/>
    <n v="0"/>
    <n v="0"/>
    <n v="0"/>
    <n v="0"/>
    <n v="1"/>
    <n v="1"/>
    <n v="0"/>
    <n v="0"/>
    <n v="0"/>
    <n v="0"/>
    <n v="0"/>
    <n v="0"/>
    <n v="0"/>
    <n v="0"/>
    <n v="0"/>
    <n v="0"/>
    <n v="0"/>
    <n v="0"/>
    <n v="0"/>
  </r>
  <r>
    <d v="2024-07-30T00:00:00"/>
    <n v="212"/>
    <x v="50"/>
    <x v="0"/>
    <n v="0"/>
    <n v="0"/>
    <n v="0"/>
    <n v="0"/>
    <n v="0"/>
    <n v="0"/>
    <n v="0"/>
    <n v="0"/>
    <n v="0"/>
    <n v="0"/>
    <n v="0"/>
    <n v="0"/>
    <n v="0"/>
    <n v="0"/>
    <n v="0"/>
    <n v="0"/>
    <n v="1"/>
    <n v="0"/>
    <n v="0"/>
    <n v="0"/>
    <n v="0"/>
    <n v="0"/>
    <n v="0"/>
    <n v="0"/>
    <n v="0"/>
    <n v="0"/>
    <n v="0"/>
    <n v="0"/>
    <n v="0"/>
    <n v="0"/>
    <n v="0"/>
    <n v="0"/>
    <n v="0"/>
    <n v="0"/>
    <n v="0"/>
    <n v="0"/>
    <n v="0"/>
    <n v="0"/>
    <n v="0"/>
    <n v="0"/>
    <n v="0"/>
    <n v="0"/>
    <n v="0"/>
    <n v="0"/>
    <n v="0"/>
    <n v="0"/>
    <n v="0"/>
    <n v="0"/>
    <n v="0"/>
    <n v="0"/>
    <n v="0"/>
    <n v="0"/>
    <n v="0"/>
    <n v="0"/>
    <n v="0"/>
    <n v="0"/>
    <n v="0"/>
    <n v="0"/>
    <n v="0"/>
    <n v="3"/>
    <n v="0"/>
    <n v="0"/>
    <n v="0"/>
    <n v="0"/>
    <n v="0"/>
    <n v="0"/>
    <n v="0"/>
    <n v="0"/>
    <n v="0"/>
    <n v="0"/>
    <n v="0"/>
    <n v="0"/>
    <n v="0"/>
  </r>
  <r>
    <d v="2024-08-09T00:00:00"/>
    <n v="222"/>
    <x v="50"/>
    <x v="0"/>
    <n v="0"/>
    <n v="0"/>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d v="2024-08-21T00:00:00"/>
    <n v="234"/>
    <x v="50"/>
    <x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0"/>
    <n v="0"/>
    <n v="0"/>
    <n v="0"/>
    <n v="0"/>
    <n v="0"/>
    <n v="0"/>
    <n v="0"/>
    <n v="0"/>
    <n v="0"/>
    <n v="0"/>
    <n v="0"/>
  </r>
  <r>
    <d v="2024-08-08T00:00:00"/>
    <n v="221"/>
    <x v="51"/>
    <x v="1"/>
    <n v="0"/>
    <n v="0"/>
    <n v="0"/>
    <n v="0"/>
    <n v="0"/>
    <n v="0"/>
    <n v="0"/>
    <n v="0"/>
    <n v="0"/>
    <n v="0"/>
    <n v="0"/>
    <n v="0"/>
    <n v="0"/>
    <n v="1"/>
    <n v="0"/>
    <n v="0"/>
    <n v="0"/>
    <n v="0"/>
    <n v="0"/>
    <n v="0"/>
    <n v="1"/>
    <n v="0"/>
    <n v="2"/>
    <n v="0"/>
    <n v="0"/>
    <n v="0"/>
    <n v="0"/>
    <n v="1"/>
    <n v="0"/>
    <n v="0"/>
    <n v="0"/>
    <n v="0"/>
    <n v="1"/>
    <n v="0"/>
    <n v="0"/>
    <n v="0"/>
    <n v="0"/>
    <n v="0"/>
    <n v="0"/>
    <n v="0"/>
    <n v="0"/>
    <n v="0"/>
    <n v="0"/>
    <n v="0"/>
    <n v="0"/>
    <n v="0"/>
    <n v="0"/>
    <n v="0"/>
    <n v="0"/>
    <n v="0"/>
    <n v="0"/>
    <n v="0"/>
    <n v="0"/>
    <n v="0"/>
    <n v="0"/>
    <n v="0"/>
    <n v="0"/>
    <n v="1"/>
    <n v="0"/>
    <n v="1"/>
    <n v="0"/>
    <n v="0"/>
    <n v="0"/>
    <n v="0"/>
    <n v="0"/>
    <n v="0"/>
    <n v="0"/>
    <n v="0"/>
    <n v="0"/>
    <n v="0"/>
    <n v="0"/>
    <n v="0"/>
    <n v="0"/>
  </r>
  <r>
    <d v="2024-08-14T00:00:00"/>
    <n v="227"/>
    <x v="51"/>
    <x v="1"/>
    <n v="0"/>
    <n v="0"/>
    <n v="0"/>
    <n v="0"/>
    <n v="0"/>
    <n v="0"/>
    <n v="0"/>
    <n v="0"/>
    <n v="0"/>
    <n v="0"/>
    <n v="0"/>
    <n v="0"/>
    <n v="1"/>
    <n v="0"/>
    <n v="0"/>
    <n v="0"/>
    <n v="2"/>
    <n v="0"/>
    <n v="0"/>
    <n v="0"/>
    <n v="0"/>
    <n v="0"/>
    <n v="1"/>
    <n v="0"/>
    <n v="0"/>
    <n v="0"/>
    <n v="0"/>
    <n v="0"/>
    <n v="0"/>
    <n v="0"/>
    <n v="0"/>
    <n v="0"/>
    <n v="1"/>
    <n v="0"/>
    <n v="0"/>
    <n v="0"/>
    <n v="0"/>
    <n v="0"/>
    <n v="0"/>
    <n v="0"/>
    <n v="0"/>
    <n v="0"/>
    <n v="0"/>
    <n v="0"/>
    <n v="0"/>
    <n v="0"/>
    <n v="0"/>
    <n v="0"/>
    <n v="0"/>
    <n v="0"/>
    <n v="0"/>
    <n v="0"/>
    <n v="0"/>
    <n v="0"/>
    <n v="0"/>
    <n v="0"/>
    <n v="0"/>
    <n v="0"/>
    <n v="0"/>
    <n v="1"/>
    <n v="0"/>
    <n v="0"/>
    <n v="0"/>
    <n v="0"/>
    <n v="0"/>
    <n v="0"/>
    <n v="0"/>
    <n v="0"/>
    <n v="0"/>
    <n v="0"/>
    <n v="0"/>
    <n v="0"/>
    <n v="0"/>
  </r>
  <r>
    <d v="2024-08-21T00:00:00"/>
    <n v="234"/>
    <x v="51"/>
    <x v="1"/>
    <n v="0"/>
    <n v="0"/>
    <n v="0"/>
    <n v="0"/>
    <n v="0"/>
    <n v="0"/>
    <n v="0"/>
    <n v="0"/>
    <n v="0"/>
    <n v="0"/>
    <n v="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d v="2024-07-10T00:00:00"/>
    <n v="192"/>
    <x v="52"/>
    <x v="0"/>
    <n v="0"/>
    <n v="0"/>
    <n v="0"/>
    <n v="0"/>
    <n v="0"/>
    <n v="0"/>
    <n v="0"/>
    <n v="0"/>
    <n v="0"/>
    <n v="0"/>
    <n v="0"/>
    <n v="0"/>
    <n v="0"/>
    <n v="0"/>
    <n v="0"/>
    <n v="0"/>
    <n v="0"/>
    <n v="0"/>
    <n v="0"/>
    <n v="0"/>
    <n v="0"/>
    <n v="0"/>
    <n v="3"/>
    <n v="0"/>
    <n v="0"/>
    <n v="0"/>
    <n v="0"/>
    <n v="0"/>
    <n v="0"/>
    <n v="3"/>
    <n v="0"/>
    <n v="0"/>
    <n v="0"/>
    <n v="2"/>
    <n v="0"/>
    <n v="0"/>
    <n v="0"/>
    <n v="0"/>
    <n v="0"/>
    <n v="0"/>
    <n v="0"/>
    <n v="0"/>
    <n v="0"/>
    <n v="0"/>
    <n v="0"/>
    <n v="0"/>
    <n v="0"/>
    <n v="0"/>
    <n v="0"/>
    <n v="0"/>
    <n v="1"/>
    <n v="0"/>
    <n v="0"/>
    <n v="0"/>
    <n v="0"/>
    <n v="0"/>
    <n v="0"/>
    <n v="0"/>
    <n v="7"/>
    <n v="5"/>
    <n v="0"/>
    <n v="0"/>
    <n v="0"/>
    <n v="0"/>
    <n v="0"/>
    <n v="0"/>
    <n v="0"/>
    <n v="1"/>
    <n v="0"/>
    <n v="0"/>
    <n v="0"/>
    <n v="0"/>
    <n v="0"/>
  </r>
  <r>
    <d v="2024-07-22T00:00:00"/>
    <n v="204"/>
    <x v="52"/>
    <x v="2"/>
    <n v="0"/>
    <n v="0"/>
    <n v="0"/>
    <n v="0"/>
    <n v="0"/>
    <n v="0"/>
    <n v="0"/>
    <n v="1"/>
    <n v="0"/>
    <n v="0"/>
    <n v="0"/>
    <n v="0"/>
    <n v="1"/>
    <n v="0"/>
    <n v="0"/>
    <n v="0"/>
    <n v="0"/>
    <n v="1"/>
    <n v="0"/>
    <n v="0"/>
    <n v="1"/>
    <n v="0"/>
    <n v="1"/>
    <n v="0"/>
    <n v="0"/>
    <n v="0"/>
    <n v="0"/>
    <n v="0"/>
    <n v="1"/>
    <n v="0"/>
    <n v="0"/>
    <n v="0"/>
    <n v="0"/>
    <n v="1"/>
    <n v="0"/>
    <n v="0"/>
    <n v="0"/>
    <n v="0"/>
    <n v="0"/>
    <n v="0"/>
    <n v="0"/>
    <n v="0"/>
    <n v="0"/>
    <n v="0"/>
    <n v="0"/>
    <n v="1"/>
    <n v="0"/>
    <n v="0"/>
    <n v="0"/>
    <n v="0"/>
    <n v="0"/>
    <n v="0"/>
    <n v="0"/>
    <n v="0"/>
    <n v="0"/>
    <n v="0"/>
    <n v="0"/>
    <n v="0"/>
    <n v="0"/>
    <n v="0"/>
    <n v="0"/>
    <n v="0"/>
    <n v="0"/>
    <n v="0"/>
    <n v="0"/>
    <n v="0"/>
    <n v="0"/>
    <n v="0"/>
    <n v="0"/>
    <n v="0"/>
    <n v="0"/>
    <n v="0"/>
    <n v="0"/>
  </r>
  <r>
    <d v="2024-08-01T00:00:00"/>
    <n v="214"/>
    <x v="52"/>
    <x v="0"/>
    <n v="0"/>
    <n v="0"/>
    <n v="0"/>
    <n v="0"/>
    <n v="0"/>
    <n v="0"/>
    <n v="0"/>
    <n v="0"/>
    <n v="0"/>
    <n v="0"/>
    <n v="0"/>
    <n v="0"/>
    <n v="1"/>
    <n v="0"/>
    <n v="0"/>
    <n v="0"/>
    <n v="0"/>
    <n v="0"/>
    <n v="0"/>
    <n v="0"/>
    <n v="0"/>
    <n v="0"/>
    <n v="0"/>
    <n v="0"/>
    <n v="0"/>
    <n v="0"/>
    <n v="0"/>
    <n v="0"/>
    <n v="0"/>
    <n v="0"/>
    <n v="0"/>
    <n v="0"/>
    <n v="0"/>
    <n v="0"/>
    <n v="0"/>
    <n v="0"/>
    <n v="0"/>
    <n v="0"/>
    <n v="0"/>
    <n v="0"/>
    <n v="0"/>
    <n v="0"/>
    <n v="0"/>
    <n v="0"/>
    <n v="0"/>
    <n v="0"/>
    <n v="0"/>
    <n v="0"/>
    <n v="0"/>
    <n v="0"/>
    <n v="0"/>
    <n v="0"/>
    <n v="0"/>
    <n v="0"/>
    <n v="0"/>
    <n v="0"/>
    <n v="1"/>
    <n v="0"/>
    <n v="0"/>
    <n v="2"/>
    <n v="0"/>
    <n v="0"/>
    <n v="0"/>
    <n v="0"/>
    <n v="1"/>
    <n v="0"/>
    <n v="0"/>
    <n v="0"/>
    <n v="0"/>
    <n v="0"/>
    <n v="0"/>
    <n v="0"/>
    <n v="0"/>
  </r>
  <r>
    <d v="2024-07-26T00:00:00"/>
    <n v="208"/>
    <x v="53"/>
    <x v="0"/>
    <n v="0"/>
    <n v="0"/>
    <n v="0"/>
    <n v="0"/>
    <n v="0"/>
    <n v="0"/>
    <n v="0"/>
    <n v="0"/>
    <n v="0"/>
    <n v="0"/>
    <n v="0"/>
    <n v="0"/>
    <n v="0"/>
    <n v="1"/>
    <n v="0"/>
    <n v="0"/>
    <n v="0"/>
    <n v="1"/>
    <n v="0"/>
    <n v="0"/>
    <n v="0"/>
    <n v="0"/>
    <n v="0"/>
    <n v="0"/>
    <n v="0"/>
    <n v="0"/>
    <n v="0"/>
    <n v="0"/>
    <n v="0"/>
    <n v="0"/>
    <n v="0"/>
    <n v="0"/>
    <n v="0"/>
    <n v="1"/>
    <n v="0"/>
    <n v="0"/>
    <n v="0"/>
    <n v="0"/>
    <n v="0"/>
    <n v="0"/>
    <n v="0"/>
    <n v="0"/>
    <n v="0"/>
    <n v="0"/>
    <n v="0"/>
    <n v="0"/>
    <n v="0"/>
    <n v="0"/>
    <n v="0"/>
    <n v="0"/>
    <n v="0"/>
    <n v="0"/>
    <n v="0"/>
    <n v="0"/>
    <n v="1"/>
    <n v="0"/>
    <n v="1"/>
    <n v="0"/>
    <n v="0"/>
    <n v="0"/>
    <n v="0"/>
    <n v="0"/>
    <n v="0"/>
    <n v="0"/>
    <n v="0"/>
    <n v="0"/>
    <n v="0"/>
    <n v="0"/>
    <n v="0"/>
    <n v="0"/>
    <n v="0"/>
    <n v="0"/>
    <n v="0"/>
  </r>
  <r>
    <d v="2024-08-01T00:00:00"/>
    <n v="214"/>
    <x v="53"/>
    <x v="0"/>
    <n v="0"/>
    <n v="0"/>
    <n v="0"/>
    <n v="0"/>
    <n v="0"/>
    <n v="0"/>
    <n v="0"/>
    <n v="0"/>
    <n v="0"/>
    <n v="0"/>
    <n v="0"/>
    <n v="0"/>
    <n v="0"/>
    <n v="1"/>
    <n v="0"/>
    <n v="0"/>
    <n v="0"/>
    <n v="1"/>
    <n v="0"/>
    <n v="0"/>
    <n v="0"/>
    <n v="0"/>
    <n v="0"/>
    <n v="0"/>
    <n v="0"/>
    <n v="0"/>
    <n v="0"/>
    <n v="0"/>
    <n v="0"/>
    <n v="0"/>
    <n v="0"/>
    <n v="0"/>
    <n v="0"/>
    <n v="0"/>
    <n v="0"/>
    <n v="0"/>
    <n v="0"/>
    <n v="0"/>
    <n v="0"/>
    <n v="0"/>
    <n v="0"/>
    <n v="0"/>
    <n v="0"/>
    <n v="0"/>
    <n v="0"/>
    <n v="0"/>
    <n v="0"/>
    <n v="0"/>
    <n v="0"/>
    <n v="0"/>
    <n v="0"/>
    <n v="0"/>
    <n v="0"/>
    <n v="0"/>
    <n v="0"/>
    <n v="0"/>
    <n v="0"/>
    <n v="0"/>
    <n v="0"/>
    <n v="2"/>
    <n v="0"/>
    <n v="0"/>
    <n v="0"/>
    <n v="0"/>
    <n v="0"/>
    <n v="0"/>
    <n v="0"/>
    <n v="0"/>
    <n v="0"/>
    <n v="0"/>
    <n v="0"/>
    <n v="0"/>
    <n v="0"/>
  </r>
  <r>
    <d v="2024-08-09T00:00:00"/>
    <n v="222"/>
    <x v="53"/>
    <x v="0"/>
    <n v="0"/>
    <n v="0"/>
    <n v="0"/>
    <n v="0"/>
    <n v="0"/>
    <n v="0"/>
    <n v="0"/>
    <n v="0"/>
    <n v="0"/>
    <n v="0"/>
    <n v="0"/>
    <n v="0"/>
    <n v="0"/>
    <n v="0"/>
    <n v="0"/>
    <n v="0"/>
    <n v="0"/>
    <n v="0"/>
    <n v="0"/>
    <n v="0"/>
    <n v="0"/>
    <n v="0"/>
    <n v="0"/>
    <n v="0"/>
    <n v="0"/>
    <n v="0"/>
    <n v="0"/>
    <n v="0"/>
    <n v="0"/>
    <n v="0"/>
    <n v="0"/>
    <n v="0"/>
    <n v="0"/>
    <n v="1"/>
    <n v="1"/>
    <n v="0"/>
    <n v="0"/>
    <n v="0"/>
    <n v="0"/>
    <n v="0"/>
    <n v="0"/>
    <n v="0"/>
    <n v="0"/>
    <n v="0"/>
    <n v="0"/>
    <n v="0"/>
    <n v="0"/>
    <n v="0"/>
    <n v="0"/>
    <n v="0"/>
    <n v="0"/>
    <n v="0"/>
    <n v="0"/>
    <n v="0"/>
    <n v="0"/>
    <n v="0"/>
    <n v="0"/>
    <n v="0"/>
    <n v="0"/>
    <n v="0"/>
    <n v="0"/>
    <n v="0"/>
    <n v="0"/>
    <n v="0"/>
    <n v="0"/>
    <n v="0"/>
    <n v="0"/>
    <n v="0"/>
    <n v="0"/>
    <n v="0"/>
    <n v="0"/>
    <n v="0"/>
    <n v="0"/>
  </r>
  <r>
    <d v="2024-07-29T00:00:00"/>
    <n v="211"/>
    <x v="54"/>
    <x v="0"/>
    <n v="0"/>
    <n v="0"/>
    <n v="0"/>
    <n v="0"/>
    <n v="0"/>
    <n v="0"/>
    <n v="0"/>
    <n v="0"/>
    <n v="0"/>
    <n v="0"/>
    <n v="0"/>
    <n v="0"/>
    <n v="0"/>
    <n v="0"/>
    <n v="0"/>
    <n v="0"/>
    <n v="1"/>
    <n v="0"/>
    <n v="0"/>
    <n v="0"/>
    <n v="0"/>
    <n v="0"/>
    <n v="1"/>
    <n v="0"/>
    <n v="0"/>
    <n v="0"/>
    <n v="0"/>
    <n v="0"/>
    <n v="0"/>
    <n v="0"/>
    <n v="0"/>
    <n v="0"/>
    <n v="1"/>
    <n v="1"/>
    <n v="0"/>
    <n v="0"/>
    <n v="0"/>
    <n v="0"/>
    <n v="0"/>
    <n v="0"/>
    <n v="0"/>
    <n v="0"/>
    <n v="0"/>
    <n v="0"/>
    <n v="0"/>
    <n v="0"/>
    <n v="0"/>
    <n v="0"/>
    <n v="0"/>
    <n v="0"/>
    <n v="0"/>
    <n v="0"/>
    <n v="0"/>
    <n v="0"/>
    <n v="0"/>
    <n v="0"/>
    <n v="0"/>
    <n v="0"/>
    <n v="0"/>
    <n v="0"/>
    <n v="0"/>
    <n v="0"/>
    <n v="0"/>
    <n v="0"/>
    <n v="0"/>
    <n v="0"/>
    <n v="0"/>
    <n v="0"/>
    <n v="0"/>
    <n v="0"/>
    <n v="0"/>
    <n v="0"/>
    <n v="0"/>
  </r>
  <r>
    <d v="2024-07-17T00:00:00"/>
    <n v="199"/>
    <x v="55"/>
    <x v="0"/>
    <n v="0"/>
    <n v="0"/>
    <n v="0"/>
    <n v="0"/>
    <n v="0"/>
    <n v="0"/>
    <n v="0"/>
    <n v="0"/>
    <n v="0"/>
    <n v="0"/>
    <n v="0"/>
    <n v="0"/>
    <n v="0"/>
    <n v="0"/>
    <n v="0"/>
    <n v="0"/>
    <n v="0"/>
    <n v="0"/>
    <n v="0"/>
    <n v="0"/>
    <n v="1"/>
    <n v="0"/>
    <n v="2"/>
    <n v="0"/>
    <n v="1"/>
    <n v="0"/>
    <n v="0"/>
    <n v="0"/>
    <n v="0"/>
    <n v="0"/>
    <n v="0"/>
    <n v="0"/>
    <n v="1"/>
    <n v="0"/>
    <n v="0"/>
    <n v="0"/>
    <n v="0"/>
    <n v="0"/>
    <n v="0"/>
    <n v="0"/>
    <n v="0"/>
    <n v="0"/>
    <n v="0"/>
    <n v="0"/>
    <n v="0"/>
    <n v="0"/>
    <n v="0"/>
    <n v="0"/>
    <n v="0"/>
    <n v="0"/>
    <n v="0"/>
    <n v="0"/>
    <n v="0"/>
    <n v="0"/>
    <n v="0"/>
    <n v="0"/>
    <n v="0"/>
    <n v="0"/>
    <n v="0"/>
    <n v="1"/>
    <n v="0"/>
    <n v="0"/>
    <n v="0"/>
    <n v="0"/>
    <n v="0"/>
    <n v="0"/>
    <n v="0"/>
    <n v="0"/>
    <n v="0"/>
    <n v="0"/>
    <n v="0"/>
    <n v="0"/>
    <n v="0"/>
  </r>
  <r>
    <d v="2024-07-23T00:00:00"/>
    <n v="205"/>
    <x v="56"/>
    <x v="2"/>
    <n v="0"/>
    <n v="2"/>
    <n v="0"/>
    <n v="0"/>
    <n v="0"/>
    <n v="0"/>
    <n v="0"/>
    <n v="0"/>
    <n v="0"/>
    <n v="0"/>
    <n v="0"/>
    <n v="0"/>
    <n v="0"/>
    <n v="0"/>
    <n v="0"/>
    <n v="0"/>
    <n v="0"/>
    <n v="0"/>
    <n v="0"/>
    <n v="0"/>
    <n v="0"/>
    <n v="0"/>
    <n v="0"/>
    <n v="0"/>
    <n v="0"/>
    <n v="0"/>
    <n v="0"/>
    <n v="0"/>
    <n v="0"/>
    <n v="0"/>
    <n v="0"/>
    <n v="0"/>
    <n v="0"/>
    <n v="1"/>
    <n v="0"/>
    <n v="0"/>
    <n v="0"/>
    <n v="0"/>
    <n v="0"/>
    <n v="0"/>
    <n v="1"/>
    <n v="0"/>
    <n v="0"/>
    <n v="0"/>
    <n v="0"/>
    <n v="0"/>
    <n v="0"/>
    <n v="0"/>
    <n v="0"/>
    <n v="0"/>
    <n v="1"/>
    <n v="0"/>
    <n v="0"/>
    <n v="0"/>
    <n v="0"/>
    <n v="0"/>
    <n v="0"/>
    <n v="1"/>
    <n v="0"/>
    <n v="0"/>
    <n v="0"/>
    <n v="0"/>
    <n v="0"/>
    <n v="0"/>
    <n v="0"/>
    <n v="0"/>
    <n v="0"/>
    <n v="0"/>
    <n v="0"/>
    <n v="0"/>
    <n v="0"/>
    <n v="0"/>
    <n v="0"/>
  </r>
  <r>
    <m/>
    <m/>
    <x v="57"/>
    <x v="4"/>
    <m/>
    <m/>
    <m/>
    <m/>
    <m/>
    <m/>
    <m/>
    <m/>
    <m/>
    <m/>
    <m/>
    <m/>
    <m/>
    <m/>
    <m/>
    <m/>
    <m/>
    <m/>
    <m/>
    <m/>
    <m/>
    <m/>
    <m/>
    <m/>
    <m/>
    <m/>
    <m/>
    <m/>
    <m/>
    <m/>
    <m/>
    <m/>
    <m/>
    <m/>
    <m/>
    <m/>
    <m/>
    <m/>
    <m/>
    <m/>
    <m/>
    <m/>
    <m/>
    <m/>
    <m/>
    <m/>
    <m/>
    <m/>
    <m/>
    <m/>
    <m/>
    <m/>
    <m/>
    <m/>
    <m/>
    <m/>
    <m/>
    <m/>
    <m/>
    <m/>
    <m/>
    <m/>
    <m/>
    <m/>
    <m/>
    <m/>
    <m/>
    <m/>
    <m/>
    <m/>
    <m/>
    <m/>
    <m/>
  </r>
  <r>
    <m/>
    <m/>
    <x v="57"/>
    <x v="4"/>
    <m/>
    <m/>
    <m/>
    <m/>
    <m/>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083ED3-E690-4DC8-945E-03DAC76D84EF}"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U60" firstHeaderRow="0" firstDataRow="1" firstDataCol="1"/>
  <pivotFields count="77">
    <pivotField showAll="0"/>
    <pivotField showAll="0"/>
    <pivotField axis="axisRow"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items count="6">
        <item x="0"/>
        <item x="3"/>
        <item x="2"/>
        <item x="1"/>
        <item x="4"/>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2"/>
  </rowFields>
  <rowItems count="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t="grand">
      <x/>
    </i>
  </rowItems>
  <colFields count="1">
    <field x="-2"/>
  </colFields>
  <colItems count="7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i i="67">
      <x v="67"/>
    </i>
    <i i="68">
      <x v="68"/>
    </i>
    <i i="69">
      <x v="69"/>
    </i>
    <i i="70">
      <x v="70"/>
    </i>
    <i i="71">
      <x v="71"/>
    </i>
  </colItems>
  <dataFields count="72">
    <dataField name="Sum of Dendryphantini (jumping spiders)" fld="4" baseField="0" baseItem="0"/>
    <dataField name="Sum of Thomisidae" fld="5" baseField="0" baseItem="0"/>
    <dataField name="Sum of Chauliognathus" fld="6" baseField="0" baseItem="0"/>
    <dataField name="Sum of Cerambycidae" fld="7" baseField="0" baseItem="0"/>
    <dataField name="Sum of Chrysomelidae" fld="8" baseField="0" baseItem="0"/>
    <dataField name="Sum of Curculionidae " fld="9" baseField="0" baseItem="0"/>
    <dataField name="Sum of Lampyridae" fld="10" baseField="0" baseItem="0"/>
    <dataField name="Sum of Mordellidae" fld="11" baseField="0" baseItem="0"/>
    <dataField name="Sum of Scarabaeoidea" fld="12" baseField="0" baseItem="0"/>
    <dataField name="Sum of Diptera" fld="13" baseField="0" baseItem="0"/>
    <dataField name="Sum of Anthomyiidae" fld="14" baseField="0" baseItem="0"/>
    <dataField name="Sum of Bombyliidae" fld="15" baseField="0" baseItem="0"/>
    <dataField name="Sum of Calliphoridae" fld="16" baseField="0" baseItem="0"/>
    <dataField name="Sum of Conopidae" fld="17" baseField="0" baseItem="0"/>
    <dataField name="Sum of Cecidomyiidae" fld="18" baseField="0" baseItem="0"/>
    <dataField name="Sum of Culicidae" fld="19" baseField="0" baseItem="0"/>
    <dataField name="Sum of Dolichopodidae" fld="20" baseField="0" baseItem="0"/>
    <dataField name="Sum of Drosophilidae " fld="21" baseField="0" baseItem="0"/>
    <dataField name="Sum of Empididae" fld="22" baseField="0" baseItem="0"/>
    <dataField name="Sum of Lonchaeidae" fld="23" baseField="0" baseItem="0"/>
    <dataField name="Sum of Muscidae" fld="24" baseField="0" baseItem="0"/>
    <dataField name="Sum of Polleniidae" fld="25" baseField="0" baseItem="0"/>
    <dataField name="Sum of Syrphidae (total)" fld="26" baseField="0" baseItem="0"/>
    <dataField name="Sum of Allograpta" fld="27" baseField="0" baseItem="0"/>
    <dataField name="Sum of Helophilus" fld="28" baseField="0" baseItem="0"/>
    <dataField name="Sum of Ocyptamus" fld="29" baseField="0" baseItem="0"/>
    <dataField name="Sum of Orthonevra" fld="30" baseField="0" baseItem="0"/>
    <dataField name="Sum of Parhelophilus" fld="31" baseField="0" baseItem="0"/>
    <dataField name="Sum of Parhelophilus integer" fld="32" baseField="0" baseItem="0"/>
    <dataField name="Sum of Syrphidae" fld="33" baseField="0" baseItem="0"/>
    <dataField name="Sum of Syrphini" fld="34" baseField="0" baseItem="0"/>
    <dataField name="Sum of Syrphus" fld="35" baseField="0" baseItem="0"/>
    <dataField name="Sum of Toxomerus" fld="36" baseField="0" baseItem="0"/>
    <dataField name="Sum of Tachinidae" fld="37" baseField="0" baseItem="0"/>
    <dataField name="Sum of Tipulidae" fld="38" baseField="0" baseItem="0"/>
    <dataField name="Sum of Ulidiidae" fld="39" baseField="0" baseItem="0"/>
    <dataField name="Sum of Hemiptera" fld="40" baseField="0" baseItem="0"/>
    <dataField name="Sum of Aphidinae" fld="41" baseField="0" baseItem="0"/>
    <dataField name="Sum of Cicadellidae" fld="42" baseField="0" baseItem="0"/>
    <dataField name="Sum of Miridae" fld="43" baseField="0" baseItem="0"/>
    <dataField name="Sum of Reduviidae" fld="44" baseField="0" baseItem="0"/>
    <dataField name="Sum of Hymenoptera" fld="45" baseField="0" baseItem="0"/>
    <dataField name="Sum of Andrena" fld="46" baseField="0" baseItem="0"/>
    <dataField name="Sum of Pseudopanurgus " fld="47" baseField="0" baseItem="0"/>
    <dataField name="Sum of Apis" fld="48" baseField="0" baseItem="0"/>
    <dataField name="Sum of Ceratina" fld="49" baseField="0" baseItem="0"/>
    <dataField name="Sum of Melissodes" fld="50" baseField="0" baseItem="0"/>
    <dataField name="Sum of Triepeolus" fld="51" baseField="0" baseItem="0"/>
    <dataField name="Sum of Astata" fld="52" baseField="0" baseItem="0"/>
    <dataField name="Sum of Elampus" fld="53" baseField="0" baseItem="0"/>
    <dataField name="Sum of Hylaeus" fld="54" baseField="0" baseItem="0"/>
    <dataField name="Sum of Oxybelus" fld="55" baseField="0" baseItem="0"/>
    <dataField name="Sum of Halictidae " fld="56" baseField="0" baseItem="0"/>
    <dataField name="Sum of Agapostemon " fld="57" baseField="0" baseItem="0"/>
    <dataField name="Sum of Augochloropsis" fld="58" baseField="0" baseItem="0"/>
    <dataField name="Sum of Augochlora OR Augochlorella" fld="59" baseField="0" baseItem="0"/>
    <dataField name="Sum of Augochlora" fld="60" baseField="0" baseItem="0"/>
    <dataField name="Sum of Augochlorella" fld="61" baseField="0" baseItem="0"/>
    <dataField name="Sum of Halictus" fld="62" baseField="0" baseItem="0"/>
    <dataField name="Sum of Lasioglossum" fld="63" baseField="0" baseItem="0"/>
    <dataField name="Sum of Symmorphus" fld="64" baseField="0" baseItem="0"/>
    <dataField name="Sum of Eurytoma" fld="65" baseField="0" baseItem="0"/>
    <dataField name="Sum of Braconidae" fld="67" baseField="0" baseItem="0"/>
    <dataField name="Sum of Ichneumonidae" fld="68" baseField="0" baseItem="0"/>
    <dataField name="Sum of Scolia" fld="69" baseField="0" baseItem="0"/>
    <dataField name="Sum of Sphex pensylvanicus" fld="70" baseField="0" baseItem="0"/>
    <dataField name="Sum of Vespidae" fld="71" baseField="0" baseItem="0"/>
    <dataField name="Sum of Ancistrocerus " fld="72" baseField="0" baseItem="0"/>
    <dataField name="Sum of Dolichovespula" fld="73" baseField="0" baseItem="0"/>
    <dataField name="Sum of Polistes" fld="74" baseField="0" baseItem="0"/>
    <dataField name="Sum of Hesperiidae " fld="75" baseField="0" baseItem="0"/>
    <dataField name="Sum of Limniphilidae" fld="7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4E604-7F62-47B7-BE16-2BEE794D0E63}">
  <dimension ref="A1:B13"/>
  <sheetViews>
    <sheetView workbookViewId="0">
      <selection activeCell="A15" sqref="A15"/>
    </sheetView>
  </sheetViews>
  <sheetFormatPr defaultRowHeight="14.4" x14ac:dyDescent="0.3"/>
  <sheetData>
    <row r="1" spans="1:2" x14ac:dyDescent="0.3">
      <c r="A1" t="s">
        <v>288</v>
      </c>
    </row>
    <row r="2" spans="1:2" x14ac:dyDescent="0.3">
      <c r="A2" t="s">
        <v>289</v>
      </c>
    </row>
    <row r="3" spans="1:2" x14ac:dyDescent="0.3">
      <c r="A3" t="s">
        <v>290</v>
      </c>
    </row>
    <row r="5" spans="1:2" x14ac:dyDescent="0.3">
      <c r="A5" t="s">
        <v>392</v>
      </c>
    </row>
    <row r="6" spans="1:2" x14ac:dyDescent="0.3">
      <c r="A6" t="s">
        <v>292</v>
      </c>
    </row>
    <row r="7" spans="1:2" x14ac:dyDescent="0.3">
      <c r="A7" t="s">
        <v>291</v>
      </c>
    </row>
    <row r="8" spans="1:2" x14ac:dyDescent="0.3">
      <c r="A8" t="s">
        <v>293</v>
      </c>
    </row>
    <row r="9" spans="1:2" x14ac:dyDescent="0.3">
      <c r="A9" t="s">
        <v>294</v>
      </c>
    </row>
    <row r="10" spans="1:2" x14ac:dyDescent="0.3">
      <c r="A10" t="s">
        <v>295</v>
      </c>
    </row>
    <row r="11" spans="1:2" x14ac:dyDescent="0.3">
      <c r="B11" t="s">
        <v>296</v>
      </c>
    </row>
    <row r="12" spans="1:2" x14ac:dyDescent="0.3">
      <c r="A12" t="s">
        <v>297</v>
      </c>
      <c r="B12" t="s">
        <v>298</v>
      </c>
    </row>
    <row r="13" spans="1:2" x14ac:dyDescent="0.3">
      <c r="A13" t="s">
        <v>393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49386-0213-4BA4-96AF-501ACB15DBFB}">
  <dimension ref="A1:BZ56"/>
  <sheetViews>
    <sheetView tabSelected="1" topLeftCell="A33" workbookViewId="0">
      <selection activeCell="D56" sqref="D56"/>
    </sheetView>
  </sheetViews>
  <sheetFormatPr defaultRowHeight="14.4" x14ac:dyDescent="0.3"/>
  <cols>
    <col min="1" max="1" width="12.5546875" bestFit="1" customWidth="1"/>
    <col min="2" max="6" width="12.5546875" customWidth="1"/>
  </cols>
  <sheetData>
    <row r="1" spans="1:78" x14ac:dyDescent="0.3">
      <c r="A1" t="s">
        <v>212</v>
      </c>
      <c r="B1" t="s">
        <v>0</v>
      </c>
      <c r="C1" t="s">
        <v>2</v>
      </c>
      <c r="D1" t="s">
        <v>3</v>
      </c>
      <c r="E1" t="s">
        <v>4</v>
      </c>
      <c r="F1" t="s">
        <v>1</v>
      </c>
      <c r="G1" t="s">
        <v>215</v>
      </c>
      <c r="H1" t="s">
        <v>216</v>
      </c>
      <c r="I1" t="s">
        <v>217</v>
      </c>
      <c r="J1" t="s">
        <v>218</v>
      </c>
      <c r="K1" t="s">
        <v>219</v>
      </c>
      <c r="L1" t="s">
        <v>220</v>
      </c>
      <c r="M1" t="s">
        <v>221</v>
      </c>
      <c r="N1" t="s">
        <v>222</v>
      </c>
      <c r="O1" t="s">
        <v>223</v>
      </c>
      <c r="P1" t="s">
        <v>224</v>
      </c>
      <c r="Q1" t="s">
        <v>225</v>
      </c>
      <c r="R1" t="s">
        <v>226</v>
      </c>
      <c r="S1" t="s">
        <v>227</v>
      </c>
      <c r="T1" t="s">
        <v>228</v>
      </c>
      <c r="U1" t="s">
        <v>229</v>
      </c>
      <c r="V1" t="s">
        <v>230</v>
      </c>
      <c r="W1" t="s">
        <v>231</v>
      </c>
      <c r="X1" t="s">
        <v>232</v>
      </c>
      <c r="Y1" t="s">
        <v>233</v>
      </c>
      <c r="Z1" t="s">
        <v>234</v>
      </c>
      <c r="AA1" t="s">
        <v>235</v>
      </c>
      <c r="AB1" t="s">
        <v>236</v>
      </c>
      <c r="AC1" t="s">
        <v>237</v>
      </c>
      <c r="AD1" t="s">
        <v>238</v>
      </c>
      <c r="AE1" t="s">
        <v>239</v>
      </c>
      <c r="AF1" t="s">
        <v>240</v>
      </c>
      <c r="AG1" t="s">
        <v>241</v>
      </c>
      <c r="AH1" t="s">
        <v>242</v>
      </c>
      <c r="AI1" t="s">
        <v>243</v>
      </c>
      <c r="AJ1" t="s">
        <v>244</v>
      </c>
      <c r="AK1" t="s">
        <v>245</v>
      </c>
      <c r="AL1" t="s">
        <v>246</v>
      </c>
      <c r="AM1" t="s">
        <v>247</v>
      </c>
      <c r="AN1" t="s">
        <v>248</v>
      </c>
      <c r="AO1" t="s">
        <v>249</v>
      </c>
      <c r="AP1" t="s">
        <v>250</v>
      </c>
      <c r="AQ1" t="s">
        <v>251</v>
      </c>
      <c r="AR1" t="s">
        <v>252</v>
      </c>
      <c r="AS1" t="s">
        <v>253</v>
      </c>
      <c r="AT1" t="s">
        <v>254</v>
      </c>
      <c r="AU1" t="s">
        <v>255</v>
      </c>
      <c r="AV1" t="s">
        <v>256</v>
      </c>
      <c r="AW1" t="s">
        <v>257</v>
      </c>
      <c r="AX1" t="s">
        <v>258</v>
      </c>
      <c r="AY1" t="s">
        <v>259</v>
      </c>
      <c r="AZ1" t="s">
        <v>260</v>
      </c>
      <c r="BA1" t="s">
        <v>261</v>
      </c>
      <c r="BB1" t="s">
        <v>262</v>
      </c>
      <c r="BC1" t="s">
        <v>263</v>
      </c>
      <c r="BD1" t="s">
        <v>264</v>
      </c>
      <c r="BE1" t="s">
        <v>265</v>
      </c>
      <c r="BF1" t="s">
        <v>266</v>
      </c>
      <c r="BG1" t="s">
        <v>267</v>
      </c>
      <c r="BH1" t="s">
        <v>268</v>
      </c>
      <c r="BI1" t="s">
        <v>269</v>
      </c>
      <c r="BJ1" t="s">
        <v>270</v>
      </c>
      <c r="BK1" t="s">
        <v>271</v>
      </c>
      <c r="BL1" t="s">
        <v>272</v>
      </c>
      <c r="BM1" t="s">
        <v>273</v>
      </c>
      <c r="BN1" t="s">
        <v>274</v>
      </c>
      <c r="BO1" t="s">
        <v>275</v>
      </c>
      <c r="BP1" t="s">
        <v>276</v>
      </c>
      <c r="BQ1" t="s">
        <v>277</v>
      </c>
      <c r="BR1" t="s">
        <v>278</v>
      </c>
      <c r="BS1" t="s">
        <v>279</v>
      </c>
      <c r="BT1" t="s">
        <v>280</v>
      </c>
      <c r="BU1" t="s">
        <v>281</v>
      </c>
      <c r="BV1" t="s">
        <v>282</v>
      </c>
      <c r="BW1" t="s">
        <v>283</v>
      </c>
      <c r="BX1" t="s">
        <v>284</v>
      </c>
      <c r="BY1" t="s">
        <v>285</v>
      </c>
      <c r="BZ1" t="s">
        <v>286</v>
      </c>
    </row>
    <row r="2" spans="1:78" x14ac:dyDescent="0.3">
      <c r="A2" s="4" t="s">
        <v>167</v>
      </c>
      <c r="B2" s="4" t="str">
        <f>VLOOKUP($A2,Vlookup!$A$2:$E$62,2,FALSE)</f>
        <v>Fire Light</v>
      </c>
      <c r="C2" s="4" t="str">
        <f>VLOOKUP($A2,Vlookup!$A$2:$E$62,3,FALSE)</f>
        <v>Hydrangea paniculata</v>
      </c>
      <c r="D2" s="4" t="str">
        <f>VLOOKUP($A2,Vlookup!$A$2:$E$62,4,FALSE)</f>
        <v>Mop-like panicle</v>
      </c>
      <c r="E2" s="4" t="str">
        <f>VLOOKUP($A2,Vlookup!$A$2:$E$62,5,FALSE)</f>
        <v>Dense</v>
      </c>
      <c r="F2" s="4">
        <f>SUM(G2:BZ2)</f>
        <v>5</v>
      </c>
      <c r="G2">
        <f>IF('Pivot table values'!B2&gt;0,1,0)</f>
        <v>0</v>
      </c>
      <c r="H2">
        <f>IF('Pivot table values'!C2&gt;0,1,0)</f>
        <v>0</v>
      </c>
      <c r="I2">
        <f>IF('Pivot table values'!D2&gt;0,1,0)</f>
        <v>0</v>
      </c>
      <c r="J2">
        <f>IF('Pivot table values'!E2&gt;0,1,0)</f>
        <v>0</v>
      </c>
      <c r="K2">
        <f>IF('Pivot table values'!F2&gt;0,1,0)</f>
        <v>0</v>
      </c>
      <c r="L2">
        <f>IF('Pivot table values'!G2&gt;0,1,0)</f>
        <v>0</v>
      </c>
      <c r="M2">
        <f>IF('Pivot table values'!H2&gt;0,1,0)</f>
        <v>0</v>
      </c>
      <c r="N2">
        <f>IF('Pivot table values'!I2&gt;0,1,0)</f>
        <v>0</v>
      </c>
      <c r="O2">
        <f>IF('Pivot table values'!J2&gt;0,1,0)</f>
        <v>0</v>
      </c>
      <c r="P2">
        <f>IF('Pivot table values'!K2&gt;0,1,0)</f>
        <v>0</v>
      </c>
      <c r="Q2">
        <f>IF('Pivot table values'!L2&gt;0,1,0)</f>
        <v>0</v>
      </c>
      <c r="R2">
        <f>IF('Pivot table values'!M2&gt;0,1,0)</f>
        <v>0</v>
      </c>
      <c r="S2">
        <f>IF('Pivot table values'!N2&gt;0,1,0)</f>
        <v>0</v>
      </c>
      <c r="T2">
        <f>IF('Pivot table values'!O2&gt;0,1,0)</f>
        <v>0</v>
      </c>
      <c r="U2">
        <f>IF('Pivot table values'!P2&gt;0,1,0)</f>
        <v>0</v>
      </c>
      <c r="V2">
        <f>IF('Pivot table values'!Q2&gt;0,1,0)</f>
        <v>0</v>
      </c>
      <c r="W2">
        <f>IF('Pivot table values'!R2&gt;0,1,0)</f>
        <v>0</v>
      </c>
      <c r="X2">
        <f>IF('Pivot table values'!S2&gt;0,1,0)</f>
        <v>0</v>
      </c>
      <c r="Y2">
        <f>IF('Pivot table values'!T2&gt;0,1,0)</f>
        <v>0</v>
      </c>
      <c r="Z2">
        <f>IF('Pivot table values'!U2&gt;0,1,0)</f>
        <v>0</v>
      </c>
      <c r="AA2">
        <f>IF('Pivot table values'!V2&gt;0,1,0)</f>
        <v>0</v>
      </c>
      <c r="AB2">
        <f>IF('Pivot table values'!W2&gt;0,1,0)</f>
        <v>0</v>
      </c>
      <c r="AC2">
        <f>IF('Pivot table values'!X2&gt;0,1,0)</f>
        <v>1</v>
      </c>
      <c r="AD2">
        <f>IF('Pivot table values'!Y2&gt;0,1,0)</f>
        <v>0</v>
      </c>
      <c r="AE2">
        <f>IF('Pivot table values'!Z2&gt;0,1,0)</f>
        <v>0</v>
      </c>
      <c r="AF2">
        <f>IF('Pivot table values'!AA2&gt;0,1,0)</f>
        <v>0</v>
      </c>
      <c r="AG2">
        <f>IF('Pivot table values'!AB2&gt;0,1,0)</f>
        <v>0</v>
      </c>
      <c r="AH2">
        <f>IF('Pivot table values'!AC2&gt;0,1,0)</f>
        <v>0</v>
      </c>
      <c r="AI2">
        <f>IF('Pivot table values'!AD2&gt;0,1,0)</f>
        <v>1</v>
      </c>
      <c r="AJ2">
        <f>IF('Pivot table values'!AE2&gt;0,1,0)</f>
        <v>0</v>
      </c>
      <c r="AK2">
        <f>IF('Pivot table values'!AF2&gt;0,1,0)</f>
        <v>0</v>
      </c>
      <c r="AL2">
        <f>IF('Pivot table values'!AG2&gt;0,1,0)</f>
        <v>0</v>
      </c>
      <c r="AM2">
        <f>IF('Pivot table values'!AH2&gt;0,1,0)</f>
        <v>0</v>
      </c>
      <c r="AN2">
        <f>IF('Pivot table values'!AI2&gt;0,1,0)</f>
        <v>1</v>
      </c>
      <c r="AO2">
        <f>IF('Pivot table values'!AJ2&gt;0,1,0)</f>
        <v>0</v>
      </c>
      <c r="AP2">
        <f>IF('Pivot table values'!AK2&gt;0,1,0)</f>
        <v>0</v>
      </c>
      <c r="AQ2">
        <f>IF('Pivot table values'!AL2&gt;0,1,0)</f>
        <v>0</v>
      </c>
      <c r="AR2">
        <f>IF('Pivot table values'!AM2&gt;0,1,0)</f>
        <v>1</v>
      </c>
      <c r="AS2">
        <f>IF('Pivot table values'!AN2&gt;0,1,0)</f>
        <v>0</v>
      </c>
      <c r="AT2">
        <f>IF('Pivot table values'!AO2&gt;0,1,0)</f>
        <v>0</v>
      </c>
      <c r="AU2">
        <f>IF('Pivot table values'!AP2&gt;0,1,0)</f>
        <v>0</v>
      </c>
      <c r="AV2">
        <f>IF('Pivot table values'!AQ2&gt;0,1,0)</f>
        <v>0</v>
      </c>
      <c r="AW2">
        <f>IF('Pivot table values'!AR2&gt;0,1,0)</f>
        <v>0</v>
      </c>
      <c r="AX2">
        <f>IF('Pivot table values'!AS2&gt;0,1,0)</f>
        <v>0</v>
      </c>
      <c r="AY2">
        <f>IF('Pivot table values'!AT2&gt;0,1,0)</f>
        <v>0</v>
      </c>
      <c r="AZ2">
        <f>IF('Pivot table values'!AU2&gt;0,1,0)</f>
        <v>0</v>
      </c>
      <c r="BA2">
        <f>IF('Pivot table values'!AV2&gt;0,1,0)</f>
        <v>0</v>
      </c>
      <c r="BB2">
        <f>IF('Pivot table values'!AW2&gt;0,1,0)</f>
        <v>0</v>
      </c>
      <c r="BC2">
        <f>IF('Pivot table values'!AX2&gt;0,1,0)</f>
        <v>0</v>
      </c>
      <c r="BD2">
        <f>IF('Pivot table values'!AY2&gt;0,1,0)</f>
        <v>0</v>
      </c>
      <c r="BE2">
        <f>IF('Pivot table values'!AZ2&gt;0,1,0)</f>
        <v>0</v>
      </c>
      <c r="BF2">
        <f>IF('Pivot table values'!BA2&gt;0,1,0)</f>
        <v>0</v>
      </c>
      <c r="BG2">
        <f>IF('Pivot table values'!BB2&gt;0,1,0)</f>
        <v>0</v>
      </c>
      <c r="BH2">
        <f>IF('Pivot table values'!BC2&gt;0,1,0)</f>
        <v>0</v>
      </c>
      <c r="BI2">
        <f>IF('Pivot table values'!BD2&gt;0,1,0)</f>
        <v>0</v>
      </c>
      <c r="BJ2">
        <f>IF('Pivot table values'!BE2&gt;0,1,0)</f>
        <v>0</v>
      </c>
      <c r="BK2">
        <f>IF('Pivot table values'!BF2&gt;0,1,0)</f>
        <v>0</v>
      </c>
      <c r="BL2">
        <f>IF('Pivot table values'!BG2&gt;0,1,0)</f>
        <v>0</v>
      </c>
      <c r="BM2">
        <f>IF('Pivot table values'!BH2&gt;0,1,0)</f>
        <v>0</v>
      </c>
      <c r="BN2">
        <f>IF('Pivot table values'!BI2&gt;0,1,0)</f>
        <v>1</v>
      </c>
      <c r="BO2">
        <f>IF('Pivot table values'!BJ2&gt;0,1,0)</f>
        <v>0</v>
      </c>
      <c r="BP2">
        <f>IF('Pivot table values'!BK2&gt;0,1,0)</f>
        <v>0</v>
      </c>
      <c r="BQ2">
        <f>IF('Pivot table values'!BL2&gt;0,1,0)</f>
        <v>0</v>
      </c>
      <c r="BR2">
        <f>IF('Pivot table values'!BM2&gt;0,1,0)</f>
        <v>0</v>
      </c>
      <c r="BS2">
        <f>IF('Pivot table values'!BN2&gt;0,1,0)</f>
        <v>0</v>
      </c>
      <c r="BT2">
        <f>IF('Pivot table values'!BO2&gt;0,1,0)</f>
        <v>0</v>
      </c>
      <c r="BU2">
        <f>IF('Pivot table values'!BP2&gt;0,1,0)</f>
        <v>0</v>
      </c>
      <c r="BV2">
        <f>IF('Pivot table values'!BQ2&gt;0,1,0)</f>
        <v>0</v>
      </c>
      <c r="BW2">
        <f>IF('Pivot table values'!BR2&gt;0,1,0)</f>
        <v>0</v>
      </c>
      <c r="BX2">
        <f>IF('Pivot table values'!BS2&gt;0,1,0)</f>
        <v>0</v>
      </c>
      <c r="BY2">
        <f>IF('Pivot table values'!BT2&gt;0,1,0)</f>
        <v>0</v>
      </c>
      <c r="BZ2">
        <f>IF('Pivot table values'!BU2&gt;0,1,0)</f>
        <v>0</v>
      </c>
    </row>
    <row r="3" spans="1:78" x14ac:dyDescent="0.3">
      <c r="A3" s="4" t="s">
        <v>166</v>
      </c>
      <c r="B3" s="4" t="str">
        <f>VLOOKUP($A3,Vlookup!$A$2:$E$62,2,FALSE)</f>
        <v>Daimond Rogue</v>
      </c>
      <c r="C3" s="4" t="str">
        <f>VLOOKUP($A3,Vlookup!$A$2:$E$62,3,FALSE)</f>
        <v>Hydrangea paniculata</v>
      </c>
      <c r="D3" s="4" t="str">
        <f>VLOOKUP($A3,Vlookup!$A$2:$E$62,4,FALSE)</f>
        <v>Mop-like panicle</v>
      </c>
      <c r="E3" s="4" t="str">
        <f>VLOOKUP($A3,Vlookup!$A$2:$E$62,5,FALSE)</f>
        <v>Half-open</v>
      </c>
      <c r="F3" s="4">
        <f t="shared" ref="F3:F56" si="0">SUM(G3:BZ3)</f>
        <v>7</v>
      </c>
      <c r="G3">
        <f>IF('Pivot table values'!B3&gt;0,1,0)</f>
        <v>0</v>
      </c>
      <c r="H3">
        <f>IF('Pivot table values'!C3&gt;0,1,0)</f>
        <v>0</v>
      </c>
      <c r="I3">
        <f>IF('Pivot table values'!D3&gt;0,1,0)</f>
        <v>0</v>
      </c>
      <c r="J3">
        <f>IF('Pivot table values'!E3&gt;0,1,0)</f>
        <v>0</v>
      </c>
      <c r="K3">
        <f>IF('Pivot table values'!F3&gt;0,1,0)</f>
        <v>0</v>
      </c>
      <c r="L3">
        <f>IF('Pivot table values'!G3&gt;0,1,0)</f>
        <v>0</v>
      </c>
      <c r="M3">
        <f>IF('Pivot table values'!H3&gt;0,1,0)</f>
        <v>0</v>
      </c>
      <c r="N3">
        <f>IF('Pivot table values'!I3&gt;0,1,0)</f>
        <v>0</v>
      </c>
      <c r="O3">
        <f>IF('Pivot table values'!J3&gt;0,1,0)</f>
        <v>0</v>
      </c>
      <c r="P3">
        <f>IF('Pivot table values'!K3&gt;0,1,0)</f>
        <v>0</v>
      </c>
      <c r="Q3">
        <f>IF('Pivot table values'!L3&gt;0,1,0)</f>
        <v>0</v>
      </c>
      <c r="R3">
        <f>IF('Pivot table values'!M3&gt;0,1,0)</f>
        <v>0</v>
      </c>
      <c r="S3">
        <f>IF('Pivot table values'!N3&gt;0,1,0)</f>
        <v>0</v>
      </c>
      <c r="T3">
        <f>IF('Pivot table values'!O3&gt;0,1,0)</f>
        <v>0</v>
      </c>
      <c r="U3">
        <f>IF('Pivot table values'!P3&gt;0,1,0)</f>
        <v>0</v>
      </c>
      <c r="V3">
        <f>IF('Pivot table values'!Q3&gt;0,1,0)</f>
        <v>0</v>
      </c>
      <c r="W3">
        <f>IF('Pivot table values'!R3&gt;0,1,0)</f>
        <v>0</v>
      </c>
      <c r="X3">
        <f>IF('Pivot table values'!S3&gt;0,1,0)</f>
        <v>0</v>
      </c>
      <c r="Y3">
        <f>IF('Pivot table values'!T3&gt;0,1,0)</f>
        <v>0</v>
      </c>
      <c r="Z3">
        <f>IF('Pivot table values'!U3&gt;0,1,0)</f>
        <v>0</v>
      </c>
      <c r="AA3">
        <f>IF('Pivot table values'!V3&gt;0,1,0)</f>
        <v>0</v>
      </c>
      <c r="AB3">
        <f>IF('Pivot table values'!W3&gt;0,1,0)</f>
        <v>0</v>
      </c>
      <c r="AC3">
        <f>IF('Pivot table values'!X3&gt;0,1,0)</f>
        <v>1</v>
      </c>
      <c r="AD3">
        <f>IF('Pivot table values'!Y3&gt;0,1,0)</f>
        <v>0</v>
      </c>
      <c r="AE3">
        <f>IF('Pivot table values'!Z3&gt;0,1,0)</f>
        <v>0</v>
      </c>
      <c r="AF3">
        <f>IF('Pivot table values'!AA3&gt;0,1,0)</f>
        <v>0</v>
      </c>
      <c r="AG3">
        <f>IF('Pivot table values'!AB3&gt;0,1,0)</f>
        <v>0</v>
      </c>
      <c r="AH3">
        <f>IF('Pivot table values'!AC3&gt;0,1,0)</f>
        <v>1</v>
      </c>
      <c r="AI3">
        <f>IF('Pivot table values'!AD3&gt;0,1,0)</f>
        <v>0</v>
      </c>
      <c r="AJ3">
        <f>IF('Pivot table values'!AE3&gt;0,1,0)</f>
        <v>0</v>
      </c>
      <c r="AK3">
        <f>IF('Pivot table values'!AF3&gt;0,1,0)</f>
        <v>0</v>
      </c>
      <c r="AL3">
        <f>IF('Pivot table values'!AG3&gt;0,1,0)</f>
        <v>0</v>
      </c>
      <c r="AM3">
        <f>IF('Pivot table values'!AH3&gt;0,1,0)</f>
        <v>1</v>
      </c>
      <c r="AN3">
        <f>IF('Pivot table values'!AI3&gt;0,1,0)</f>
        <v>1</v>
      </c>
      <c r="AO3">
        <f>IF('Pivot table values'!AJ3&gt;0,1,0)</f>
        <v>0</v>
      </c>
      <c r="AP3">
        <f>IF('Pivot table values'!AK3&gt;0,1,0)</f>
        <v>0</v>
      </c>
      <c r="AQ3">
        <f>IF('Pivot table values'!AL3&gt;0,1,0)</f>
        <v>0</v>
      </c>
      <c r="AR3">
        <f>IF('Pivot table values'!AM3&gt;0,1,0)</f>
        <v>0</v>
      </c>
      <c r="AS3">
        <f>IF('Pivot table values'!AN3&gt;0,1,0)</f>
        <v>0</v>
      </c>
      <c r="AT3">
        <f>IF('Pivot table values'!AO3&gt;0,1,0)</f>
        <v>0</v>
      </c>
      <c r="AU3">
        <f>IF('Pivot table values'!AP3&gt;0,1,0)</f>
        <v>0</v>
      </c>
      <c r="AV3">
        <f>IF('Pivot table values'!AQ3&gt;0,1,0)</f>
        <v>0</v>
      </c>
      <c r="AW3">
        <f>IF('Pivot table values'!AR3&gt;0,1,0)</f>
        <v>0</v>
      </c>
      <c r="AX3">
        <f>IF('Pivot table values'!AS3&gt;0,1,0)</f>
        <v>0</v>
      </c>
      <c r="AY3">
        <f>IF('Pivot table values'!AT3&gt;0,1,0)</f>
        <v>0</v>
      </c>
      <c r="AZ3">
        <f>IF('Pivot table values'!AU3&gt;0,1,0)</f>
        <v>0</v>
      </c>
      <c r="BA3">
        <f>IF('Pivot table values'!AV3&gt;0,1,0)</f>
        <v>0</v>
      </c>
      <c r="BB3">
        <f>IF('Pivot table values'!AW3&gt;0,1,0)</f>
        <v>0</v>
      </c>
      <c r="BC3">
        <f>IF('Pivot table values'!AX3&gt;0,1,0)</f>
        <v>0</v>
      </c>
      <c r="BD3">
        <f>IF('Pivot table values'!AY3&gt;0,1,0)</f>
        <v>0</v>
      </c>
      <c r="BE3">
        <f>IF('Pivot table values'!AZ3&gt;0,1,0)</f>
        <v>1</v>
      </c>
      <c r="BF3">
        <f>IF('Pivot table values'!BA3&gt;0,1,0)</f>
        <v>0</v>
      </c>
      <c r="BG3">
        <f>IF('Pivot table values'!BB3&gt;0,1,0)</f>
        <v>0</v>
      </c>
      <c r="BH3">
        <f>IF('Pivot table values'!BC3&gt;0,1,0)</f>
        <v>0</v>
      </c>
      <c r="BI3">
        <f>IF('Pivot table values'!BD3&gt;0,1,0)</f>
        <v>0</v>
      </c>
      <c r="BJ3">
        <f>IF('Pivot table values'!BE3&gt;0,1,0)</f>
        <v>0</v>
      </c>
      <c r="BK3">
        <f>IF('Pivot table values'!BF3&gt;0,1,0)</f>
        <v>1</v>
      </c>
      <c r="BL3">
        <f>IF('Pivot table values'!BG3&gt;0,1,0)</f>
        <v>0</v>
      </c>
      <c r="BM3">
        <f>IF('Pivot table values'!BH3&gt;0,1,0)</f>
        <v>0</v>
      </c>
      <c r="BN3">
        <f>IF('Pivot table values'!BI3&gt;0,1,0)</f>
        <v>1</v>
      </c>
      <c r="BO3">
        <f>IF('Pivot table values'!BJ3&gt;0,1,0)</f>
        <v>0</v>
      </c>
      <c r="BP3">
        <f>IF('Pivot table values'!BK3&gt;0,1,0)</f>
        <v>0</v>
      </c>
      <c r="BQ3">
        <f>IF('Pivot table values'!BL3&gt;0,1,0)</f>
        <v>0</v>
      </c>
      <c r="BR3">
        <f>IF('Pivot table values'!BM3&gt;0,1,0)</f>
        <v>0</v>
      </c>
      <c r="BS3">
        <f>IF('Pivot table values'!BN3&gt;0,1,0)</f>
        <v>0</v>
      </c>
      <c r="BT3">
        <f>IF('Pivot table values'!BO3&gt;0,1,0)</f>
        <v>0</v>
      </c>
      <c r="BU3">
        <f>IF('Pivot table values'!BP3&gt;0,1,0)</f>
        <v>0</v>
      </c>
      <c r="BV3">
        <f>IF('Pivot table values'!BQ3&gt;0,1,0)</f>
        <v>0</v>
      </c>
      <c r="BW3">
        <f>IF('Pivot table values'!BR3&gt;0,1,0)</f>
        <v>0</v>
      </c>
      <c r="BX3">
        <f>IF('Pivot table values'!BS3&gt;0,1,0)</f>
        <v>0</v>
      </c>
      <c r="BY3">
        <f>IF('Pivot table values'!BT3&gt;0,1,0)</f>
        <v>0</v>
      </c>
      <c r="BZ3">
        <f>IF('Pivot table values'!BU3&gt;0,1,0)</f>
        <v>0</v>
      </c>
    </row>
    <row r="4" spans="1:78" x14ac:dyDescent="0.3">
      <c r="A4" s="4" t="s">
        <v>170</v>
      </c>
      <c r="B4" s="4" t="str">
        <f>VLOOKUP($A4,Vlookup!$A$2:$E$62,2,FALSE)</f>
        <v>Little Quick Fire</v>
      </c>
      <c r="C4" s="4" t="str">
        <f>VLOOKUP($A4,Vlookup!$A$2:$E$62,3,FALSE)</f>
        <v>Hydrangea paniculata</v>
      </c>
      <c r="D4" s="4" t="str">
        <f>VLOOKUP($A4,Vlookup!$A$2:$E$62,4,FALSE)</f>
        <v>Lacy panicle</v>
      </c>
      <c r="E4" s="4" t="str">
        <f>VLOOKUP($A4,Vlookup!$A$2:$E$62,5,FALSE)</f>
        <v>Open</v>
      </c>
      <c r="F4" s="4">
        <f t="shared" si="0"/>
        <v>7</v>
      </c>
      <c r="G4">
        <f>IF('Pivot table values'!B4&gt;0,1,0)</f>
        <v>0</v>
      </c>
      <c r="H4">
        <f>IF('Pivot table values'!C4&gt;0,1,0)</f>
        <v>0</v>
      </c>
      <c r="I4">
        <f>IF('Pivot table values'!D4&gt;0,1,0)</f>
        <v>0</v>
      </c>
      <c r="J4">
        <f>IF('Pivot table values'!E4&gt;0,1,0)</f>
        <v>0</v>
      </c>
      <c r="K4">
        <f>IF('Pivot table values'!F4&gt;0,1,0)</f>
        <v>0</v>
      </c>
      <c r="L4">
        <f>IF('Pivot table values'!G4&gt;0,1,0)</f>
        <v>0</v>
      </c>
      <c r="M4">
        <f>IF('Pivot table values'!H4&gt;0,1,0)</f>
        <v>0</v>
      </c>
      <c r="N4">
        <f>IF('Pivot table values'!I4&gt;0,1,0)</f>
        <v>0</v>
      </c>
      <c r="O4">
        <f>IF('Pivot table values'!J4&gt;0,1,0)</f>
        <v>0</v>
      </c>
      <c r="P4">
        <f>IF('Pivot table values'!K4&gt;0,1,0)</f>
        <v>0</v>
      </c>
      <c r="Q4">
        <f>IF('Pivot table values'!L4&gt;0,1,0)</f>
        <v>0</v>
      </c>
      <c r="R4">
        <f>IF('Pivot table values'!M4&gt;0,1,0)</f>
        <v>0</v>
      </c>
      <c r="S4">
        <f>IF('Pivot table values'!N4&gt;0,1,0)</f>
        <v>0</v>
      </c>
      <c r="T4">
        <f>IF('Pivot table values'!O4&gt;0,1,0)</f>
        <v>0</v>
      </c>
      <c r="U4">
        <f>IF('Pivot table values'!P4&gt;0,1,0)</f>
        <v>0</v>
      </c>
      <c r="V4">
        <f>IF('Pivot table values'!Q4&gt;0,1,0)</f>
        <v>0</v>
      </c>
      <c r="W4">
        <f>IF('Pivot table values'!R4&gt;0,1,0)</f>
        <v>0</v>
      </c>
      <c r="X4">
        <f>IF('Pivot table values'!S4&gt;0,1,0)</f>
        <v>0</v>
      </c>
      <c r="Y4">
        <f>IF('Pivot table values'!T4&gt;0,1,0)</f>
        <v>0</v>
      </c>
      <c r="Z4">
        <f>IF('Pivot table values'!U4&gt;0,1,0)</f>
        <v>0</v>
      </c>
      <c r="AA4">
        <f>IF('Pivot table values'!V4&gt;0,1,0)</f>
        <v>1</v>
      </c>
      <c r="AB4">
        <f>IF('Pivot table values'!W4&gt;0,1,0)</f>
        <v>0</v>
      </c>
      <c r="AC4">
        <f>IF('Pivot table values'!X4&gt;0,1,0)</f>
        <v>1</v>
      </c>
      <c r="AD4">
        <f>IF('Pivot table values'!Y4&gt;0,1,0)</f>
        <v>0</v>
      </c>
      <c r="AE4">
        <f>IF('Pivot table values'!Z4&gt;0,1,0)</f>
        <v>0</v>
      </c>
      <c r="AF4">
        <f>IF('Pivot table values'!AA4&gt;0,1,0)</f>
        <v>0</v>
      </c>
      <c r="AG4">
        <f>IF('Pivot table values'!AB4&gt;0,1,0)</f>
        <v>0</v>
      </c>
      <c r="AH4">
        <f>IF('Pivot table values'!AC4&gt;0,1,0)</f>
        <v>0</v>
      </c>
      <c r="AI4">
        <f>IF('Pivot table values'!AD4&gt;0,1,0)</f>
        <v>0</v>
      </c>
      <c r="AJ4">
        <f>IF('Pivot table values'!AE4&gt;0,1,0)</f>
        <v>0</v>
      </c>
      <c r="AK4">
        <f>IF('Pivot table values'!AF4&gt;0,1,0)</f>
        <v>0</v>
      </c>
      <c r="AL4">
        <f>IF('Pivot table values'!AG4&gt;0,1,0)</f>
        <v>0</v>
      </c>
      <c r="AM4">
        <f>IF('Pivot table values'!AH4&gt;0,1,0)</f>
        <v>1</v>
      </c>
      <c r="AN4">
        <f>IF('Pivot table values'!AI4&gt;0,1,0)</f>
        <v>1</v>
      </c>
      <c r="AO4">
        <f>IF('Pivot table values'!AJ4&gt;0,1,0)</f>
        <v>0</v>
      </c>
      <c r="AP4">
        <f>IF('Pivot table values'!AK4&gt;0,1,0)</f>
        <v>0</v>
      </c>
      <c r="AQ4">
        <f>IF('Pivot table values'!AL4&gt;0,1,0)</f>
        <v>0</v>
      </c>
      <c r="AR4">
        <f>IF('Pivot table values'!AM4&gt;0,1,0)</f>
        <v>0</v>
      </c>
      <c r="AS4">
        <f>IF('Pivot table values'!AN4&gt;0,1,0)</f>
        <v>0</v>
      </c>
      <c r="AT4">
        <f>IF('Pivot table values'!AO4&gt;0,1,0)</f>
        <v>0</v>
      </c>
      <c r="AU4">
        <f>IF('Pivot table values'!AP4&gt;0,1,0)</f>
        <v>0</v>
      </c>
      <c r="AV4">
        <f>IF('Pivot table values'!AQ4&gt;0,1,0)</f>
        <v>0</v>
      </c>
      <c r="AW4">
        <f>IF('Pivot table values'!AR4&gt;0,1,0)</f>
        <v>0</v>
      </c>
      <c r="AX4">
        <f>IF('Pivot table values'!AS4&gt;0,1,0)</f>
        <v>0</v>
      </c>
      <c r="AY4">
        <f>IF('Pivot table values'!AT4&gt;0,1,0)</f>
        <v>0</v>
      </c>
      <c r="AZ4">
        <f>IF('Pivot table values'!AU4&gt;0,1,0)</f>
        <v>0</v>
      </c>
      <c r="BA4">
        <f>IF('Pivot table values'!AV4&gt;0,1,0)</f>
        <v>0</v>
      </c>
      <c r="BB4">
        <f>IF('Pivot table values'!AW4&gt;0,1,0)</f>
        <v>0</v>
      </c>
      <c r="BC4">
        <f>IF('Pivot table values'!AX4&gt;0,1,0)</f>
        <v>0</v>
      </c>
      <c r="BD4">
        <f>IF('Pivot table values'!AY4&gt;0,1,0)</f>
        <v>0</v>
      </c>
      <c r="BE4">
        <f>IF('Pivot table values'!AZ4&gt;0,1,0)</f>
        <v>0</v>
      </c>
      <c r="BF4">
        <f>IF('Pivot table values'!BA4&gt;0,1,0)</f>
        <v>0</v>
      </c>
      <c r="BG4">
        <f>IF('Pivot table values'!BB4&gt;0,1,0)</f>
        <v>0</v>
      </c>
      <c r="BH4">
        <f>IF('Pivot table values'!BC4&gt;0,1,0)</f>
        <v>0</v>
      </c>
      <c r="BI4">
        <f>IF('Pivot table values'!BD4&gt;0,1,0)</f>
        <v>0</v>
      </c>
      <c r="BJ4">
        <f>IF('Pivot table values'!BE4&gt;0,1,0)</f>
        <v>0</v>
      </c>
      <c r="BK4">
        <f>IF('Pivot table values'!BF4&gt;0,1,0)</f>
        <v>0</v>
      </c>
      <c r="BL4">
        <f>IF('Pivot table values'!BG4&gt;0,1,0)</f>
        <v>0</v>
      </c>
      <c r="BM4">
        <f>IF('Pivot table values'!BH4&gt;0,1,0)</f>
        <v>1</v>
      </c>
      <c r="BN4">
        <f>IF('Pivot table values'!BI4&gt;0,1,0)</f>
        <v>1</v>
      </c>
      <c r="BO4">
        <f>IF('Pivot table values'!BJ4&gt;0,1,0)</f>
        <v>0</v>
      </c>
      <c r="BP4">
        <f>IF('Pivot table values'!BK4&gt;0,1,0)</f>
        <v>0</v>
      </c>
      <c r="BQ4">
        <f>IF('Pivot table values'!BL4&gt;0,1,0)</f>
        <v>0</v>
      </c>
      <c r="BR4">
        <f>IF('Pivot table values'!BM4&gt;0,1,0)</f>
        <v>0</v>
      </c>
      <c r="BS4">
        <f>IF('Pivot table values'!BN4&gt;0,1,0)</f>
        <v>0</v>
      </c>
      <c r="BT4">
        <f>IF('Pivot table values'!BO4&gt;0,1,0)</f>
        <v>0</v>
      </c>
      <c r="BU4">
        <f>IF('Pivot table values'!BP4&gt;0,1,0)</f>
        <v>0</v>
      </c>
      <c r="BV4">
        <f>IF('Pivot table values'!BQ4&gt;0,1,0)</f>
        <v>0</v>
      </c>
      <c r="BW4">
        <f>IF('Pivot table values'!BR4&gt;0,1,0)</f>
        <v>0</v>
      </c>
      <c r="BX4">
        <f>IF('Pivot table values'!BS4&gt;0,1,0)</f>
        <v>1</v>
      </c>
      <c r="BY4">
        <f>IF('Pivot table values'!BT4&gt;0,1,0)</f>
        <v>0</v>
      </c>
      <c r="BZ4">
        <f>IF('Pivot table values'!BU4&gt;0,1,0)</f>
        <v>0</v>
      </c>
    </row>
    <row r="5" spans="1:78" x14ac:dyDescent="0.3">
      <c r="A5" s="4" t="s">
        <v>171</v>
      </c>
      <c r="B5" s="4" t="str">
        <f>VLOOKUP($A5,Vlookup!$A$2:$E$62,2,FALSE)</f>
        <v>Kyushu</v>
      </c>
      <c r="C5" s="4" t="str">
        <f>VLOOKUP($A5,Vlookup!$A$2:$E$62,3,FALSE)</f>
        <v>Hydrangea paniculata</v>
      </c>
      <c r="D5" s="4" t="str">
        <f>VLOOKUP($A5,Vlookup!$A$2:$E$62,4,FALSE)</f>
        <v>Lacy panicle</v>
      </c>
      <c r="E5" s="4" t="str">
        <f>VLOOKUP($A5,Vlookup!$A$2:$E$62,5,FALSE)</f>
        <v>Open</v>
      </c>
      <c r="F5" s="4">
        <f t="shared" si="0"/>
        <v>10</v>
      </c>
      <c r="G5">
        <f>IF('Pivot table values'!B5&gt;0,1,0)</f>
        <v>0</v>
      </c>
      <c r="H5">
        <f>IF('Pivot table values'!C5&gt;0,1,0)</f>
        <v>0</v>
      </c>
      <c r="I5">
        <f>IF('Pivot table values'!D5&gt;0,1,0)</f>
        <v>0</v>
      </c>
      <c r="J5">
        <f>IF('Pivot table values'!E5&gt;0,1,0)</f>
        <v>0</v>
      </c>
      <c r="K5">
        <f>IF('Pivot table values'!F5&gt;0,1,0)</f>
        <v>0</v>
      </c>
      <c r="L5">
        <f>IF('Pivot table values'!G5&gt;0,1,0)</f>
        <v>0</v>
      </c>
      <c r="M5">
        <f>IF('Pivot table values'!H5&gt;0,1,0)</f>
        <v>0</v>
      </c>
      <c r="N5">
        <f>IF('Pivot table values'!I5&gt;0,1,0)</f>
        <v>0</v>
      </c>
      <c r="O5">
        <f>IF('Pivot table values'!J5&gt;0,1,0)</f>
        <v>0</v>
      </c>
      <c r="P5">
        <f>IF('Pivot table values'!K5&gt;0,1,0)</f>
        <v>0</v>
      </c>
      <c r="Q5">
        <f>IF('Pivot table values'!L5&gt;0,1,0)</f>
        <v>0</v>
      </c>
      <c r="R5">
        <f>IF('Pivot table values'!M5&gt;0,1,0)</f>
        <v>0</v>
      </c>
      <c r="S5">
        <f>IF('Pivot table values'!N5&gt;0,1,0)</f>
        <v>1</v>
      </c>
      <c r="T5">
        <f>IF('Pivot table values'!O5&gt;0,1,0)</f>
        <v>1</v>
      </c>
      <c r="U5">
        <f>IF('Pivot table values'!P5&gt;0,1,0)</f>
        <v>0</v>
      </c>
      <c r="V5">
        <f>IF('Pivot table values'!Q5&gt;0,1,0)</f>
        <v>1</v>
      </c>
      <c r="W5">
        <f>IF('Pivot table values'!R5&gt;0,1,0)</f>
        <v>0</v>
      </c>
      <c r="X5">
        <f>IF('Pivot table values'!S5&gt;0,1,0)</f>
        <v>0</v>
      </c>
      <c r="Y5">
        <f>IF('Pivot table values'!T5&gt;0,1,0)</f>
        <v>0</v>
      </c>
      <c r="Z5">
        <f>IF('Pivot table values'!U5&gt;0,1,0)</f>
        <v>0</v>
      </c>
      <c r="AA5">
        <f>IF('Pivot table values'!V5&gt;0,1,0)</f>
        <v>1</v>
      </c>
      <c r="AB5">
        <f>IF('Pivot table values'!W5&gt;0,1,0)</f>
        <v>0</v>
      </c>
      <c r="AC5">
        <f>IF('Pivot table values'!X5&gt;0,1,0)</f>
        <v>1</v>
      </c>
      <c r="AD5">
        <f>IF('Pivot table values'!Y5&gt;0,1,0)</f>
        <v>0</v>
      </c>
      <c r="AE5">
        <f>IF('Pivot table values'!Z5&gt;0,1,0)</f>
        <v>0</v>
      </c>
      <c r="AF5">
        <f>IF('Pivot table values'!AA5&gt;0,1,0)</f>
        <v>0</v>
      </c>
      <c r="AG5">
        <f>IF('Pivot table values'!AB5&gt;0,1,0)</f>
        <v>0</v>
      </c>
      <c r="AH5">
        <f>IF('Pivot table values'!AC5&gt;0,1,0)</f>
        <v>0</v>
      </c>
      <c r="AI5">
        <f>IF('Pivot table values'!AD5&gt;0,1,0)</f>
        <v>0</v>
      </c>
      <c r="AJ5">
        <f>IF('Pivot table values'!AE5&gt;0,1,0)</f>
        <v>1</v>
      </c>
      <c r="AK5">
        <f>IF('Pivot table values'!AF5&gt;0,1,0)</f>
        <v>0</v>
      </c>
      <c r="AL5">
        <f>IF('Pivot table values'!AG5&gt;0,1,0)</f>
        <v>0</v>
      </c>
      <c r="AM5">
        <f>IF('Pivot table values'!AH5&gt;0,1,0)</f>
        <v>1</v>
      </c>
      <c r="AN5">
        <f>IF('Pivot table values'!AI5&gt;0,1,0)</f>
        <v>1</v>
      </c>
      <c r="AO5">
        <f>IF('Pivot table values'!AJ5&gt;0,1,0)</f>
        <v>0</v>
      </c>
      <c r="AP5">
        <f>IF('Pivot table values'!AK5&gt;0,1,0)</f>
        <v>0</v>
      </c>
      <c r="AQ5">
        <f>IF('Pivot table values'!AL5&gt;0,1,0)</f>
        <v>0</v>
      </c>
      <c r="AR5">
        <f>IF('Pivot table values'!AM5&gt;0,1,0)</f>
        <v>0</v>
      </c>
      <c r="AS5">
        <f>IF('Pivot table values'!AN5&gt;0,1,0)</f>
        <v>0</v>
      </c>
      <c r="AT5">
        <f>IF('Pivot table values'!AO5&gt;0,1,0)</f>
        <v>0</v>
      </c>
      <c r="AU5">
        <f>IF('Pivot table values'!AP5&gt;0,1,0)</f>
        <v>0</v>
      </c>
      <c r="AV5">
        <f>IF('Pivot table values'!AQ5&gt;0,1,0)</f>
        <v>0</v>
      </c>
      <c r="AW5">
        <f>IF('Pivot table values'!AR5&gt;0,1,0)</f>
        <v>0</v>
      </c>
      <c r="AX5">
        <f>IF('Pivot table values'!AS5&gt;0,1,0)</f>
        <v>0</v>
      </c>
      <c r="AY5">
        <f>IF('Pivot table values'!AT5&gt;0,1,0)</f>
        <v>0</v>
      </c>
      <c r="AZ5">
        <f>IF('Pivot table values'!AU5&gt;0,1,0)</f>
        <v>0</v>
      </c>
      <c r="BA5">
        <f>IF('Pivot table values'!AV5&gt;0,1,0)</f>
        <v>0</v>
      </c>
      <c r="BB5">
        <f>IF('Pivot table values'!AW5&gt;0,1,0)</f>
        <v>0</v>
      </c>
      <c r="BC5">
        <f>IF('Pivot table values'!AX5&gt;0,1,0)</f>
        <v>0</v>
      </c>
      <c r="BD5">
        <f>IF('Pivot table values'!AY5&gt;0,1,0)</f>
        <v>0</v>
      </c>
      <c r="BE5">
        <f>IF('Pivot table values'!AZ5&gt;0,1,0)</f>
        <v>1</v>
      </c>
      <c r="BF5">
        <f>IF('Pivot table values'!BA5&gt;0,1,0)</f>
        <v>0</v>
      </c>
      <c r="BG5">
        <f>IF('Pivot table values'!BB5&gt;0,1,0)</f>
        <v>0</v>
      </c>
      <c r="BH5">
        <f>IF('Pivot table values'!BC5&gt;0,1,0)</f>
        <v>0</v>
      </c>
      <c r="BI5">
        <f>IF('Pivot table values'!BD5&gt;0,1,0)</f>
        <v>0</v>
      </c>
      <c r="BJ5">
        <f>IF('Pivot table values'!BE5&gt;0,1,0)</f>
        <v>0</v>
      </c>
      <c r="BK5">
        <f>IF('Pivot table values'!BF5&gt;0,1,0)</f>
        <v>0</v>
      </c>
      <c r="BL5">
        <f>IF('Pivot table values'!BG5&gt;0,1,0)</f>
        <v>0</v>
      </c>
      <c r="BM5">
        <f>IF('Pivot table values'!BH5&gt;0,1,0)</f>
        <v>0</v>
      </c>
      <c r="BN5">
        <f>IF('Pivot table values'!BI5&gt;0,1,0)</f>
        <v>1</v>
      </c>
      <c r="BO5">
        <f>IF('Pivot table values'!BJ5&gt;0,1,0)</f>
        <v>0</v>
      </c>
      <c r="BP5">
        <f>IF('Pivot table values'!BK5&gt;0,1,0)</f>
        <v>0</v>
      </c>
      <c r="BQ5">
        <f>IF('Pivot table values'!BL5&gt;0,1,0)</f>
        <v>0</v>
      </c>
      <c r="BR5">
        <f>IF('Pivot table values'!BM5&gt;0,1,0)</f>
        <v>0</v>
      </c>
      <c r="BS5">
        <f>IF('Pivot table values'!BN5&gt;0,1,0)</f>
        <v>0</v>
      </c>
      <c r="BT5">
        <f>IF('Pivot table values'!BO5&gt;0,1,0)</f>
        <v>0</v>
      </c>
      <c r="BU5">
        <f>IF('Pivot table values'!BP5&gt;0,1,0)</f>
        <v>0</v>
      </c>
      <c r="BV5">
        <f>IF('Pivot table values'!BQ5&gt;0,1,0)</f>
        <v>0</v>
      </c>
      <c r="BW5">
        <f>IF('Pivot table values'!BR5&gt;0,1,0)</f>
        <v>0</v>
      </c>
      <c r="BX5">
        <f>IF('Pivot table values'!BS5&gt;0,1,0)</f>
        <v>0</v>
      </c>
      <c r="BY5">
        <f>IF('Pivot table values'!BT5&gt;0,1,0)</f>
        <v>0</v>
      </c>
      <c r="BZ5">
        <f>IF('Pivot table values'!BU5&gt;0,1,0)</f>
        <v>0</v>
      </c>
    </row>
    <row r="6" spans="1:78" x14ac:dyDescent="0.3">
      <c r="A6" s="4" t="s">
        <v>157</v>
      </c>
      <c r="B6" s="4" t="str">
        <f>VLOOKUP($A6,Vlookup!$A$2:$E$62,2,FALSE)</f>
        <v>Seaside Serenade Bar Harbor</v>
      </c>
      <c r="C6" s="4" t="str">
        <f>VLOOKUP($A6,Vlookup!$A$2:$E$62,3,FALSE)</f>
        <v>Hydrangea arborescens</v>
      </c>
      <c r="D6" s="4" t="str">
        <f>VLOOKUP($A6,Vlookup!$A$2:$E$62,4,FALSE)</f>
        <v>Mop</v>
      </c>
      <c r="E6" s="4" t="str">
        <f>VLOOKUP($A6,Vlookup!$A$2:$E$62,5,FALSE)</f>
        <v>Dense</v>
      </c>
      <c r="F6" s="4">
        <f t="shared" si="0"/>
        <v>4</v>
      </c>
      <c r="G6">
        <f>IF('Pivot table values'!B6&gt;0,1,0)</f>
        <v>0</v>
      </c>
      <c r="H6">
        <f>IF('Pivot table values'!C6&gt;0,1,0)</f>
        <v>0</v>
      </c>
      <c r="I6">
        <f>IF('Pivot table values'!D6&gt;0,1,0)</f>
        <v>0</v>
      </c>
      <c r="J6">
        <f>IF('Pivot table values'!E6&gt;0,1,0)</f>
        <v>0</v>
      </c>
      <c r="K6">
        <f>IF('Pivot table values'!F6&gt;0,1,0)</f>
        <v>0</v>
      </c>
      <c r="L6">
        <f>IF('Pivot table values'!G6&gt;0,1,0)</f>
        <v>0</v>
      </c>
      <c r="M6">
        <f>IF('Pivot table values'!H6&gt;0,1,0)</f>
        <v>0</v>
      </c>
      <c r="N6">
        <f>IF('Pivot table values'!I6&gt;0,1,0)</f>
        <v>0</v>
      </c>
      <c r="O6">
        <f>IF('Pivot table values'!J6&gt;0,1,0)</f>
        <v>0</v>
      </c>
      <c r="P6">
        <f>IF('Pivot table values'!K6&gt;0,1,0)</f>
        <v>0</v>
      </c>
      <c r="Q6">
        <f>IF('Pivot table values'!L6&gt;0,1,0)</f>
        <v>0</v>
      </c>
      <c r="R6">
        <f>IF('Pivot table values'!M6&gt;0,1,0)</f>
        <v>0</v>
      </c>
      <c r="S6">
        <f>IF('Pivot table values'!N6&gt;0,1,0)</f>
        <v>0</v>
      </c>
      <c r="T6">
        <f>IF('Pivot table values'!O6&gt;0,1,0)</f>
        <v>0</v>
      </c>
      <c r="U6">
        <f>IF('Pivot table values'!P6&gt;0,1,0)</f>
        <v>0</v>
      </c>
      <c r="V6">
        <f>IF('Pivot table values'!Q6&gt;0,1,0)</f>
        <v>0</v>
      </c>
      <c r="W6">
        <f>IF('Pivot table values'!R6&gt;0,1,0)</f>
        <v>0</v>
      </c>
      <c r="X6">
        <f>IF('Pivot table values'!S6&gt;0,1,0)</f>
        <v>0</v>
      </c>
      <c r="Y6">
        <f>IF('Pivot table values'!T6&gt;0,1,0)</f>
        <v>0</v>
      </c>
      <c r="Z6">
        <f>IF('Pivot table values'!U6&gt;0,1,0)</f>
        <v>0</v>
      </c>
      <c r="AA6">
        <f>IF('Pivot table values'!V6&gt;0,1,0)</f>
        <v>0</v>
      </c>
      <c r="AB6">
        <f>IF('Pivot table values'!W6&gt;0,1,0)</f>
        <v>0</v>
      </c>
      <c r="AC6">
        <f>IF('Pivot table values'!X6&gt;0,1,0)</f>
        <v>1</v>
      </c>
      <c r="AD6">
        <f>IF('Pivot table values'!Y6&gt;0,1,0)</f>
        <v>0</v>
      </c>
      <c r="AE6">
        <f>IF('Pivot table values'!Z6&gt;0,1,0)</f>
        <v>0</v>
      </c>
      <c r="AF6">
        <f>IF('Pivot table values'!AA6&gt;0,1,0)</f>
        <v>0</v>
      </c>
      <c r="AG6">
        <f>IF('Pivot table values'!AB6&gt;0,1,0)</f>
        <v>0</v>
      </c>
      <c r="AH6">
        <f>IF('Pivot table values'!AC6&gt;0,1,0)</f>
        <v>0</v>
      </c>
      <c r="AI6">
        <f>IF('Pivot table values'!AD6&gt;0,1,0)</f>
        <v>0</v>
      </c>
      <c r="AJ6">
        <f>IF('Pivot table values'!AE6&gt;0,1,0)</f>
        <v>1</v>
      </c>
      <c r="AK6">
        <f>IF('Pivot table values'!AF6&gt;0,1,0)</f>
        <v>0</v>
      </c>
      <c r="AL6">
        <f>IF('Pivot table values'!AG6&gt;0,1,0)</f>
        <v>0</v>
      </c>
      <c r="AM6">
        <f>IF('Pivot table values'!AH6&gt;0,1,0)</f>
        <v>0</v>
      </c>
      <c r="AN6">
        <f>IF('Pivot table values'!AI6&gt;0,1,0)</f>
        <v>1</v>
      </c>
      <c r="AO6">
        <f>IF('Pivot table values'!AJ6&gt;0,1,0)</f>
        <v>0</v>
      </c>
      <c r="AP6">
        <f>IF('Pivot table values'!AK6&gt;0,1,0)</f>
        <v>0</v>
      </c>
      <c r="AQ6">
        <f>IF('Pivot table values'!AL6&gt;0,1,0)</f>
        <v>0</v>
      </c>
      <c r="AR6">
        <f>IF('Pivot table values'!AM6&gt;0,1,0)</f>
        <v>0</v>
      </c>
      <c r="AS6">
        <f>IF('Pivot table values'!AN6&gt;0,1,0)</f>
        <v>0</v>
      </c>
      <c r="AT6">
        <f>IF('Pivot table values'!AO6&gt;0,1,0)</f>
        <v>0</v>
      </c>
      <c r="AU6">
        <f>IF('Pivot table values'!AP6&gt;0,1,0)</f>
        <v>0</v>
      </c>
      <c r="AV6">
        <f>IF('Pivot table values'!AQ6&gt;0,1,0)</f>
        <v>0</v>
      </c>
      <c r="AW6">
        <f>IF('Pivot table values'!AR6&gt;0,1,0)</f>
        <v>0</v>
      </c>
      <c r="AX6">
        <f>IF('Pivot table values'!AS6&gt;0,1,0)</f>
        <v>0</v>
      </c>
      <c r="AY6">
        <f>IF('Pivot table values'!AT6&gt;0,1,0)</f>
        <v>0</v>
      </c>
      <c r="AZ6">
        <f>IF('Pivot table values'!AU6&gt;0,1,0)</f>
        <v>0</v>
      </c>
      <c r="BA6">
        <f>IF('Pivot table values'!AV6&gt;0,1,0)</f>
        <v>0</v>
      </c>
      <c r="BB6">
        <f>IF('Pivot table values'!AW6&gt;0,1,0)</f>
        <v>0</v>
      </c>
      <c r="BC6">
        <f>IF('Pivot table values'!AX6&gt;0,1,0)</f>
        <v>0</v>
      </c>
      <c r="BD6">
        <f>IF('Pivot table values'!AY6&gt;0,1,0)</f>
        <v>0</v>
      </c>
      <c r="BE6">
        <f>IF('Pivot table values'!AZ6&gt;0,1,0)</f>
        <v>0</v>
      </c>
      <c r="BF6">
        <f>IF('Pivot table values'!BA6&gt;0,1,0)</f>
        <v>0</v>
      </c>
      <c r="BG6">
        <f>IF('Pivot table values'!BB6&gt;0,1,0)</f>
        <v>0</v>
      </c>
      <c r="BH6">
        <f>IF('Pivot table values'!BC6&gt;0,1,0)</f>
        <v>0</v>
      </c>
      <c r="BI6">
        <f>IF('Pivot table values'!BD6&gt;0,1,0)</f>
        <v>0</v>
      </c>
      <c r="BJ6">
        <f>IF('Pivot table values'!BE6&gt;0,1,0)</f>
        <v>0</v>
      </c>
      <c r="BK6">
        <f>IF('Pivot table values'!BF6&gt;0,1,0)</f>
        <v>0</v>
      </c>
      <c r="BL6">
        <f>IF('Pivot table values'!BG6&gt;0,1,0)</f>
        <v>0</v>
      </c>
      <c r="BM6">
        <f>IF('Pivot table values'!BH6&gt;0,1,0)</f>
        <v>0</v>
      </c>
      <c r="BN6">
        <f>IF('Pivot table values'!BI6&gt;0,1,0)</f>
        <v>1</v>
      </c>
      <c r="BO6">
        <f>IF('Pivot table values'!BJ6&gt;0,1,0)</f>
        <v>0</v>
      </c>
      <c r="BP6">
        <f>IF('Pivot table values'!BK6&gt;0,1,0)</f>
        <v>0</v>
      </c>
      <c r="BQ6">
        <f>IF('Pivot table values'!BL6&gt;0,1,0)</f>
        <v>0</v>
      </c>
      <c r="BR6">
        <f>IF('Pivot table values'!BM6&gt;0,1,0)</f>
        <v>0</v>
      </c>
      <c r="BS6">
        <f>IF('Pivot table values'!BN6&gt;0,1,0)</f>
        <v>0</v>
      </c>
      <c r="BT6">
        <f>IF('Pivot table values'!BO6&gt;0,1,0)</f>
        <v>0</v>
      </c>
      <c r="BU6">
        <f>IF('Pivot table values'!BP6&gt;0,1,0)</f>
        <v>0</v>
      </c>
      <c r="BV6">
        <f>IF('Pivot table values'!BQ6&gt;0,1,0)</f>
        <v>0</v>
      </c>
      <c r="BW6">
        <f>IF('Pivot table values'!BR6&gt;0,1,0)</f>
        <v>0</v>
      </c>
      <c r="BX6">
        <f>IF('Pivot table values'!BS6&gt;0,1,0)</f>
        <v>0</v>
      </c>
      <c r="BY6">
        <f>IF('Pivot table values'!BT6&gt;0,1,0)</f>
        <v>0</v>
      </c>
      <c r="BZ6">
        <f>IF('Pivot table values'!BU6&gt;0,1,0)</f>
        <v>0</v>
      </c>
    </row>
    <row r="7" spans="1:78" x14ac:dyDescent="0.3">
      <c r="A7" s="4" t="s">
        <v>191</v>
      </c>
      <c r="B7" s="4" t="str">
        <f>VLOOKUP($A7,Vlookup!$A$2:$E$62,2,FALSE)</f>
        <v>Invincibelle Ruby</v>
      </c>
      <c r="C7" s="4" t="str">
        <f>VLOOKUP($A7,Vlookup!$A$2:$E$62,3,FALSE)</f>
        <v>Hydrangea arborescens</v>
      </c>
      <c r="D7" s="4" t="str">
        <f>VLOOKUP($A7,Vlookup!$A$2:$E$62,4,FALSE)</f>
        <v>Mop</v>
      </c>
      <c r="E7" s="4" t="str">
        <f>VLOOKUP($A7,Vlookup!$A$2:$E$62,5,FALSE)</f>
        <v>Very dense</v>
      </c>
      <c r="F7" s="4">
        <f t="shared" si="0"/>
        <v>5</v>
      </c>
      <c r="G7">
        <f>IF('Pivot table values'!B7&gt;0,1,0)</f>
        <v>0</v>
      </c>
      <c r="H7">
        <f>IF('Pivot table values'!C7&gt;0,1,0)</f>
        <v>0</v>
      </c>
      <c r="I7">
        <f>IF('Pivot table values'!D7&gt;0,1,0)</f>
        <v>0</v>
      </c>
      <c r="J7">
        <f>IF('Pivot table values'!E7&gt;0,1,0)</f>
        <v>0</v>
      </c>
      <c r="K7">
        <f>IF('Pivot table values'!F7&gt;0,1,0)</f>
        <v>0</v>
      </c>
      <c r="L7">
        <f>IF('Pivot table values'!G7&gt;0,1,0)</f>
        <v>0</v>
      </c>
      <c r="M7">
        <f>IF('Pivot table values'!H7&gt;0,1,0)</f>
        <v>0</v>
      </c>
      <c r="N7">
        <f>IF('Pivot table values'!I7&gt;0,1,0)</f>
        <v>0</v>
      </c>
      <c r="O7">
        <f>IF('Pivot table values'!J7&gt;0,1,0)</f>
        <v>0</v>
      </c>
      <c r="P7">
        <f>IF('Pivot table values'!K7&gt;0,1,0)</f>
        <v>0</v>
      </c>
      <c r="Q7">
        <f>IF('Pivot table values'!L7&gt;0,1,0)</f>
        <v>0</v>
      </c>
      <c r="R7">
        <f>IF('Pivot table values'!M7&gt;0,1,0)</f>
        <v>0</v>
      </c>
      <c r="S7">
        <f>IF('Pivot table values'!N7&gt;0,1,0)</f>
        <v>0</v>
      </c>
      <c r="T7">
        <f>IF('Pivot table values'!O7&gt;0,1,0)</f>
        <v>0</v>
      </c>
      <c r="U7">
        <f>IF('Pivot table values'!P7&gt;0,1,0)</f>
        <v>0</v>
      </c>
      <c r="V7">
        <f>IF('Pivot table values'!Q7&gt;0,1,0)</f>
        <v>1</v>
      </c>
      <c r="W7">
        <f>IF('Pivot table values'!R7&gt;0,1,0)</f>
        <v>1</v>
      </c>
      <c r="X7">
        <f>IF('Pivot table values'!S7&gt;0,1,0)</f>
        <v>0</v>
      </c>
      <c r="Y7">
        <f>IF('Pivot table values'!T7&gt;0,1,0)</f>
        <v>0</v>
      </c>
      <c r="Z7">
        <f>IF('Pivot table values'!U7&gt;0,1,0)</f>
        <v>0</v>
      </c>
      <c r="AA7">
        <f>IF('Pivot table values'!V7&gt;0,1,0)</f>
        <v>0</v>
      </c>
      <c r="AB7">
        <f>IF('Pivot table values'!W7&gt;0,1,0)</f>
        <v>0</v>
      </c>
      <c r="AC7">
        <f>IF('Pivot table values'!X7&gt;0,1,0)</f>
        <v>1</v>
      </c>
      <c r="AD7">
        <f>IF('Pivot table values'!Y7&gt;0,1,0)</f>
        <v>0</v>
      </c>
      <c r="AE7">
        <f>IF('Pivot table values'!Z7&gt;0,1,0)</f>
        <v>0</v>
      </c>
      <c r="AF7">
        <f>IF('Pivot table values'!AA7&gt;0,1,0)</f>
        <v>1</v>
      </c>
      <c r="AG7">
        <f>IF('Pivot table values'!AB7&gt;0,1,0)</f>
        <v>0</v>
      </c>
      <c r="AH7">
        <f>IF('Pivot table values'!AC7&gt;0,1,0)</f>
        <v>0</v>
      </c>
      <c r="AI7">
        <f>IF('Pivot table values'!AD7&gt;0,1,0)</f>
        <v>0</v>
      </c>
      <c r="AJ7">
        <f>IF('Pivot table values'!AE7&gt;0,1,0)</f>
        <v>0</v>
      </c>
      <c r="AK7">
        <f>IF('Pivot table values'!AF7&gt;0,1,0)</f>
        <v>0</v>
      </c>
      <c r="AL7">
        <f>IF('Pivot table values'!AG7&gt;0,1,0)</f>
        <v>0</v>
      </c>
      <c r="AM7">
        <f>IF('Pivot table values'!AH7&gt;0,1,0)</f>
        <v>0</v>
      </c>
      <c r="AN7">
        <f>IF('Pivot table values'!AI7&gt;0,1,0)</f>
        <v>0</v>
      </c>
      <c r="AO7">
        <f>IF('Pivot table values'!AJ7&gt;0,1,0)</f>
        <v>0</v>
      </c>
      <c r="AP7">
        <f>IF('Pivot table values'!AK7&gt;0,1,0)</f>
        <v>0</v>
      </c>
      <c r="AQ7">
        <f>IF('Pivot table values'!AL7&gt;0,1,0)</f>
        <v>0</v>
      </c>
      <c r="AR7">
        <f>IF('Pivot table values'!AM7&gt;0,1,0)</f>
        <v>0</v>
      </c>
      <c r="AS7">
        <f>IF('Pivot table values'!AN7&gt;0,1,0)</f>
        <v>0</v>
      </c>
      <c r="AT7">
        <f>IF('Pivot table values'!AO7&gt;0,1,0)</f>
        <v>0</v>
      </c>
      <c r="AU7">
        <f>IF('Pivot table values'!AP7&gt;0,1,0)</f>
        <v>0</v>
      </c>
      <c r="AV7">
        <f>IF('Pivot table values'!AQ7&gt;0,1,0)</f>
        <v>0</v>
      </c>
      <c r="AW7">
        <f>IF('Pivot table values'!AR7&gt;0,1,0)</f>
        <v>0</v>
      </c>
      <c r="AX7">
        <f>IF('Pivot table values'!AS7&gt;0,1,0)</f>
        <v>0</v>
      </c>
      <c r="AY7">
        <f>IF('Pivot table values'!AT7&gt;0,1,0)</f>
        <v>0</v>
      </c>
      <c r="AZ7">
        <f>IF('Pivot table values'!AU7&gt;0,1,0)</f>
        <v>0</v>
      </c>
      <c r="BA7">
        <f>IF('Pivot table values'!AV7&gt;0,1,0)</f>
        <v>0</v>
      </c>
      <c r="BB7">
        <f>IF('Pivot table values'!AW7&gt;0,1,0)</f>
        <v>0</v>
      </c>
      <c r="BC7">
        <f>IF('Pivot table values'!AX7&gt;0,1,0)</f>
        <v>0</v>
      </c>
      <c r="BD7">
        <f>IF('Pivot table values'!AY7&gt;0,1,0)</f>
        <v>0</v>
      </c>
      <c r="BE7">
        <f>IF('Pivot table values'!AZ7&gt;0,1,0)</f>
        <v>0</v>
      </c>
      <c r="BF7">
        <f>IF('Pivot table values'!BA7&gt;0,1,0)</f>
        <v>0</v>
      </c>
      <c r="BG7">
        <f>IF('Pivot table values'!BB7&gt;0,1,0)</f>
        <v>0</v>
      </c>
      <c r="BH7">
        <f>IF('Pivot table values'!BC7&gt;0,1,0)</f>
        <v>0</v>
      </c>
      <c r="BI7">
        <f>IF('Pivot table values'!BD7&gt;0,1,0)</f>
        <v>0</v>
      </c>
      <c r="BJ7">
        <f>IF('Pivot table values'!BE7&gt;0,1,0)</f>
        <v>0</v>
      </c>
      <c r="BK7">
        <f>IF('Pivot table values'!BF7&gt;0,1,0)</f>
        <v>0</v>
      </c>
      <c r="BL7">
        <f>IF('Pivot table values'!BG7&gt;0,1,0)</f>
        <v>0</v>
      </c>
      <c r="BM7">
        <f>IF('Pivot table values'!BH7&gt;0,1,0)</f>
        <v>0</v>
      </c>
      <c r="BN7">
        <f>IF('Pivot table values'!BI7&gt;0,1,0)</f>
        <v>1</v>
      </c>
      <c r="BO7">
        <f>IF('Pivot table values'!BJ7&gt;0,1,0)</f>
        <v>0</v>
      </c>
      <c r="BP7">
        <f>IF('Pivot table values'!BK7&gt;0,1,0)</f>
        <v>0</v>
      </c>
      <c r="BQ7">
        <f>IF('Pivot table values'!BL7&gt;0,1,0)</f>
        <v>0</v>
      </c>
      <c r="BR7">
        <f>IF('Pivot table values'!BM7&gt;0,1,0)</f>
        <v>0</v>
      </c>
      <c r="BS7">
        <f>IF('Pivot table values'!BN7&gt;0,1,0)</f>
        <v>0</v>
      </c>
      <c r="BT7">
        <f>IF('Pivot table values'!BO7&gt;0,1,0)</f>
        <v>0</v>
      </c>
      <c r="BU7">
        <f>IF('Pivot table values'!BP7&gt;0,1,0)</f>
        <v>0</v>
      </c>
      <c r="BV7">
        <f>IF('Pivot table values'!BQ7&gt;0,1,0)</f>
        <v>0</v>
      </c>
      <c r="BW7">
        <f>IF('Pivot table values'!BR7&gt;0,1,0)</f>
        <v>0</v>
      </c>
      <c r="BX7">
        <f>IF('Pivot table values'!BS7&gt;0,1,0)</f>
        <v>0</v>
      </c>
      <c r="BY7">
        <f>IF('Pivot table values'!BT7&gt;0,1,0)</f>
        <v>0</v>
      </c>
      <c r="BZ7">
        <f>IF('Pivot table values'!BU7&gt;0,1,0)</f>
        <v>0</v>
      </c>
    </row>
    <row r="8" spans="1:78" x14ac:dyDescent="0.3">
      <c r="A8" s="4" t="s">
        <v>182</v>
      </c>
      <c r="B8" s="4" t="str">
        <f>VLOOKUP($A8,Vlookup!$A$2:$E$62,2,FALSE)</f>
        <v>Candy Apple</v>
      </c>
      <c r="C8" s="4" t="str">
        <f>VLOOKUP($A8,Vlookup!$A$2:$E$62,3,FALSE)</f>
        <v>Hydrangea paniculata</v>
      </c>
      <c r="D8" s="4" t="str">
        <f>VLOOKUP($A8,Vlookup!$A$2:$E$62,4,FALSE)</f>
        <v>Mop-like panicle</v>
      </c>
      <c r="E8" s="4" t="str">
        <f>VLOOKUP($A8,Vlookup!$A$2:$E$62,5,FALSE)</f>
        <v>Dense</v>
      </c>
      <c r="F8" s="4">
        <f t="shared" si="0"/>
        <v>8</v>
      </c>
      <c r="G8">
        <f>IF('Pivot table values'!B8&gt;0,1,0)</f>
        <v>0</v>
      </c>
      <c r="H8">
        <f>IF('Pivot table values'!C8&gt;0,1,0)</f>
        <v>0</v>
      </c>
      <c r="I8">
        <f>IF('Pivot table values'!D8&gt;0,1,0)</f>
        <v>0</v>
      </c>
      <c r="J8">
        <f>IF('Pivot table values'!E8&gt;0,1,0)</f>
        <v>0</v>
      </c>
      <c r="K8">
        <f>IF('Pivot table values'!F8&gt;0,1,0)</f>
        <v>0</v>
      </c>
      <c r="L8">
        <f>IF('Pivot table values'!G8&gt;0,1,0)</f>
        <v>0</v>
      </c>
      <c r="M8">
        <f>IF('Pivot table values'!H8&gt;0,1,0)</f>
        <v>0</v>
      </c>
      <c r="N8">
        <f>IF('Pivot table values'!I8&gt;0,1,0)</f>
        <v>1</v>
      </c>
      <c r="O8">
        <f>IF('Pivot table values'!J8&gt;0,1,0)</f>
        <v>0</v>
      </c>
      <c r="P8">
        <f>IF('Pivot table values'!K8&gt;0,1,0)</f>
        <v>0</v>
      </c>
      <c r="Q8">
        <f>IF('Pivot table values'!L8&gt;0,1,0)</f>
        <v>0</v>
      </c>
      <c r="R8">
        <f>IF('Pivot table values'!M8&gt;0,1,0)</f>
        <v>0</v>
      </c>
      <c r="S8">
        <f>IF('Pivot table values'!N8&gt;0,1,0)</f>
        <v>0</v>
      </c>
      <c r="T8">
        <f>IF('Pivot table values'!O8&gt;0,1,0)</f>
        <v>0</v>
      </c>
      <c r="U8">
        <f>IF('Pivot table values'!P8&gt;0,1,0)</f>
        <v>0</v>
      </c>
      <c r="V8">
        <f>IF('Pivot table values'!Q8&gt;0,1,0)</f>
        <v>0</v>
      </c>
      <c r="W8">
        <f>IF('Pivot table values'!R8&gt;0,1,0)</f>
        <v>0</v>
      </c>
      <c r="X8">
        <f>IF('Pivot table values'!S8&gt;0,1,0)</f>
        <v>0</v>
      </c>
      <c r="Y8">
        <f>IF('Pivot table values'!T8&gt;0,1,0)</f>
        <v>0</v>
      </c>
      <c r="Z8">
        <f>IF('Pivot table values'!U8&gt;0,1,0)</f>
        <v>0</v>
      </c>
      <c r="AA8">
        <f>IF('Pivot table values'!V8&gt;0,1,0)</f>
        <v>1</v>
      </c>
      <c r="AB8">
        <f>IF('Pivot table values'!W8&gt;0,1,0)</f>
        <v>0</v>
      </c>
      <c r="AC8">
        <f>IF('Pivot table values'!X8&gt;0,1,0)</f>
        <v>1</v>
      </c>
      <c r="AD8">
        <f>IF('Pivot table values'!Y8&gt;0,1,0)</f>
        <v>0</v>
      </c>
      <c r="AE8">
        <f>IF('Pivot table values'!Z8&gt;0,1,0)</f>
        <v>0</v>
      </c>
      <c r="AF8">
        <f>IF('Pivot table values'!AA8&gt;0,1,0)</f>
        <v>0</v>
      </c>
      <c r="AG8">
        <f>IF('Pivot table values'!AB8&gt;0,1,0)</f>
        <v>0</v>
      </c>
      <c r="AH8">
        <f>IF('Pivot table values'!AC8&gt;0,1,0)</f>
        <v>0</v>
      </c>
      <c r="AI8">
        <f>IF('Pivot table values'!AD8&gt;0,1,0)</f>
        <v>0</v>
      </c>
      <c r="AJ8">
        <f>IF('Pivot table values'!AE8&gt;0,1,0)</f>
        <v>1</v>
      </c>
      <c r="AK8">
        <f>IF('Pivot table values'!AF8&gt;0,1,0)</f>
        <v>0</v>
      </c>
      <c r="AL8">
        <f>IF('Pivot table values'!AG8&gt;0,1,0)</f>
        <v>0</v>
      </c>
      <c r="AM8">
        <f>IF('Pivot table values'!AH8&gt;0,1,0)</f>
        <v>1</v>
      </c>
      <c r="AN8">
        <f>IF('Pivot table values'!AI8&gt;0,1,0)</f>
        <v>1</v>
      </c>
      <c r="AO8">
        <f>IF('Pivot table values'!AJ8&gt;0,1,0)</f>
        <v>0</v>
      </c>
      <c r="AP8">
        <f>IF('Pivot table values'!AK8&gt;0,1,0)</f>
        <v>0</v>
      </c>
      <c r="AQ8">
        <f>IF('Pivot table values'!AL8&gt;0,1,0)</f>
        <v>0</v>
      </c>
      <c r="AR8">
        <f>IF('Pivot table values'!AM8&gt;0,1,0)</f>
        <v>0</v>
      </c>
      <c r="AS8">
        <f>IF('Pivot table values'!AN8&gt;0,1,0)</f>
        <v>0</v>
      </c>
      <c r="AT8">
        <f>IF('Pivot table values'!AO8&gt;0,1,0)</f>
        <v>0</v>
      </c>
      <c r="AU8">
        <f>IF('Pivot table values'!AP8&gt;0,1,0)</f>
        <v>0</v>
      </c>
      <c r="AV8">
        <f>IF('Pivot table values'!AQ8&gt;0,1,0)</f>
        <v>0</v>
      </c>
      <c r="AW8">
        <f>IF('Pivot table values'!AR8&gt;0,1,0)</f>
        <v>0</v>
      </c>
      <c r="AX8">
        <f>IF('Pivot table values'!AS8&gt;0,1,0)</f>
        <v>0</v>
      </c>
      <c r="AY8">
        <f>IF('Pivot table values'!AT8&gt;0,1,0)</f>
        <v>0</v>
      </c>
      <c r="AZ8">
        <f>IF('Pivot table values'!AU8&gt;0,1,0)</f>
        <v>0</v>
      </c>
      <c r="BA8">
        <f>IF('Pivot table values'!AV8&gt;0,1,0)</f>
        <v>0</v>
      </c>
      <c r="BB8">
        <f>IF('Pivot table values'!AW8&gt;0,1,0)</f>
        <v>0</v>
      </c>
      <c r="BC8">
        <f>IF('Pivot table values'!AX8&gt;0,1,0)</f>
        <v>0</v>
      </c>
      <c r="BD8">
        <f>IF('Pivot table values'!AY8&gt;0,1,0)</f>
        <v>0</v>
      </c>
      <c r="BE8">
        <f>IF('Pivot table values'!AZ8&gt;0,1,0)</f>
        <v>0</v>
      </c>
      <c r="BF8">
        <f>IF('Pivot table values'!BA8&gt;0,1,0)</f>
        <v>0</v>
      </c>
      <c r="BG8">
        <f>IF('Pivot table values'!BB8&gt;0,1,0)</f>
        <v>0</v>
      </c>
      <c r="BH8">
        <f>IF('Pivot table values'!BC8&gt;0,1,0)</f>
        <v>0</v>
      </c>
      <c r="BI8">
        <f>IF('Pivot table values'!BD8&gt;0,1,0)</f>
        <v>0</v>
      </c>
      <c r="BJ8">
        <f>IF('Pivot table values'!BE8&gt;0,1,0)</f>
        <v>0</v>
      </c>
      <c r="BK8">
        <f>IF('Pivot table values'!BF8&gt;0,1,0)</f>
        <v>0</v>
      </c>
      <c r="BL8">
        <f>IF('Pivot table values'!BG8&gt;0,1,0)</f>
        <v>0</v>
      </c>
      <c r="BM8">
        <f>IF('Pivot table values'!BH8&gt;0,1,0)</f>
        <v>1</v>
      </c>
      <c r="BN8">
        <f>IF('Pivot table values'!BI8&gt;0,1,0)</f>
        <v>1</v>
      </c>
      <c r="BO8">
        <f>IF('Pivot table values'!BJ8&gt;0,1,0)</f>
        <v>0</v>
      </c>
      <c r="BP8">
        <f>IF('Pivot table values'!BK8&gt;0,1,0)</f>
        <v>0</v>
      </c>
      <c r="BQ8">
        <f>IF('Pivot table values'!BL8&gt;0,1,0)</f>
        <v>0</v>
      </c>
      <c r="BR8">
        <f>IF('Pivot table values'!BM8&gt;0,1,0)</f>
        <v>0</v>
      </c>
      <c r="BS8">
        <f>IF('Pivot table values'!BN8&gt;0,1,0)</f>
        <v>0</v>
      </c>
      <c r="BT8">
        <f>IF('Pivot table values'!BO8&gt;0,1,0)</f>
        <v>0</v>
      </c>
      <c r="BU8">
        <f>IF('Pivot table values'!BP8&gt;0,1,0)</f>
        <v>0</v>
      </c>
      <c r="BV8">
        <f>IF('Pivot table values'!BQ8&gt;0,1,0)</f>
        <v>0</v>
      </c>
      <c r="BW8">
        <f>IF('Pivot table values'!BR8&gt;0,1,0)</f>
        <v>0</v>
      </c>
      <c r="BX8">
        <f>IF('Pivot table values'!BS8&gt;0,1,0)</f>
        <v>0</v>
      </c>
      <c r="BY8">
        <f>IF('Pivot table values'!BT8&gt;0,1,0)</f>
        <v>0</v>
      </c>
      <c r="BZ8">
        <f>IF('Pivot table values'!BU8&gt;0,1,0)</f>
        <v>0</v>
      </c>
    </row>
    <row r="9" spans="1:78" x14ac:dyDescent="0.3">
      <c r="A9" s="4" t="s">
        <v>187</v>
      </c>
      <c r="B9" s="4" t="str">
        <f>VLOOKUP($A9,Vlookup!$A$2:$E$62,2,FALSE)</f>
        <v>Polar Ball</v>
      </c>
      <c r="C9" s="4" t="str">
        <f>VLOOKUP($A9,Vlookup!$A$2:$E$62,3,FALSE)</f>
        <v>Hydrangea paniculata</v>
      </c>
      <c r="D9" s="4" t="str">
        <f>VLOOKUP($A9,Vlookup!$A$2:$E$62,4,FALSE)</f>
        <v>Mop-like panicle</v>
      </c>
      <c r="E9" s="4" t="str">
        <f>VLOOKUP($A9,Vlookup!$A$2:$E$62,5,FALSE)</f>
        <v>Very dense</v>
      </c>
      <c r="F9" s="4">
        <f t="shared" si="0"/>
        <v>8</v>
      </c>
      <c r="G9">
        <f>IF('Pivot table values'!B9&gt;0,1,0)</f>
        <v>0</v>
      </c>
      <c r="H9">
        <f>IF('Pivot table values'!C9&gt;0,1,0)</f>
        <v>0</v>
      </c>
      <c r="I9">
        <f>IF('Pivot table values'!D9&gt;0,1,0)</f>
        <v>0</v>
      </c>
      <c r="J9">
        <f>IF('Pivot table values'!E9&gt;0,1,0)</f>
        <v>0</v>
      </c>
      <c r="K9">
        <f>IF('Pivot table values'!F9&gt;0,1,0)</f>
        <v>0</v>
      </c>
      <c r="L9">
        <f>IF('Pivot table values'!G9&gt;0,1,0)</f>
        <v>0</v>
      </c>
      <c r="M9">
        <f>IF('Pivot table values'!H9&gt;0,1,0)</f>
        <v>0</v>
      </c>
      <c r="N9">
        <f>IF('Pivot table values'!I9&gt;0,1,0)</f>
        <v>0</v>
      </c>
      <c r="O9">
        <f>IF('Pivot table values'!J9&gt;0,1,0)</f>
        <v>0</v>
      </c>
      <c r="P9">
        <f>IF('Pivot table values'!K9&gt;0,1,0)</f>
        <v>0</v>
      </c>
      <c r="Q9">
        <f>IF('Pivot table values'!L9&gt;0,1,0)</f>
        <v>0</v>
      </c>
      <c r="R9">
        <f>IF('Pivot table values'!M9&gt;0,1,0)</f>
        <v>0</v>
      </c>
      <c r="S9">
        <f>IF('Pivot table values'!N9&gt;0,1,0)</f>
        <v>1</v>
      </c>
      <c r="T9">
        <f>IF('Pivot table values'!O9&gt;0,1,0)</f>
        <v>0</v>
      </c>
      <c r="U9">
        <f>IF('Pivot table values'!P9&gt;0,1,0)</f>
        <v>0</v>
      </c>
      <c r="V9">
        <f>IF('Pivot table values'!Q9&gt;0,1,0)</f>
        <v>0</v>
      </c>
      <c r="W9">
        <f>IF('Pivot table values'!R9&gt;0,1,0)</f>
        <v>0</v>
      </c>
      <c r="X9">
        <f>IF('Pivot table values'!S9&gt;0,1,0)</f>
        <v>0</v>
      </c>
      <c r="Y9">
        <f>IF('Pivot table values'!T9&gt;0,1,0)</f>
        <v>0</v>
      </c>
      <c r="Z9">
        <f>IF('Pivot table values'!U9&gt;0,1,0)</f>
        <v>0</v>
      </c>
      <c r="AA9">
        <f>IF('Pivot table values'!V9&gt;0,1,0)</f>
        <v>1</v>
      </c>
      <c r="AB9">
        <f>IF('Pivot table values'!W9&gt;0,1,0)</f>
        <v>0</v>
      </c>
      <c r="AC9">
        <f>IF('Pivot table values'!X9&gt;0,1,0)</f>
        <v>1</v>
      </c>
      <c r="AD9">
        <f>IF('Pivot table values'!Y9&gt;0,1,0)</f>
        <v>0</v>
      </c>
      <c r="AE9">
        <f>IF('Pivot table values'!Z9&gt;0,1,0)</f>
        <v>0</v>
      </c>
      <c r="AF9">
        <f>IF('Pivot table values'!AA9&gt;0,1,0)</f>
        <v>0</v>
      </c>
      <c r="AG9">
        <f>IF('Pivot table values'!AB9&gt;0,1,0)</f>
        <v>0</v>
      </c>
      <c r="AH9">
        <f>IF('Pivot table values'!AC9&gt;0,1,0)</f>
        <v>0</v>
      </c>
      <c r="AI9">
        <f>IF('Pivot table values'!AD9&gt;0,1,0)</f>
        <v>0</v>
      </c>
      <c r="AJ9">
        <f>IF('Pivot table values'!AE9&gt;0,1,0)</f>
        <v>0</v>
      </c>
      <c r="AK9">
        <f>IF('Pivot table values'!AF9&gt;0,1,0)</f>
        <v>0</v>
      </c>
      <c r="AL9">
        <f>IF('Pivot table values'!AG9&gt;0,1,0)</f>
        <v>0</v>
      </c>
      <c r="AM9">
        <f>IF('Pivot table values'!AH9&gt;0,1,0)</f>
        <v>1</v>
      </c>
      <c r="AN9">
        <f>IF('Pivot table values'!AI9&gt;0,1,0)</f>
        <v>1</v>
      </c>
      <c r="AO9">
        <f>IF('Pivot table values'!AJ9&gt;0,1,0)</f>
        <v>0</v>
      </c>
      <c r="AP9">
        <f>IF('Pivot table values'!AK9&gt;0,1,0)</f>
        <v>0</v>
      </c>
      <c r="AQ9">
        <f>IF('Pivot table values'!AL9&gt;0,1,0)</f>
        <v>0</v>
      </c>
      <c r="AR9">
        <f>IF('Pivot table values'!AM9&gt;0,1,0)</f>
        <v>0</v>
      </c>
      <c r="AS9">
        <f>IF('Pivot table values'!AN9&gt;0,1,0)</f>
        <v>0</v>
      </c>
      <c r="AT9">
        <f>IF('Pivot table values'!AO9&gt;0,1,0)</f>
        <v>0</v>
      </c>
      <c r="AU9">
        <f>IF('Pivot table values'!AP9&gt;0,1,0)</f>
        <v>0</v>
      </c>
      <c r="AV9">
        <f>IF('Pivot table values'!AQ9&gt;0,1,0)</f>
        <v>0</v>
      </c>
      <c r="AW9">
        <f>IF('Pivot table values'!AR9&gt;0,1,0)</f>
        <v>0</v>
      </c>
      <c r="AX9">
        <f>IF('Pivot table values'!AS9&gt;0,1,0)</f>
        <v>0</v>
      </c>
      <c r="AY9">
        <f>IF('Pivot table values'!AT9&gt;0,1,0)</f>
        <v>0</v>
      </c>
      <c r="AZ9">
        <f>IF('Pivot table values'!AU9&gt;0,1,0)</f>
        <v>0</v>
      </c>
      <c r="BA9">
        <f>IF('Pivot table values'!AV9&gt;0,1,0)</f>
        <v>0</v>
      </c>
      <c r="BB9">
        <f>IF('Pivot table values'!AW9&gt;0,1,0)</f>
        <v>1</v>
      </c>
      <c r="BC9">
        <f>IF('Pivot table values'!AX9&gt;0,1,0)</f>
        <v>0</v>
      </c>
      <c r="BD9">
        <f>IF('Pivot table values'!AY9&gt;0,1,0)</f>
        <v>0</v>
      </c>
      <c r="BE9">
        <f>IF('Pivot table values'!AZ9&gt;0,1,0)</f>
        <v>0</v>
      </c>
      <c r="BF9">
        <f>IF('Pivot table values'!BA9&gt;0,1,0)</f>
        <v>0</v>
      </c>
      <c r="BG9">
        <f>IF('Pivot table values'!BB9&gt;0,1,0)</f>
        <v>0</v>
      </c>
      <c r="BH9">
        <f>IF('Pivot table values'!BC9&gt;0,1,0)</f>
        <v>0</v>
      </c>
      <c r="BI9">
        <f>IF('Pivot table values'!BD9&gt;0,1,0)</f>
        <v>0</v>
      </c>
      <c r="BJ9">
        <f>IF('Pivot table values'!BE9&gt;0,1,0)</f>
        <v>0</v>
      </c>
      <c r="BK9">
        <f>IF('Pivot table values'!BF9&gt;0,1,0)</f>
        <v>1</v>
      </c>
      <c r="BL9">
        <f>IF('Pivot table values'!BG9&gt;0,1,0)</f>
        <v>0</v>
      </c>
      <c r="BM9">
        <f>IF('Pivot table values'!BH9&gt;0,1,0)</f>
        <v>0</v>
      </c>
      <c r="BN9">
        <f>IF('Pivot table values'!BI9&gt;0,1,0)</f>
        <v>1</v>
      </c>
      <c r="BO9">
        <f>IF('Pivot table values'!BJ9&gt;0,1,0)</f>
        <v>0</v>
      </c>
      <c r="BP9">
        <f>IF('Pivot table values'!BK9&gt;0,1,0)</f>
        <v>0</v>
      </c>
      <c r="BQ9">
        <f>IF('Pivot table values'!BL9&gt;0,1,0)</f>
        <v>0</v>
      </c>
      <c r="BR9">
        <f>IF('Pivot table values'!BM9&gt;0,1,0)</f>
        <v>0</v>
      </c>
      <c r="BS9">
        <f>IF('Pivot table values'!BN9&gt;0,1,0)</f>
        <v>0</v>
      </c>
      <c r="BT9">
        <f>IF('Pivot table values'!BO9&gt;0,1,0)</f>
        <v>0</v>
      </c>
      <c r="BU9">
        <f>IF('Pivot table values'!BP9&gt;0,1,0)</f>
        <v>0</v>
      </c>
      <c r="BV9">
        <f>IF('Pivot table values'!BQ9&gt;0,1,0)</f>
        <v>0</v>
      </c>
      <c r="BW9">
        <f>IF('Pivot table values'!BR9&gt;0,1,0)</f>
        <v>0</v>
      </c>
      <c r="BX9">
        <f>IF('Pivot table values'!BS9&gt;0,1,0)</f>
        <v>0</v>
      </c>
      <c r="BY9">
        <f>IF('Pivot table values'!BT9&gt;0,1,0)</f>
        <v>0</v>
      </c>
      <c r="BZ9">
        <f>IF('Pivot table values'!BU9&gt;0,1,0)</f>
        <v>0</v>
      </c>
    </row>
    <row r="10" spans="1:78" x14ac:dyDescent="0.3">
      <c r="A10" s="4" t="s">
        <v>204</v>
      </c>
      <c r="B10" s="4" t="str">
        <f>VLOOKUP($A10,Vlookup!$A$2:$E$62,2,FALSE)</f>
        <v>Phantom</v>
      </c>
      <c r="C10" s="4" t="str">
        <f>VLOOKUP($A10,Vlookup!$A$2:$E$62,3,FALSE)</f>
        <v>Hydrangea paniculata</v>
      </c>
      <c r="D10" s="4" t="str">
        <f>VLOOKUP($A10,Vlookup!$A$2:$E$62,4,FALSE)</f>
        <v>Mop-like panicle</v>
      </c>
      <c r="E10" s="4" t="str">
        <f>VLOOKUP($A10,Vlookup!$A$2:$E$62,5,FALSE)</f>
        <v>Half-open</v>
      </c>
      <c r="F10" s="4">
        <f t="shared" si="0"/>
        <v>7</v>
      </c>
      <c r="G10">
        <f>IF('Pivot table values'!B10&gt;0,1,0)</f>
        <v>0</v>
      </c>
      <c r="H10">
        <f>IF('Pivot table values'!C10&gt;0,1,0)</f>
        <v>0</v>
      </c>
      <c r="I10">
        <f>IF('Pivot table values'!D10&gt;0,1,0)</f>
        <v>0</v>
      </c>
      <c r="J10">
        <f>IF('Pivot table values'!E10&gt;0,1,0)</f>
        <v>0</v>
      </c>
      <c r="K10">
        <f>IF('Pivot table values'!F10&gt;0,1,0)</f>
        <v>0</v>
      </c>
      <c r="L10">
        <f>IF('Pivot table values'!G10&gt;0,1,0)</f>
        <v>0</v>
      </c>
      <c r="M10">
        <f>IF('Pivot table values'!H10&gt;0,1,0)</f>
        <v>0</v>
      </c>
      <c r="N10">
        <f>IF('Pivot table values'!I10&gt;0,1,0)</f>
        <v>0</v>
      </c>
      <c r="O10">
        <f>IF('Pivot table values'!J10&gt;0,1,0)</f>
        <v>0</v>
      </c>
      <c r="P10">
        <f>IF('Pivot table values'!K10&gt;0,1,0)</f>
        <v>0</v>
      </c>
      <c r="Q10">
        <f>IF('Pivot table values'!L10&gt;0,1,0)</f>
        <v>0</v>
      </c>
      <c r="R10">
        <f>IF('Pivot table values'!M10&gt;0,1,0)</f>
        <v>0</v>
      </c>
      <c r="S10">
        <f>IF('Pivot table values'!N10&gt;0,1,0)</f>
        <v>1</v>
      </c>
      <c r="T10">
        <f>IF('Pivot table values'!O10&gt;0,1,0)</f>
        <v>0</v>
      </c>
      <c r="U10">
        <f>IF('Pivot table values'!P10&gt;0,1,0)</f>
        <v>0</v>
      </c>
      <c r="V10">
        <f>IF('Pivot table values'!Q10&gt;0,1,0)</f>
        <v>0</v>
      </c>
      <c r="W10">
        <f>IF('Pivot table values'!R10&gt;0,1,0)</f>
        <v>0</v>
      </c>
      <c r="X10">
        <f>IF('Pivot table values'!S10&gt;0,1,0)</f>
        <v>1</v>
      </c>
      <c r="Y10">
        <f>IF('Pivot table values'!T10&gt;0,1,0)</f>
        <v>0</v>
      </c>
      <c r="Z10">
        <f>IF('Pivot table values'!U10&gt;0,1,0)</f>
        <v>0</v>
      </c>
      <c r="AA10">
        <f>IF('Pivot table values'!V10&gt;0,1,0)</f>
        <v>0</v>
      </c>
      <c r="AB10">
        <f>IF('Pivot table values'!W10&gt;0,1,0)</f>
        <v>0</v>
      </c>
      <c r="AC10">
        <f>IF('Pivot table values'!X10&gt;0,1,0)</f>
        <v>1</v>
      </c>
      <c r="AD10">
        <f>IF('Pivot table values'!Y10&gt;0,1,0)</f>
        <v>1</v>
      </c>
      <c r="AE10">
        <f>IF('Pivot table values'!Z10&gt;0,1,0)</f>
        <v>0</v>
      </c>
      <c r="AF10">
        <f>IF('Pivot table values'!AA10&gt;0,1,0)</f>
        <v>0</v>
      </c>
      <c r="AG10">
        <f>IF('Pivot table values'!AB10&gt;0,1,0)</f>
        <v>0</v>
      </c>
      <c r="AH10">
        <f>IF('Pivot table values'!AC10&gt;0,1,0)</f>
        <v>0</v>
      </c>
      <c r="AI10">
        <f>IF('Pivot table values'!AD10&gt;0,1,0)</f>
        <v>0</v>
      </c>
      <c r="AJ10">
        <f>IF('Pivot table values'!AE10&gt;0,1,0)</f>
        <v>1</v>
      </c>
      <c r="AK10">
        <f>IF('Pivot table values'!AF10&gt;0,1,0)</f>
        <v>0</v>
      </c>
      <c r="AL10">
        <f>IF('Pivot table values'!AG10&gt;0,1,0)</f>
        <v>0</v>
      </c>
      <c r="AM10">
        <f>IF('Pivot table values'!AH10&gt;0,1,0)</f>
        <v>0</v>
      </c>
      <c r="AN10">
        <f>IF('Pivot table values'!AI10&gt;0,1,0)</f>
        <v>0</v>
      </c>
      <c r="AO10">
        <f>IF('Pivot table values'!AJ10&gt;0,1,0)</f>
        <v>0</v>
      </c>
      <c r="AP10">
        <f>IF('Pivot table values'!AK10&gt;0,1,0)</f>
        <v>0</v>
      </c>
      <c r="AQ10">
        <f>IF('Pivot table values'!AL10&gt;0,1,0)</f>
        <v>0</v>
      </c>
      <c r="AR10">
        <f>IF('Pivot table values'!AM10&gt;0,1,0)</f>
        <v>0</v>
      </c>
      <c r="AS10">
        <f>IF('Pivot table values'!AN10&gt;0,1,0)</f>
        <v>0</v>
      </c>
      <c r="AT10">
        <f>IF('Pivot table values'!AO10&gt;0,1,0)</f>
        <v>0</v>
      </c>
      <c r="AU10">
        <f>IF('Pivot table values'!AP10&gt;0,1,0)</f>
        <v>0</v>
      </c>
      <c r="AV10">
        <f>IF('Pivot table values'!AQ10&gt;0,1,0)</f>
        <v>0</v>
      </c>
      <c r="AW10">
        <f>IF('Pivot table values'!AR10&gt;0,1,0)</f>
        <v>0</v>
      </c>
      <c r="AX10">
        <f>IF('Pivot table values'!AS10&gt;0,1,0)</f>
        <v>0</v>
      </c>
      <c r="AY10">
        <f>IF('Pivot table values'!AT10&gt;0,1,0)</f>
        <v>0</v>
      </c>
      <c r="AZ10">
        <f>IF('Pivot table values'!AU10&gt;0,1,0)</f>
        <v>0</v>
      </c>
      <c r="BA10">
        <f>IF('Pivot table values'!AV10&gt;0,1,0)</f>
        <v>0</v>
      </c>
      <c r="BB10">
        <f>IF('Pivot table values'!AW10&gt;0,1,0)</f>
        <v>0</v>
      </c>
      <c r="BC10">
        <f>IF('Pivot table values'!AX10&gt;0,1,0)</f>
        <v>0</v>
      </c>
      <c r="BD10">
        <f>IF('Pivot table values'!AY10&gt;0,1,0)</f>
        <v>0</v>
      </c>
      <c r="BE10">
        <f>IF('Pivot table values'!AZ10&gt;0,1,0)</f>
        <v>0</v>
      </c>
      <c r="BF10">
        <f>IF('Pivot table values'!BA10&gt;0,1,0)</f>
        <v>0</v>
      </c>
      <c r="BG10">
        <f>IF('Pivot table values'!BB10&gt;0,1,0)</f>
        <v>0</v>
      </c>
      <c r="BH10">
        <f>IF('Pivot table values'!BC10&gt;0,1,0)</f>
        <v>1</v>
      </c>
      <c r="BI10">
        <f>IF('Pivot table values'!BD10&gt;0,1,0)</f>
        <v>0</v>
      </c>
      <c r="BJ10">
        <f>IF('Pivot table values'!BE10&gt;0,1,0)</f>
        <v>0</v>
      </c>
      <c r="BK10">
        <f>IF('Pivot table values'!BF10&gt;0,1,0)</f>
        <v>0</v>
      </c>
      <c r="BL10">
        <f>IF('Pivot table values'!BG10&gt;0,1,0)</f>
        <v>0</v>
      </c>
      <c r="BM10">
        <f>IF('Pivot table values'!BH10&gt;0,1,0)</f>
        <v>0</v>
      </c>
      <c r="BN10">
        <f>IF('Pivot table values'!BI10&gt;0,1,0)</f>
        <v>1</v>
      </c>
      <c r="BO10">
        <f>IF('Pivot table values'!BJ10&gt;0,1,0)</f>
        <v>0</v>
      </c>
      <c r="BP10">
        <f>IF('Pivot table values'!BK10&gt;0,1,0)</f>
        <v>0</v>
      </c>
      <c r="BQ10">
        <f>IF('Pivot table values'!BL10&gt;0,1,0)</f>
        <v>0</v>
      </c>
      <c r="BR10">
        <f>IF('Pivot table values'!BM10&gt;0,1,0)</f>
        <v>0</v>
      </c>
      <c r="BS10">
        <f>IF('Pivot table values'!BN10&gt;0,1,0)</f>
        <v>0</v>
      </c>
      <c r="BT10">
        <f>IF('Pivot table values'!BO10&gt;0,1,0)</f>
        <v>0</v>
      </c>
      <c r="BU10">
        <f>IF('Pivot table values'!BP10&gt;0,1,0)</f>
        <v>0</v>
      </c>
      <c r="BV10">
        <f>IF('Pivot table values'!BQ10&gt;0,1,0)</f>
        <v>0</v>
      </c>
      <c r="BW10">
        <f>IF('Pivot table values'!BR10&gt;0,1,0)</f>
        <v>0</v>
      </c>
      <c r="BX10">
        <f>IF('Pivot table values'!BS10&gt;0,1,0)</f>
        <v>0</v>
      </c>
      <c r="BY10">
        <f>IF('Pivot table values'!BT10&gt;0,1,0)</f>
        <v>0</v>
      </c>
      <c r="BZ10">
        <f>IF('Pivot table values'!BU10&gt;0,1,0)</f>
        <v>0</v>
      </c>
    </row>
    <row r="11" spans="1:78" x14ac:dyDescent="0.3">
      <c r="A11" s="4" t="s">
        <v>184</v>
      </c>
      <c r="B11" s="4" t="str">
        <f>VLOOKUP($A11,Vlookup!$A$2:$E$62,2,FALSE)</f>
        <v>Invincibelle Mini Mauvette</v>
      </c>
      <c r="C11" s="4" t="str">
        <f>VLOOKUP($A11,Vlookup!$A$2:$E$62,3,FALSE)</f>
        <v>Hydrangea arborescens</v>
      </c>
      <c r="D11" s="4" t="str">
        <f>VLOOKUP($A11,Vlookup!$A$2:$E$62,4,FALSE)</f>
        <v>Mop</v>
      </c>
      <c r="E11" s="4" t="str">
        <f>VLOOKUP($A11,Vlookup!$A$2:$E$62,5,FALSE)</f>
        <v>Dense</v>
      </c>
      <c r="F11" s="4">
        <f t="shared" si="0"/>
        <v>2</v>
      </c>
      <c r="G11">
        <f>IF('Pivot table values'!B11&gt;0,1,0)</f>
        <v>0</v>
      </c>
      <c r="H11">
        <f>IF('Pivot table values'!C11&gt;0,1,0)</f>
        <v>0</v>
      </c>
      <c r="I11">
        <f>IF('Pivot table values'!D11&gt;0,1,0)</f>
        <v>0</v>
      </c>
      <c r="J11">
        <f>IF('Pivot table values'!E11&gt;0,1,0)</f>
        <v>0</v>
      </c>
      <c r="K11">
        <f>IF('Pivot table values'!F11&gt;0,1,0)</f>
        <v>0</v>
      </c>
      <c r="L11">
        <f>IF('Pivot table values'!G11&gt;0,1,0)</f>
        <v>0</v>
      </c>
      <c r="M11">
        <f>IF('Pivot table values'!H11&gt;0,1,0)</f>
        <v>0</v>
      </c>
      <c r="N11">
        <f>IF('Pivot table values'!I11&gt;0,1,0)</f>
        <v>0</v>
      </c>
      <c r="O11">
        <f>IF('Pivot table values'!J11&gt;0,1,0)</f>
        <v>0</v>
      </c>
      <c r="P11">
        <f>IF('Pivot table values'!K11&gt;0,1,0)</f>
        <v>0</v>
      </c>
      <c r="Q11">
        <f>IF('Pivot table values'!L11&gt;0,1,0)</f>
        <v>0</v>
      </c>
      <c r="R11">
        <f>IF('Pivot table values'!M11&gt;0,1,0)</f>
        <v>0</v>
      </c>
      <c r="S11">
        <f>IF('Pivot table values'!N11&gt;0,1,0)</f>
        <v>0</v>
      </c>
      <c r="T11">
        <f>IF('Pivot table values'!O11&gt;0,1,0)</f>
        <v>0</v>
      </c>
      <c r="U11">
        <f>IF('Pivot table values'!P11&gt;0,1,0)</f>
        <v>0</v>
      </c>
      <c r="V11">
        <f>IF('Pivot table values'!Q11&gt;0,1,0)</f>
        <v>0</v>
      </c>
      <c r="W11">
        <f>IF('Pivot table values'!R11&gt;0,1,0)</f>
        <v>0</v>
      </c>
      <c r="X11">
        <f>IF('Pivot table values'!S11&gt;0,1,0)</f>
        <v>0</v>
      </c>
      <c r="Y11">
        <f>IF('Pivot table values'!T11&gt;0,1,0)</f>
        <v>0</v>
      </c>
      <c r="Z11">
        <f>IF('Pivot table values'!U11&gt;0,1,0)</f>
        <v>0</v>
      </c>
      <c r="AA11">
        <f>IF('Pivot table values'!V11&gt;0,1,0)</f>
        <v>0</v>
      </c>
      <c r="AB11">
        <f>IF('Pivot table values'!W11&gt;0,1,0)</f>
        <v>0</v>
      </c>
      <c r="AC11">
        <f>IF('Pivot table values'!X11&gt;0,1,0)</f>
        <v>1</v>
      </c>
      <c r="AD11">
        <f>IF('Pivot table values'!Y11&gt;0,1,0)</f>
        <v>0</v>
      </c>
      <c r="AE11">
        <f>IF('Pivot table values'!Z11&gt;0,1,0)</f>
        <v>0</v>
      </c>
      <c r="AF11">
        <f>IF('Pivot table values'!AA11&gt;0,1,0)</f>
        <v>0</v>
      </c>
      <c r="AG11">
        <f>IF('Pivot table values'!AB11&gt;0,1,0)</f>
        <v>0</v>
      </c>
      <c r="AH11">
        <f>IF('Pivot table values'!AC11&gt;0,1,0)</f>
        <v>0</v>
      </c>
      <c r="AI11">
        <f>IF('Pivot table values'!AD11&gt;0,1,0)</f>
        <v>0</v>
      </c>
      <c r="AJ11">
        <f>IF('Pivot table values'!AE11&gt;0,1,0)</f>
        <v>0</v>
      </c>
      <c r="AK11">
        <f>IF('Pivot table values'!AF11&gt;0,1,0)</f>
        <v>0</v>
      </c>
      <c r="AL11">
        <f>IF('Pivot table values'!AG11&gt;0,1,0)</f>
        <v>0</v>
      </c>
      <c r="AM11">
        <f>IF('Pivot table values'!AH11&gt;0,1,0)</f>
        <v>1</v>
      </c>
      <c r="AN11">
        <f>IF('Pivot table values'!AI11&gt;0,1,0)</f>
        <v>0</v>
      </c>
      <c r="AO11">
        <f>IF('Pivot table values'!AJ11&gt;0,1,0)</f>
        <v>0</v>
      </c>
      <c r="AP11">
        <f>IF('Pivot table values'!AK11&gt;0,1,0)</f>
        <v>0</v>
      </c>
      <c r="AQ11">
        <f>IF('Pivot table values'!AL11&gt;0,1,0)</f>
        <v>0</v>
      </c>
      <c r="AR11">
        <f>IF('Pivot table values'!AM11&gt;0,1,0)</f>
        <v>0</v>
      </c>
      <c r="AS11">
        <f>IF('Pivot table values'!AN11&gt;0,1,0)</f>
        <v>0</v>
      </c>
      <c r="AT11">
        <f>IF('Pivot table values'!AO11&gt;0,1,0)</f>
        <v>0</v>
      </c>
      <c r="AU11">
        <f>IF('Pivot table values'!AP11&gt;0,1,0)</f>
        <v>0</v>
      </c>
      <c r="AV11">
        <f>IF('Pivot table values'!AQ11&gt;0,1,0)</f>
        <v>0</v>
      </c>
      <c r="AW11">
        <f>IF('Pivot table values'!AR11&gt;0,1,0)</f>
        <v>0</v>
      </c>
      <c r="AX11">
        <f>IF('Pivot table values'!AS11&gt;0,1,0)</f>
        <v>0</v>
      </c>
      <c r="AY11">
        <f>IF('Pivot table values'!AT11&gt;0,1,0)</f>
        <v>0</v>
      </c>
      <c r="AZ11">
        <f>IF('Pivot table values'!AU11&gt;0,1,0)</f>
        <v>0</v>
      </c>
      <c r="BA11">
        <f>IF('Pivot table values'!AV11&gt;0,1,0)</f>
        <v>0</v>
      </c>
      <c r="BB11">
        <f>IF('Pivot table values'!AW11&gt;0,1,0)</f>
        <v>0</v>
      </c>
      <c r="BC11">
        <f>IF('Pivot table values'!AX11&gt;0,1,0)</f>
        <v>0</v>
      </c>
      <c r="BD11">
        <f>IF('Pivot table values'!AY11&gt;0,1,0)</f>
        <v>0</v>
      </c>
      <c r="BE11">
        <f>IF('Pivot table values'!AZ11&gt;0,1,0)</f>
        <v>0</v>
      </c>
      <c r="BF11">
        <f>IF('Pivot table values'!BA11&gt;0,1,0)</f>
        <v>0</v>
      </c>
      <c r="BG11">
        <f>IF('Pivot table values'!BB11&gt;0,1,0)</f>
        <v>0</v>
      </c>
      <c r="BH11">
        <f>IF('Pivot table values'!BC11&gt;0,1,0)</f>
        <v>0</v>
      </c>
      <c r="BI11">
        <f>IF('Pivot table values'!BD11&gt;0,1,0)</f>
        <v>0</v>
      </c>
      <c r="BJ11">
        <f>IF('Pivot table values'!BE11&gt;0,1,0)</f>
        <v>0</v>
      </c>
      <c r="BK11">
        <f>IF('Pivot table values'!BF11&gt;0,1,0)</f>
        <v>0</v>
      </c>
      <c r="BL11">
        <f>IF('Pivot table values'!BG11&gt;0,1,0)</f>
        <v>0</v>
      </c>
      <c r="BM11">
        <f>IF('Pivot table values'!BH11&gt;0,1,0)</f>
        <v>0</v>
      </c>
      <c r="BN11">
        <f>IF('Pivot table values'!BI11&gt;0,1,0)</f>
        <v>0</v>
      </c>
      <c r="BO11">
        <f>IF('Pivot table values'!BJ11&gt;0,1,0)</f>
        <v>0</v>
      </c>
      <c r="BP11">
        <f>IF('Pivot table values'!BK11&gt;0,1,0)</f>
        <v>0</v>
      </c>
      <c r="BQ11">
        <f>IF('Pivot table values'!BL11&gt;0,1,0)</f>
        <v>0</v>
      </c>
      <c r="BR11">
        <f>IF('Pivot table values'!BM11&gt;0,1,0)</f>
        <v>0</v>
      </c>
      <c r="BS11">
        <f>IF('Pivot table values'!BN11&gt;0,1,0)</f>
        <v>0</v>
      </c>
      <c r="BT11">
        <f>IF('Pivot table values'!BO11&gt;0,1,0)</f>
        <v>0</v>
      </c>
      <c r="BU11">
        <f>IF('Pivot table values'!BP11&gt;0,1,0)</f>
        <v>0</v>
      </c>
      <c r="BV11">
        <f>IF('Pivot table values'!BQ11&gt;0,1,0)</f>
        <v>0</v>
      </c>
      <c r="BW11">
        <f>IF('Pivot table values'!BR11&gt;0,1,0)</f>
        <v>0</v>
      </c>
      <c r="BX11">
        <f>IF('Pivot table values'!BS11&gt;0,1,0)</f>
        <v>0</v>
      </c>
      <c r="BY11">
        <f>IF('Pivot table values'!BT11&gt;0,1,0)</f>
        <v>0</v>
      </c>
      <c r="BZ11">
        <f>IF('Pivot table values'!BU11&gt;0,1,0)</f>
        <v>0</v>
      </c>
    </row>
    <row r="12" spans="1:78" x14ac:dyDescent="0.3">
      <c r="A12" s="4" t="s">
        <v>161</v>
      </c>
      <c r="B12" s="4" t="str">
        <f>VLOOKUP($A12,Vlookup!$A$2:$E$62,2,FALSE)</f>
        <v>White Dome</v>
      </c>
      <c r="C12" s="4" t="str">
        <f>VLOOKUP($A12,Vlookup!$A$2:$E$62,3,FALSE)</f>
        <v>Hydrangea arborescens</v>
      </c>
      <c r="D12" s="4" t="str">
        <f>VLOOKUP($A12,Vlookup!$A$2:$E$62,4,FALSE)</f>
        <v>Lacy</v>
      </c>
      <c r="E12" s="4" t="str">
        <f>VLOOKUP($A12,Vlookup!$A$2:$E$62,5,FALSE)</f>
        <v>Open</v>
      </c>
      <c r="F12" s="4">
        <f t="shared" si="0"/>
        <v>11</v>
      </c>
      <c r="G12">
        <f>IF('Pivot table values'!B12&gt;0,1,0)</f>
        <v>0</v>
      </c>
      <c r="H12">
        <f>IF('Pivot table values'!C12&gt;0,1,0)</f>
        <v>0</v>
      </c>
      <c r="I12">
        <f>IF('Pivot table values'!D12&gt;0,1,0)</f>
        <v>0</v>
      </c>
      <c r="J12">
        <f>IF('Pivot table values'!E12&gt;0,1,0)</f>
        <v>0</v>
      </c>
      <c r="K12">
        <f>IF('Pivot table values'!F12&gt;0,1,0)</f>
        <v>0</v>
      </c>
      <c r="L12">
        <f>IF('Pivot table values'!G12&gt;0,1,0)</f>
        <v>0</v>
      </c>
      <c r="M12">
        <f>IF('Pivot table values'!H12&gt;0,1,0)</f>
        <v>0</v>
      </c>
      <c r="N12">
        <f>IF('Pivot table values'!I12&gt;0,1,0)</f>
        <v>1</v>
      </c>
      <c r="O12">
        <f>IF('Pivot table values'!J12&gt;0,1,0)</f>
        <v>0</v>
      </c>
      <c r="P12">
        <f>IF('Pivot table values'!K12&gt;0,1,0)</f>
        <v>0</v>
      </c>
      <c r="Q12">
        <f>IF('Pivot table values'!L12&gt;0,1,0)</f>
        <v>0</v>
      </c>
      <c r="R12">
        <f>IF('Pivot table values'!M12&gt;0,1,0)</f>
        <v>0</v>
      </c>
      <c r="S12">
        <f>IF('Pivot table values'!N12&gt;0,1,0)</f>
        <v>0</v>
      </c>
      <c r="T12">
        <f>IF('Pivot table values'!O12&gt;0,1,0)</f>
        <v>1</v>
      </c>
      <c r="U12">
        <f>IF('Pivot table values'!P12&gt;0,1,0)</f>
        <v>0</v>
      </c>
      <c r="V12">
        <f>IF('Pivot table values'!Q12&gt;0,1,0)</f>
        <v>0</v>
      </c>
      <c r="W12">
        <f>IF('Pivot table values'!R12&gt;0,1,0)</f>
        <v>1</v>
      </c>
      <c r="X12">
        <f>IF('Pivot table values'!S12&gt;0,1,0)</f>
        <v>0</v>
      </c>
      <c r="Y12">
        <f>IF('Pivot table values'!T12&gt;0,1,0)</f>
        <v>0</v>
      </c>
      <c r="Z12">
        <f>IF('Pivot table values'!U12&gt;0,1,0)</f>
        <v>0</v>
      </c>
      <c r="AA12">
        <f>IF('Pivot table values'!V12&gt;0,1,0)</f>
        <v>0</v>
      </c>
      <c r="AB12">
        <f>IF('Pivot table values'!W12&gt;0,1,0)</f>
        <v>0</v>
      </c>
      <c r="AC12">
        <f>IF('Pivot table values'!X12&gt;0,1,0)</f>
        <v>1</v>
      </c>
      <c r="AD12">
        <f>IF('Pivot table values'!Y12&gt;0,1,0)</f>
        <v>0</v>
      </c>
      <c r="AE12">
        <f>IF('Pivot table values'!Z12&gt;0,1,0)</f>
        <v>0</v>
      </c>
      <c r="AF12">
        <f>IF('Pivot table values'!AA12&gt;0,1,0)</f>
        <v>0</v>
      </c>
      <c r="AG12">
        <f>IF('Pivot table values'!AB12&gt;0,1,0)</f>
        <v>0</v>
      </c>
      <c r="AH12">
        <f>IF('Pivot table values'!AC12&gt;0,1,0)</f>
        <v>0</v>
      </c>
      <c r="AI12">
        <f>IF('Pivot table values'!AD12&gt;0,1,0)</f>
        <v>0</v>
      </c>
      <c r="AJ12">
        <f>IF('Pivot table values'!AE12&gt;0,1,0)</f>
        <v>1</v>
      </c>
      <c r="AK12">
        <f>IF('Pivot table values'!AF12&gt;0,1,0)</f>
        <v>0</v>
      </c>
      <c r="AL12">
        <f>IF('Pivot table values'!AG12&gt;0,1,0)</f>
        <v>0</v>
      </c>
      <c r="AM12">
        <f>IF('Pivot table values'!AH12&gt;0,1,0)</f>
        <v>0</v>
      </c>
      <c r="AN12">
        <f>IF('Pivot table values'!AI12&gt;0,1,0)</f>
        <v>0</v>
      </c>
      <c r="AO12">
        <f>IF('Pivot table values'!AJ12&gt;0,1,0)</f>
        <v>0</v>
      </c>
      <c r="AP12">
        <f>IF('Pivot table values'!AK12&gt;0,1,0)</f>
        <v>0</v>
      </c>
      <c r="AQ12">
        <f>IF('Pivot table values'!AL12&gt;0,1,0)</f>
        <v>0</v>
      </c>
      <c r="AR12">
        <f>IF('Pivot table values'!AM12&gt;0,1,0)</f>
        <v>0</v>
      </c>
      <c r="AS12">
        <f>IF('Pivot table values'!AN12&gt;0,1,0)</f>
        <v>0</v>
      </c>
      <c r="AT12">
        <f>IF('Pivot table values'!AO12&gt;0,1,0)</f>
        <v>1</v>
      </c>
      <c r="AU12">
        <f>IF('Pivot table values'!AP12&gt;0,1,0)</f>
        <v>0</v>
      </c>
      <c r="AV12">
        <f>IF('Pivot table values'!AQ12&gt;0,1,0)</f>
        <v>0</v>
      </c>
      <c r="AW12">
        <f>IF('Pivot table values'!AR12&gt;0,1,0)</f>
        <v>0</v>
      </c>
      <c r="AX12">
        <f>IF('Pivot table values'!AS12&gt;0,1,0)</f>
        <v>0</v>
      </c>
      <c r="AY12">
        <f>IF('Pivot table values'!AT12&gt;0,1,0)</f>
        <v>0</v>
      </c>
      <c r="AZ12">
        <f>IF('Pivot table values'!AU12&gt;0,1,0)</f>
        <v>1</v>
      </c>
      <c r="BA12">
        <f>IF('Pivot table values'!AV12&gt;0,1,0)</f>
        <v>0</v>
      </c>
      <c r="BB12">
        <f>IF('Pivot table values'!AW12&gt;0,1,0)</f>
        <v>0</v>
      </c>
      <c r="BC12">
        <f>IF('Pivot table values'!AX12&gt;0,1,0)</f>
        <v>0</v>
      </c>
      <c r="BD12">
        <f>IF('Pivot table values'!AY12&gt;0,1,0)</f>
        <v>0</v>
      </c>
      <c r="BE12">
        <f>IF('Pivot table values'!AZ12&gt;0,1,0)</f>
        <v>1</v>
      </c>
      <c r="BF12">
        <f>IF('Pivot table values'!BA12&gt;0,1,0)</f>
        <v>0</v>
      </c>
      <c r="BG12">
        <f>IF('Pivot table values'!BB12&gt;0,1,0)</f>
        <v>0</v>
      </c>
      <c r="BH12">
        <f>IF('Pivot table values'!BC12&gt;0,1,0)</f>
        <v>0</v>
      </c>
      <c r="BI12">
        <f>IF('Pivot table values'!BD12&gt;0,1,0)</f>
        <v>0</v>
      </c>
      <c r="BJ12">
        <f>IF('Pivot table values'!BE12&gt;0,1,0)</f>
        <v>0</v>
      </c>
      <c r="BK12">
        <f>IF('Pivot table values'!BF12&gt;0,1,0)</f>
        <v>0</v>
      </c>
      <c r="BL12">
        <f>IF('Pivot table values'!BG12&gt;0,1,0)</f>
        <v>0</v>
      </c>
      <c r="BM12">
        <f>IF('Pivot table values'!BH12&gt;0,1,0)</f>
        <v>1</v>
      </c>
      <c r="BN12">
        <f>IF('Pivot table values'!BI12&gt;0,1,0)</f>
        <v>1</v>
      </c>
      <c r="BO12">
        <f>IF('Pivot table values'!BJ12&gt;0,1,0)</f>
        <v>0</v>
      </c>
      <c r="BP12">
        <f>IF('Pivot table values'!BK12&gt;0,1,0)</f>
        <v>0</v>
      </c>
      <c r="BQ12">
        <f>IF('Pivot table values'!BL12&gt;0,1,0)</f>
        <v>0</v>
      </c>
      <c r="BR12">
        <f>IF('Pivot table values'!BM12&gt;0,1,0)</f>
        <v>0</v>
      </c>
      <c r="BS12">
        <f>IF('Pivot table values'!BN12&gt;0,1,0)</f>
        <v>0</v>
      </c>
      <c r="BT12">
        <f>IF('Pivot table values'!BO12&gt;0,1,0)</f>
        <v>0</v>
      </c>
      <c r="BU12">
        <f>IF('Pivot table values'!BP12&gt;0,1,0)</f>
        <v>1</v>
      </c>
      <c r="BV12">
        <f>IF('Pivot table values'!BQ12&gt;0,1,0)</f>
        <v>0</v>
      </c>
      <c r="BW12">
        <f>IF('Pivot table values'!BR12&gt;0,1,0)</f>
        <v>0</v>
      </c>
      <c r="BX12">
        <f>IF('Pivot table values'!BS12&gt;0,1,0)</f>
        <v>0</v>
      </c>
      <c r="BY12">
        <f>IF('Pivot table values'!BT12&gt;0,1,0)</f>
        <v>0</v>
      </c>
      <c r="BZ12">
        <f>IF('Pivot table values'!BU12&gt;0,1,0)</f>
        <v>0</v>
      </c>
    </row>
    <row r="13" spans="1:78" x14ac:dyDescent="0.3">
      <c r="A13" s="4" t="s">
        <v>183</v>
      </c>
      <c r="B13" s="4" t="str">
        <f>VLOOKUP($A13,Vlookup!$A$2:$E$62,2,FALSE)</f>
        <v>Pinky Winky</v>
      </c>
      <c r="C13" s="4" t="str">
        <f>VLOOKUP($A13,Vlookup!$A$2:$E$62,3,FALSE)</f>
        <v>Hydrangea paniculata</v>
      </c>
      <c r="D13" s="4" t="str">
        <f>VLOOKUP($A13,Vlookup!$A$2:$E$62,4,FALSE)</f>
        <v>Lacy panicle</v>
      </c>
      <c r="E13" s="4" t="str">
        <f>VLOOKUP($A13,Vlookup!$A$2:$E$62,5,FALSE)</f>
        <v>Half-open</v>
      </c>
      <c r="F13" s="4">
        <f t="shared" si="0"/>
        <v>5</v>
      </c>
      <c r="G13">
        <f>IF('Pivot table values'!B13&gt;0,1,0)</f>
        <v>0</v>
      </c>
      <c r="H13">
        <f>IF('Pivot table values'!C13&gt;0,1,0)</f>
        <v>0</v>
      </c>
      <c r="I13">
        <f>IF('Pivot table values'!D13&gt;0,1,0)</f>
        <v>0</v>
      </c>
      <c r="J13">
        <f>IF('Pivot table values'!E13&gt;0,1,0)</f>
        <v>0</v>
      </c>
      <c r="K13">
        <f>IF('Pivot table values'!F13&gt;0,1,0)</f>
        <v>0</v>
      </c>
      <c r="L13">
        <f>IF('Pivot table values'!G13&gt;0,1,0)</f>
        <v>0</v>
      </c>
      <c r="M13">
        <f>IF('Pivot table values'!H13&gt;0,1,0)</f>
        <v>0</v>
      </c>
      <c r="N13">
        <f>IF('Pivot table values'!I13&gt;0,1,0)</f>
        <v>0</v>
      </c>
      <c r="O13">
        <f>IF('Pivot table values'!J13&gt;0,1,0)</f>
        <v>0</v>
      </c>
      <c r="P13">
        <f>IF('Pivot table values'!K13&gt;0,1,0)</f>
        <v>0</v>
      </c>
      <c r="Q13">
        <f>IF('Pivot table values'!L13&gt;0,1,0)</f>
        <v>0</v>
      </c>
      <c r="R13">
        <f>IF('Pivot table values'!M13&gt;0,1,0)</f>
        <v>0</v>
      </c>
      <c r="S13">
        <f>IF('Pivot table values'!N13&gt;0,1,0)</f>
        <v>0</v>
      </c>
      <c r="T13">
        <f>IF('Pivot table values'!O13&gt;0,1,0)</f>
        <v>0</v>
      </c>
      <c r="U13">
        <f>IF('Pivot table values'!P13&gt;0,1,0)</f>
        <v>0</v>
      </c>
      <c r="V13">
        <f>IF('Pivot table values'!Q13&gt;0,1,0)</f>
        <v>0</v>
      </c>
      <c r="W13">
        <f>IF('Pivot table values'!R13&gt;0,1,0)</f>
        <v>1</v>
      </c>
      <c r="X13">
        <f>IF('Pivot table values'!S13&gt;0,1,0)</f>
        <v>0</v>
      </c>
      <c r="Y13">
        <f>IF('Pivot table values'!T13&gt;0,1,0)</f>
        <v>0</v>
      </c>
      <c r="Z13">
        <f>IF('Pivot table values'!U13&gt;0,1,0)</f>
        <v>0</v>
      </c>
      <c r="AA13">
        <f>IF('Pivot table values'!V13&gt;0,1,0)</f>
        <v>0</v>
      </c>
      <c r="AB13">
        <f>IF('Pivot table values'!W13&gt;0,1,0)</f>
        <v>0</v>
      </c>
      <c r="AC13">
        <f>IF('Pivot table values'!X13&gt;0,1,0)</f>
        <v>0</v>
      </c>
      <c r="AD13">
        <f>IF('Pivot table values'!Y13&gt;0,1,0)</f>
        <v>0</v>
      </c>
      <c r="AE13">
        <f>IF('Pivot table values'!Z13&gt;0,1,0)</f>
        <v>0</v>
      </c>
      <c r="AF13">
        <f>IF('Pivot table values'!AA13&gt;0,1,0)</f>
        <v>0</v>
      </c>
      <c r="AG13">
        <f>IF('Pivot table values'!AB13&gt;0,1,0)</f>
        <v>0</v>
      </c>
      <c r="AH13">
        <f>IF('Pivot table values'!AC13&gt;0,1,0)</f>
        <v>0</v>
      </c>
      <c r="AI13">
        <f>IF('Pivot table values'!AD13&gt;0,1,0)</f>
        <v>0</v>
      </c>
      <c r="AJ13">
        <f>IF('Pivot table values'!AE13&gt;0,1,0)</f>
        <v>0</v>
      </c>
      <c r="AK13">
        <f>IF('Pivot table values'!AF13&gt;0,1,0)</f>
        <v>0</v>
      </c>
      <c r="AL13">
        <f>IF('Pivot table values'!AG13&gt;0,1,0)</f>
        <v>0</v>
      </c>
      <c r="AM13">
        <f>IF('Pivot table values'!AH13&gt;0,1,0)</f>
        <v>0</v>
      </c>
      <c r="AN13">
        <f>IF('Pivot table values'!AI13&gt;0,1,0)</f>
        <v>1</v>
      </c>
      <c r="AO13">
        <f>IF('Pivot table values'!AJ13&gt;0,1,0)</f>
        <v>0</v>
      </c>
      <c r="AP13">
        <f>IF('Pivot table values'!AK13&gt;0,1,0)</f>
        <v>0</v>
      </c>
      <c r="AQ13">
        <f>IF('Pivot table values'!AL13&gt;0,1,0)</f>
        <v>0</v>
      </c>
      <c r="AR13">
        <f>IF('Pivot table values'!AM13&gt;0,1,0)</f>
        <v>0</v>
      </c>
      <c r="AS13">
        <f>IF('Pivot table values'!AN13&gt;0,1,0)</f>
        <v>0</v>
      </c>
      <c r="AT13">
        <f>IF('Pivot table values'!AO13&gt;0,1,0)</f>
        <v>0</v>
      </c>
      <c r="AU13">
        <f>IF('Pivot table values'!AP13&gt;0,1,0)</f>
        <v>0</v>
      </c>
      <c r="AV13">
        <f>IF('Pivot table values'!AQ13&gt;0,1,0)</f>
        <v>0</v>
      </c>
      <c r="AW13">
        <f>IF('Pivot table values'!AR13&gt;0,1,0)</f>
        <v>0</v>
      </c>
      <c r="AX13">
        <f>IF('Pivot table values'!AS13&gt;0,1,0)</f>
        <v>0</v>
      </c>
      <c r="AY13">
        <f>IF('Pivot table values'!AT13&gt;0,1,0)</f>
        <v>0</v>
      </c>
      <c r="AZ13">
        <f>IF('Pivot table values'!AU13&gt;0,1,0)</f>
        <v>0</v>
      </c>
      <c r="BA13">
        <f>IF('Pivot table values'!AV13&gt;0,1,0)</f>
        <v>0</v>
      </c>
      <c r="BB13">
        <f>IF('Pivot table values'!AW13&gt;0,1,0)</f>
        <v>0</v>
      </c>
      <c r="BC13">
        <f>IF('Pivot table values'!AX13&gt;0,1,0)</f>
        <v>0</v>
      </c>
      <c r="BD13">
        <f>IF('Pivot table values'!AY13&gt;0,1,0)</f>
        <v>0</v>
      </c>
      <c r="BE13">
        <f>IF('Pivot table values'!AZ13&gt;0,1,0)</f>
        <v>0</v>
      </c>
      <c r="BF13">
        <f>IF('Pivot table values'!BA13&gt;0,1,0)</f>
        <v>0</v>
      </c>
      <c r="BG13">
        <f>IF('Pivot table values'!BB13&gt;0,1,0)</f>
        <v>0</v>
      </c>
      <c r="BH13">
        <f>IF('Pivot table values'!BC13&gt;0,1,0)</f>
        <v>0</v>
      </c>
      <c r="BI13">
        <f>IF('Pivot table values'!BD13&gt;0,1,0)</f>
        <v>0</v>
      </c>
      <c r="BJ13">
        <f>IF('Pivot table values'!BE13&gt;0,1,0)</f>
        <v>0</v>
      </c>
      <c r="BK13">
        <f>IF('Pivot table values'!BF13&gt;0,1,0)</f>
        <v>1</v>
      </c>
      <c r="BL13">
        <f>IF('Pivot table values'!BG13&gt;0,1,0)</f>
        <v>0</v>
      </c>
      <c r="BM13">
        <f>IF('Pivot table values'!BH13&gt;0,1,0)</f>
        <v>0</v>
      </c>
      <c r="BN13">
        <f>IF('Pivot table values'!BI13&gt;0,1,0)</f>
        <v>1</v>
      </c>
      <c r="BO13">
        <f>IF('Pivot table values'!BJ13&gt;0,1,0)</f>
        <v>0</v>
      </c>
      <c r="BP13">
        <f>IF('Pivot table values'!BK13&gt;0,1,0)</f>
        <v>0</v>
      </c>
      <c r="BQ13">
        <f>IF('Pivot table values'!BL13&gt;0,1,0)</f>
        <v>0</v>
      </c>
      <c r="BR13">
        <f>IF('Pivot table values'!BM13&gt;0,1,0)</f>
        <v>1</v>
      </c>
      <c r="BS13">
        <f>IF('Pivot table values'!BN13&gt;0,1,0)</f>
        <v>0</v>
      </c>
      <c r="BT13">
        <f>IF('Pivot table values'!BO13&gt;0,1,0)</f>
        <v>0</v>
      </c>
      <c r="BU13">
        <f>IF('Pivot table values'!BP13&gt;0,1,0)</f>
        <v>0</v>
      </c>
      <c r="BV13">
        <f>IF('Pivot table values'!BQ13&gt;0,1,0)</f>
        <v>0</v>
      </c>
      <c r="BW13">
        <f>IF('Pivot table values'!BR13&gt;0,1,0)</f>
        <v>0</v>
      </c>
      <c r="BX13">
        <f>IF('Pivot table values'!BS13&gt;0,1,0)</f>
        <v>0</v>
      </c>
      <c r="BY13">
        <f>IF('Pivot table values'!BT13&gt;0,1,0)</f>
        <v>0</v>
      </c>
      <c r="BZ13">
        <f>IF('Pivot table values'!BU13&gt;0,1,0)</f>
        <v>0</v>
      </c>
    </row>
    <row r="14" spans="1:78" x14ac:dyDescent="0.3">
      <c r="A14" s="4" t="s">
        <v>205</v>
      </c>
      <c r="B14" s="4" t="str">
        <f>VLOOKUP($A14,Vlookup!$A$2:$E$62,2,FALSE)</f>
        <v>Ruby</v>
      </c>
      <c r="C14" s="4" t="str">
        <f>VLOOKUP($A14,Vlookup!$A$2:$E$62,3,FALSE)</f>
        <v>Hydrangea paniculata</v>
      </c>
      <c r="D14" s="4" t="str">
        <f>VLOOKUP($A14,Vlookup!$A$2:$E$62,4,FALSE)</f>
        <v>Mop-like panicle</v>
      </c>
      <c r="E14" s="4" t="str">
        <f>VLOOKUP($A14,Vlookup!$A$2:$E$62,5,FALSE)</f>
        <v>Half-open</v>
      </c>
      <c r="F14" s="4">
        <f t="shared" si="0"/>
        <v>11</v>
      </c>
      <c r="G14">
        <f>IF('Pivot table values'!B15&gt;0,1,0)</f>
        <v>0</v>
      </c>
      <c r="H14">
        <f>IF('Pivot table values'!C15&gt;0,1,0)</f>
        <v>0</v>
      </c>
      <c r="I14">
        <f>IF('Pivot table values'!D15&gt;0,1,0)</f>
        <v>0</v>
      </c>
      <c r="J14">
        <f>IF('Pivot table values'!E15&gt;0,1,0)</f>
        <v>0</v>
      </c>
      <c r="K14">
        <f>IF('Pivot table values'!F15&gt;0,1,0)</f>
        <v>0</v>
      </c>
      <c r="L14">
        <f>IF('Pivot table values'!G15&gt;0,1,0)</f>
        <v>0</v>
      </c>
      <c r="M14">
        <f>IF('Pivot table values'!H15&gt;0,1,0)</f>
        <v>0</v>
      </c>
      <c r="N14">
        <f>IF('Pivot table values'!I15&gt;0,1,0)</f>
        <v>0</v>
      </c>
      <c r="O14">
        <f>IF('Pivot table values'!J15&gt;0,1,0)</f>
        <v>0</v>
      </c>
      <c r="P14">
        <f>IF('Pivot table values'!K15&gt;0,1,0)</f>
        <v>0</v>
      </c>
      <c r="Q14">
        <f>IF('Pivot table values'!L15&gt;0,1,0)</f>
        <v>0</v>
      </c>
      <c r="R14">
        <f>IF('Pivot table values'!M15&gt;0,1,0)</f>
        <v>0</v>
      </c>
      <c r="S14">
        <f>IF('Pivot table values'!N15&gt;0,1,0)</f>
        <v>0</v>
      </c>
      <c r="T14">
        <f>IF('Pivot table values'!O15&gt;0,1,0)</f>
        <v>1</v>
      </c>
      <c r="U14">
        <f>IF('Pivot table values'!P15&gt;0,1,0)</f>
        <v>0</v>
      </c>
      <c r="V14">
        <f>IF('Pivot table values'!Q15&gt;0,1,0)</f>
        <v>0</v>
      </c>
      <c r="W14">
        <f>IF('Pivot table values'!R15&gt;0,1,0)</f>
        <v>0</v>
      </c>
      <c r="X14">
        <f>IF('Pivot table values'!S15&gt;0,1,0)</f>
        <v>1</v>
      </c>
      <c r="Y14">
        <f>IF('Pivot table values'!T15&gt;0,1,0)</f>
        <v>0</v>
      </c>
      <c r="Z14">
        <f>IF('Pivot table values'!U15&gt;0,1,0)</f>
        <v>0</v>
      </c>
      <c r="AA14">
        <f>IF('Pivot table values'!V15&gt;0,1,0)</f>
        <v>1</v>
      </c>
      <c r="AB14">
        <f>IF('Pivot table values'!W15&gt;0,1,0)</f>
        <v>0</v>
      </c>
      <c r="AC14">
        <f>IF('Pivot table values'!X15&gt;0,1,0)</f>
        <v>1</v>
      </c>
      <c r="AD14">
        <f>IF('Pivot table values'!Y15&gt;0,1,0)</f>
        <v>0</v>
      </c>
      <c r="AE14">
        <f>IF('Pivot table values'!Z15&gt;0,1,0)</f>
        <v>1</v>
      </c>
      <c r="AF14">
        <f>IF('Pivot table values'!AA15&gt;0,1,0)</f>
        <v>0</v>
      </c>
      <c r="AG14">
        <f>IF('Pivot table values'!AB15&gt;0,1,0)</f>
        <v>0</v>
      </c>
      <c r="AH14">
        <f>IF('Pivot table values'!AC15&gt;0,1,0)</f>
        <v>1</v>
      </c>
      <c r="AI14">
        <f>IF('Pivot table values'!AD15&gt;0,1,0)</f>
        <v>0</v>
      </c>
      <c r="AJ14">
        <f>IF('Pivot table values'!AE15&gt;0,1,0)</f>
        <v>1</v>
      </c>
      <c r="AK14">
        <f>IF('Pivot table values'!AF15&gt;0,1,0)</f>
        <v>0</v>
      </c>
      <c r="AL14">
        <f>IF('Pivot table values'!AG15&gt;0,1,0)</f>
        <v>0</v>
      </c>
      <c r="AM14">
        <f>IF('Pivot table values'!AH15&gt;0,1,0)</f>
        <v>1</v>
      </c>
      <c r="AN14">
        <f>IF('Pivot table values'!AI15&gt;0,1,0)</f>
        <v>0</v>
      </c>
      <c r="AO14">
        <f>IF('Pivot table values'!AJ15&gt;0,1,0)</f>
        <v>0</v>
      </c>
      <c r="AP14">
        <f>IF('Pivot table values'!AK15&gt;0,1,0)</f>
        <v>0</v>
      </c>
      <c r="AQ14">
        <f>IF('Pivot table values'!AL15&gt;0,1,0)</f>
        <v>0</v>
      </c>
      <c r="AR14">
        <f>IF('Pivot table values'!AM15&gt;0,1,0)</f>
        <v>0</v>
      </c>
      <c r="AS14">
        <f>IF('Pivot table values'!AN15&gt;0,1,0)</f>
        <v>0</v>
      </c>
      <c r="AT14">
        <f>IF('Pivot table values'!AO15&gt;0,1,0)</f>
        <v>0</v>
      </c>
      <c r="AU14">
        <f>IF('Pivot table values'!AP15&gt;0,1,0)</f>
        <v>0</v>
      </c>
      <c r="AV14">
        <f>IF('Pivot table values'!AQ15&gt;0,1,0)</f>
        <v>0</v>
      </c>
      <c r="AW14">
        <f>IF('Pivot table values'!AR15&gt;0,1,0)</f>
        <v>0</v>
      </c>
      <c r="AX14">
        <f>IF('Pivot table values'!AS15&gt;0,1,0)</f>
        <v>0</v>
      </c>
      <c r="AY14">
        <f>IF('Pivot table values'!AT15&gt;0,1,0)</f>
        <v>0</v>
      </c>
      <c r="AZ14">
        <f>IF('Pivot table values'!AU15&gt;0,1,0)</f>
        <v>0</v>
      </c>
      <c r="BA14">
        <f>IF('Pivot table values'!AV15&gt;0,1,0)</f>
        <v>0</v>
      </c>
      <c r="BB14">
        <f>IF('Pivot table values'!AW15&gt;0,1,0)</f>
        <v>0</v>
      </c>
      <c r="BC14">
        <f>IF('Pivot table values'!AX15&gt;0,1,0)</f>
        <v>0</v>
      </c>
      <c r="BD14">
        <f>IF('Pivot table values'!AY15&gt;0,1,0)</f>
        <v>0</v>
      </c>
      <c r="BE14">
        <f>IF('Pivot table values'!AZ15&gt;0,1,0)</f>
        <v>0</v>
      </c>
      <c r="BF14">
        <f>IF('Pivot table values'!BA15&gt;0,1,0)</f>
        <v>0</v>
      </c>
      <c r="BG14">
        <f>IF('Pivot table values'!BB15&gt;0,1,0)</f>
        <v>0</v>
      </c>
      <c r="BH14">
        <f>IF('Pivot table values'!BC15&gt;0,1,0)</f>
        <v>1</v>
      </c>
      <c r="BI14">
        <f>IF('Pivot table values'!BD15&gt;0,1,0)</f>
        <v>0</v>
      </c>
      <c r="BJ14">
        <f>IF('Pivot table values'!BE15&gt;0,1,0)</f>
        <v>1</v>
      </c>
      <c r="BK14">
        <f>IF('Pivot table values'!BF15&gt;0,1,0)</f>
        <v>0</v>
      </c>
      <c r="BL14">
        <f>IF('Pivot table values'!BG15&gt;0,1,0)</f>
        <v>0</v>
      </c>
      <c r="BM14">
        <f>IF('Pivot table values'!BH15&gt;0,1,0)</f>
        <v>0</v>
      </c>
      <c r="BN14">
        <f>IF('Pivot table values'!BI15&gt;0,1,0)</f>
        <v>0</v>
      </c>
      <c r="BO14">
        <f>IF('Pivot table values'!BJ15&gt;0,1,0)</f>
        <v>0</v>
      </c>
      <c r="BP14">
        <f>IF('Pivot table values'!BK15&gt;0,1,0)</f>
        <v>0</v>
      </c>
      <c r="BQ14">
        <f>IF('Pivot table values'!BL15&gt;0,1,0)</f>
        <v>0</v>
      </c>
      <c r="BR14">
        <f>IF('Pivot table values'!BM15&gt;0,1,0)</f>
        <v>0</v>
      </c>
      <c r="BS14">
        <f>IF('Pivot table values'!BN15&gt;0,1,0)</f>
        <v>0</v>
      </c>
      <c r="BT14">
        <f>IF('Pivot table values'!BO15&gt;0,1,0)</f>
        <v>0</v>
      </c>
      <c r="BU14">
        <f>IF('Pivot table values'!BP15&gt;0,1,0)</f>
        <v>0</v>
      </c>
      <c r="BV14">
        <f>IF('Pivot table values'!BQ15&gt;0,1,0)</f>
        <v>0</v>
      </c>
      <c r="BW14">
        <f>IF('Pivot table values'!BR15&gt;0,1,0)</f>
        <v>1</v>
      </c>
      <c r="BX14">
        <f>IF('Pivot table values'!BS15&gt;0,1,0)</f>
        <v>0</v>
      </c>
      <c r="BY14">
        <f>IF('Pivot table values'!BT15&gt;0,1,0)</f>
        <v>0</v>
      </c>
      <c r="BZ14">
        <f>IF('Pivot table values'!BU15&gt;0,1,0)</f>
        <v>0</v>
      </c>
    </row>
    <row r="15" spans="1:78" x14ac:dyDescent="0.3">
      <c r="A15" s="4" t="s">
        <v>197</v>
      </c>
      <c r="B15" s="4" t="str">
        <f>VLOOKUP($A15,Vlookup!$A$2:$E$62,2,FALSE)</f>
        <v>Zinfin Doll</v>
      </c>
      <c r="C15" s="4" t="str">
        <f>VLOOKUP($A15,Vlookup!$A$2:$E$62,3,FALSE)</f>
        <v>Hydrangea paniculata</v>
      </c>
      <c r="D15" s="4" t="str">
        <f>VLOOKUP($A15,Vlookup!$A$2:$E$62,4,FALSE)</f>
        <v>Mop-like panicle</v>
      </c>
      <c r="E15" s="4" t="str">
        <f>VLOOKUP($A15,Vlookup!$A$2:$E$62,5,FALSE)</f>
        <v>Half-open</v>
      </c>
      <c r="F15" s="4">
        <f t="shared" si="0"/>
        <v>5</v>
      </c>
      <c r="G15">
        <f>IF('Pivot table values'!B16&gt;0,1,0)</f>
        <v>0</v>
      </c>
      <c r="H15">
        <f>IF('Pivot table values'!C16&gt;0,1,0)</f>
        <v>0</v>
      </c>
      <c r="I15">
        <f>IF('Pivot table values'!D16&gt;0,1,0)</f>
        <v>0</v>
      </c>
      <c r="J15">
        <f>IF('Pivot table values'!E16&gt;0,1,0)</f>
        <v>0</v>
      </c>
      <c r="K15">
        <f>IF('Pivot table values'!F16&gt;0,1,0)</f>
        <v>0</v>
      </c>
      <c r="L15">
        <f>IF('Pivot table values'!G16&gt;0,1,0)</f>
        <v>0</v>
      </c>
      <c r="M15">
        <f>IF('Pivot table values'!H16&gt;0,1,0)</f>
        <v>0</v>
      </c>
      <c r="N15">
        <f>IF('Pivot table values'!I16&gt;0,1,0)</f>
        <v>0</v>
      </c>
      <c r="O15">
        <f>IF('Pivot table values'!J16&gt;0,1,0)</f>
        <v>0</v>
      </c>
      <c r="P15">
        <f>IF('Pivot table values'!K16&gt;0,1,0)</f>
        <v>0</v>
      </c>
      <c r="Q15">
        <f>IF('Pivot table values'!L16&gt;0,1,0)</f>
        <v>0</v>
      </c>
      <c r="R15">
        <f>IF('Pivot table values'!M16&gt;0,1,0)</f>
        <v>0</v>
      </c>
      <c r="S15">
        <f>IF('Pivot table values'!N16&gt;0,1,0)</f>
        <v>0</v>
      </c>
      <c r="T15">
        <f>IF('Pivot table values'!O16&gt;0,1,0)</f>
        <v>0</v>
      </c>
      <c r="U15">
        <f>IF('Pivot table values'!P16&gt;0,1,0)</f>
        <v>0</v>
      </c>
      <c r="V15">
        <f>IF('Pivot table values'!Q16&gt;0,1,0)</f>
        <v>0</v>
      </c>
      <c r="W15">
        <f>IF('Pivot table values'!R16&gt;0,1,0)</f>
        <v>0</v>
      </c>
      <c r="X15">
        <f>IF('Pivot table values'!S16&gt;0,1,0)</f>
        <v>0</v>
      </c>
      <c r="Y15">
        <f>IF('Pivot table values'!T16&gt;0,1,0)</f>
        <v>0</v>
      </c>
      <c r="Z15">
        <f>IF('Pivot table values'!U16&gt;0,1,0)</f>
        <v>0</v>
      </c>
      <c r="AA15">
        <f>IF('Pivot table values'!V16&gt;0,1,0)</f>
        <v>0</v>
      </c>
      <c r="AB15">
        <f>IF('Pivot table values'!W16&gt;0,1,0)</f>
        <v>0</v>
      </c>
      <c r="AC15">
        <f>IF('Pivot table values'!X16&gt;0,1,0)</f>
        <v>1</v>
      </c>
      <c r="AD15">
        <f>IF('Pivot table values'!Y16&gt;0,1,0)</f>
        <v>0</v>
      </c>
      <c r="AE15">
        <f>IF('Pivot table values'!Z16&gt;0,1,0)</f>
        <v>0</v>
      </c>
      <c r="AF15">
        <f>IF('Pivot table values'!AA16&gt;0,1,0)</f>
        <v>0</v>
      </c>
      <c r="AG15">
        <f>IF('Pivot table values'!AB16&gt;0,1,0)</f>
        <v>0</v>
      </c>
      <c r="AH15">
        <f>IF('Pivot table values'!AC16&gt;0,1,0)</f>
        <v>0</v>
      </c>
      <c r="AI15">
        <f>IF('Pivot table values'!AD16&gt;0,1,0)</f>
        <v>0</v>
      </c>
      <c r="AJ15">
        <f>IF('Pivot table values'!AE16&gt;0,1,0)</f>
        <v>0</v>
      </c>
      <c r="AK15">
        <f>IF('Pivot table values'!AF16&gt;0,1,0)</f>
        <v>0</v>
      </c>
      <c r="AL15">
        <f>IF('Pivot table values'!AG16&gt;0,1,0)</f>
        <v>0</v>
      </c>
      <c r="AM15">
        <f>IF('Pivot table values'!AH16&gt;0,1,0)</f>
        <v>1</v>
      </c>
      <c r="AN15">
        <f>IF('Pivot table values'!AI16&gt;0,1,0)</f>
        <v>1</v>
      </c>
      <c r="AO15">
        <f>IF('Pivot table values'!AJ16&gt;0,1,0)</f>
        <v>0</v>
      </c>
      <c r="AP15">
        <f>IF('Pivot table values'!AK16&gt;0,1,0)</f>
        <v>0</v>
      </c>
      <c r="AQ15">
        <f>IF('Pivot table values'!AL16&gt;0,1,0)</f>
        <v>0</v>
      </c>
      <c r="AR15">
        <f>IF('Pivot table values'!AM16&gt;0,1,0)</f>
        <v>0</v>
      </c>
      <c r="AS15">
        <f>IF('Pivot table values'!AN16&gt;0,1,0)</f>
        <v>0</v>
      </c>
      <c r="AT15">
        <f>IF('Pivot table values'!AO16&gt;0,1,0)</f>
        <v>0</v>
      </c>
      <c r="AU15">
        <f>IF('Pivot table values'!AP16&gt;0,1,0)</f>
        <v>0</v>
      </c>
      <c r="AV15">
        <f>IF('Pivot table values'!AQ16&gt;0,1,0)</f>
        <v>0</v>
      </c>
      <c r="AW15">
        <f>IF('Pivot table values'!AR16&gt;0,1,0)</f>
        <v>0</v>
      </c>
      <c r="AX15">
        <f>IF('Pivot table values'!AS16&gt;0,1,0)</f>
        <v>0</v>
      </c>
      <c r="AY15">
        <f>IF('Pivot table values'!AT16&gt;0,1,0)</f>
        <v>0</v>
      </c>
      <c r="AZ15">
        <f>IF('Pivot table values'!AU16&gt;0,1,0)</f>
        <v>0</v>
      </c>
      <c r="BA15">
        <f>IF('Pivot table values'!AV16&gt;0,1,0)</f>
        <v>0</v>
      </c>
      <c r="BB15">
        <f>IF('Pivot table values'!AW16&gt;0,1,0)</f>
        <v>0</v>
      </c>
      <c r="BC15">
        <f>IF('Pivot table values'!AX16&gt;0,1,0)</f>
        <v>0</v>
      </c>
      <c r="BD15">
        <f>IF('Pivot table values'!AY16&gt;0,1,0)</f>
        <v>0</v>
      </c>
      <c r="BE15">
        <f>IF('Pivot table values'!AZ16&gt;0,1,0)</f>
        <v>0</v>
      </c>
      <c r="BF15">
        <f>IF('Pivot table values'!BA16&gt;0,1,0)</f>
        <v>0</v>
      </c>
      <c r="BG15">
        <f>IF('Pivot table values'!BB16&gt;0,1,0)</f>
        <v>0</v>
      </c>
      <c r="BH15">
        <f>IF('Pivot table values'!BC16&gt;0,1,0)</f>
        <v>1</v>
      </c>
      <c r="BI15">
        <f>IF('Pivot table values'!BD16&gt;0,1,0)</f>
        <v>0</v>
      </c>
      <c r="BJ15">
        <f>IF('Pivot table values'!BE16&gt;0,1,0)</f>
        <v>0</v>
      </c>
      <c r="BK15">
        <f>IF('Pivot table values'!BF16&gt;0,1,0)</f>
        <v>1</v>
      </c>
      <c r="BL15">
        <f>IF('Pivot table values'!BG16&gt;0,1,0)</f>
        <v>0</v>
      </c>
      <c r="BM15">
        <f>IF('Pivot table values'!BH16&gt;0,1,0)</f>
        <v>0</v>
      </c>
      <c r="BN15">
        <f>IF('Pivot table values'!BI16&gt;0,1,0)</f>
        <v>0</v>
      </c>
      <c r="BO15">
        <f>IF('Pivot table values'!BJ16&gt;0,1,0)</f>
        <v>0</v>
      </c>
      <c r="BP15">
        <f>IF('Pivot table values'!BK16&gt;0,1,0)</f>
        <v>0</v>
      </c>
      <c r="BQ15">
        <f>IF('Pivot table values'!BL16&gt;0,1,0)</f>
        <v>0</v>
      </c>
      <c r="BR15">
        <f>IF('Pivot table values'!BM16&gt;0,1,0)</f>
        <v>0</v>
      </c>
      <c r="BS15">
        <f>IF('Pivot table values'!BN16&gt;0,1,0)</f>
        <v>0</v>
      </c>
      <c r="BT15">
        <f>IF('Pivot table values'!BO16&gt;0,1,0)</f>
        <v>0</v>
      </c>
      <c r="BU15">
        <f>IF('Pivot table values'!BP16&gt;0,1,0)</f>
        <v>0</v>
      </c>
      <c r="BV15">
        <f>IF('Pivot table values'!BQ16&gt;0,1,0)</f>
        <v>0</v>
      </c>
      <c r="BW15">
        <f>IF('Pivot table values'!BR16&gt;0,1,0)</f>
        <v>0</v>
      </c>
      <c r="BX15">
        <f>IF('Pivot table values'!BS16&gt;0,1,0)</f>
        <v>0</v>
      </c>
      <c r="BY15">
        <f>IF('Pivot table values'!BT16&gt;0,1,0)</f>
        <v>0</v>
      </c>
      <c r="BZ15">
        <f>IF('Pivot table values'!BU16&gt;0,1,0)</f>
        <v>0</v>
      </c>
    </row>
    <row r="16" spans="1:78" x14ac:dyDescent="0.3">
      <c r="A16" s="4" t="s">
        <v>189</v>
      </c>
      <c r="B16" s="4" t="str">
        <f>VLOOKUP($A16,Vlookup!$A$2:$E$62,2,FALSE)</f>
        <v>Dolly</v>
      </c>
      <c r="C16" s="4" t="str">
        <f>VLOOKUP($A16,Vlookup!$A$2:$E$62,3,FALSE)</f>
        <v>Hydrangea paniculata</v>
      </c>
      <c r="D16" s="4" t="str">
        <f>VLOOKUP($A16,Vlookup!$A$2:$E$62,4,FALSE)</f>
        <v>Lacy panicle</v>
      </c>
      <c r="E16" s="4" t="str">
        <f>VLOOKUP($A16,Vlookup!$A$2:$E$62,5,FALSE)</f>
        <v>Dense</v>
      </c>
      <c r="F16" s="4">
        <f t="shared" si="0"/>
        <v>9</v>
      </c>
      <c r="G16">
        <f>IF('Pivot table values'!B17&gt;0,1,0)</f>
        <v>0</v>
      </c>
      <c r="H16">
        <f>IF('Pivot table values'!C17&gt;0,1,0)</f>
        <v>0</v>
      </c>
      <c r="I16">
        <f>IF('Pivot table values'!D17&gt;0,1,0)</f>
        <v>0</v>
      </c>
      <c r="J16">
        <f>IF('Pivot table values'!E17&gt;0,1,0)</f>
        <v>0</v>
      </c>
      <c r="K16">
        <f>IF('Pivot table values'!F17&gt;0,1,0)</f>
        <v>0</v>
      </c>
      <c r="L16">
        <f>IF('Pivot table values'!G17&gt;0,1,0)</f>
        <v>0</v>
      </c>
      <c r="M16">
        <f>IF('Pivot table values'!H17&gt;0,1,0)</f>
        <v>0</v>
      </c>
      <c r="N16">
        <f>IF('Pivot table values'!I17&gt;0,1,0)</f>
        <v>0</v>
      </c>
      <c r="O16">
        <f>IF('Pivot table values'!J17&gt;0,1,0)</f>
        <v>0</v>
      </c>
      <c r="P16">
        <f>IF('Pivot table values'!K17&gt;0,1,0)</f>
        <v>0</v>
      </c>
      <c r="Q16">
        <f>IF('Pivot table values'!L17&gt;0,1,0)</f>
        <v>0</v>
      </c>
      <c r="R16">
        <f>IF('Pivot table values'!M17&gt;0,1,0)</f>
        <v>0</v>
      </c>
      <c r="S16">
        <f>IF('Pivot table values'!N17&gt;0,1,0)</f>
        <v>0</v>
      </c>
      <c r="T16">
        <f>IF('Pivot table values'!O17&gt;0,1,0)</f>
        <v>1</v>
      </c>
      <c r="U16">
        <f>IF('Pivot table values'!P17&gt;0,1,0)</f>
        <v>0</v>
      </c>
      <c r="V16">
        <f>IF('Pivot table values'!Q17&gt;0,1,0)</f>
        <v>0</v>
      </c>
      <c r="W16">
        <f>IF('Pivot table values'!R17&gt;0,1,0)</f>
        <v>0</v>
      </c>
      <c r="X16">
        <f>IF('Pivot table values'!S17&gt;0,1,0)</f>
        <v>0</v>
      </c>
      <c r="Y16">
        <f>IF('Pivot table values'!T17&gt;0,1,0)</f>
        <v>0</v>
      </c>
      <c r="Z16">
        <f>IF('Pivot table values'!U17&gt;0,1,0)</f>
        <v>0</v>
      </c>
      <c r="AA16">
        <f>IF('Pivot table values'!V17&gt;0,1,0)</f>
        <v>1</v>
      </c>
      <c r="AB16">
        <f>IF('Pivot table values'!W17&gt;0,1,0)</f>
        <v>0</v>
      </c>
      <c r="AC16">
        <f>IF('Pivot table values'!X17&gt;0,1,0)</f>
        <v>1</v>
      </c>
      <c r="AD16">
        <f>IF('Pivot table values'!Y17&gt;0,1,0)</f>
        <v>0</v>
      </c>
      <c r="AE16">
        <f>IF('Pivot table values'!Z17&gt;0,1,0)</f>
        <v>1</v>
      </c>
      <c r="AF16">
        <f>IF('Pivot table values'!AA17&gt;0,1,0)</f>
        <v>0</v>
      </c>
      <c r="AG16">
        <f>IF('Pivot table values'!AB17&gt;0,1,0)</f>
        <v>0</v>
      </c>
      <c r="AH16">
        <f>IF('Pivot table values'!AC17&gt;0,1,0)</f>
        <v>0</v>
      </c>
      <c r="AI16">
        <f>IF('Pivot table values'!AD17&gt;0,1,0)</f>
        <v>0</v>
      </c>
      <c r="AJ16">
        <f>IF('Pivot table values'!AE17&gt;0,1,0)</f>
        <v>0</v>
      </c>
      <c r="AK16">
        <f>IF('Pivot table values'!AF17&gt;0,1,0)</f>
        <v>0</v>
      </c>
      <c r="AL16">
        <f>IF('Pivot table values'!AG17&gt;0,1,0)</f>
        <v>0</v>
      </c>
      <c r="AM16">
        <f>IF('Pivot table values'!AH17&gt;0,1,0)</f>
        <v>1</v>
      </c>
      <c r="AN16">
        <f>IF('Pivot table values'!AI17&gt;0,1,0)</f>
        <v>1</v>
      </c>
      <c r="AO16">
        <f>IF('Pivot table values'!AJ17&gt;0,1,0)</f>
        <v>0</v>
      </c>
      <c r="AP16">
        <f>IF('Pivot table values'!AK17&gt;0,1,0)</f>
        <v>0</v>
      </c>
      <c r="AQ16">
        <f>IF('Pivot table values'!AL17&gt;0,1,0)</f>
        <v>0</v>
      </c>
      <c r="AR16">
        <f>IF('Pivot table values'!AM17&gt;0,1,0)</f>
        <v>0</v>
      </c>
      <c r="AS16">
        <f>IF('Pivot table values'!AN17&gt;0,1,0)</f>
        <v>0</v>
      </c>
      <c r="AT16">
        <f>IF('Pivot table values'!AO17&gt;0,1,0)</f>
        <v>0</v>
      </c>
      <c r="AU16">
        <f>IF('Pivot table values'!AP17&gt;0,1,0)</f>
        <v>0</v>
      </c>
      <c r="AV16">
        <f>IF('Pivot table values'!AQ17&gt;0,1,0)</f>
        <v>0</v>
      </c>
      <c r="AW16">
        <f>IF('Pivot table values'!AR17&gt;0,1,0)</f>
        <v>0</v>
      </c>
      <c r="AX16">
        <f>IF('Pivot table values'!AS17&gt;0,1,0)</f>
        <v>0</v>
      </c>
      <c r="AY16">
        <f>IF('Pivot table values'!AT17&gt;0,1,0)</f>
        <v>0</v>
      </c>
      <c r="AZ16">
        <f>IF('Pivot table values'!AU17&gt;0,1,0)</f>
        <v>1</v>
      </c>
      <c r="BA16">
        <f>IF('Pivot table values'!AV17&gt;0,1,0)</f>
        <v>0</v>
      </c>
      <c r="BB16">
        <f>IF('Pivot table values'!AW17&gt;0,1,0)</f>
        <v>0</v>
      </c>
      <c r="BC16">
        <f>IF('Pivot table values'!AX17&gt;0,1,0)</f>
        <v>0</v>
      </c>
      <c r="BD16">
        <f>IF('Pivot table values'!AY17&gt;0,1,0)</f>
        <v>0</v>
      </c>
      <c r="BE16">
        <f>IF('Pivot table values'!AZ17&gt;0,1,0)</f>
        <v>1</v>
      </c>
      <c r="BF16">
        <f>IF('Pivot table values'!BA17&gt;0,1,0)</f>
        <v>0</v>
      </c>
      <c r="BG16">
        <f>IF('Pivot table values'!BB17&gt;0,1,0)</f>
        <v>0</v>
      </c>
      <c r="BH16">
        <f>IF('Pivot table values'!BC17&gt;0,1,0)</f>
        <v>0</v>
      </c>
      <c r="BI16">
        <f>IF('Pivot table values'!BD17&gt;0,1,0)</f>
        <v>0</v>
      </c>
      <c r="BJ16">
        <f>IF('Pivot table values'!BE17&gt;0,1,0)</f>
        <v>0</v>
      </c>
      <c r="BK16">
        <f>IF('Pivot table values'!BF17&gt;0,1,0)</f>
        <v>0</v>
      </c>
      <c r="BL16">
        <f>IF('Pivot table values'!BG17&gt;0,1,0)</f>
        <v>0</v>
      </c>
      <c r="BM16">
        <f>IF('Pivot table values'!BH17&gt;0,1,0)</f>
        <v>0</v>
      </c>
      <c r="BN16">
        <f>IF('Pivot table values'!BI17&gt;0,1,0)</f>
        <v>1</v>
      </c>
      <c r="BO16">
        <f>IF('Pivot table values'!BJ17&gt;0,1,0)</f>
        <v>0</v>
      </c>
      <c r="BP16">
        <f>IF('Pivot table values'!BK17&gt;0,1,0)</f>
        <v>0</v>
      </c>
      <c r="BQ16">
        <f>IF('Pivot table values'!BL17&gt;0,1,0)</f>
        <v>0</v>
      </c>
      <c r="BR16">
        <f>IF('Pivot table values'!BM17&gt;0,1,0)</f>
        <v>0</v>
      </c>
      <c r="BS16">
        <f>IF('Pivot table values'!BN17&gt;0,1,0)</f>
        <v>0</v>
      </c>
      <c r="BT16">
        <f>IF('Pivot table values'!BO17&gt;0,1,0)</f>
        <v>0</v>
      </c>
      <c r="BU16">
        <f>IF('Pivot table values'!BP17&gt;0,1,0)</f>
        <v>0</v>
      </c>
      <c r="BV16">
        <f>IF('Pivot table values'!BQ17&gt;0,1,0)</f>
        <v>0</v>
      </c>
      <c r="BW16">
        <f>IF('Pivot table values'!BR17&gt;0,1,0)</f>
        <v>0</v>
      </c>
      <c r="BX16">
        <f>IF('Pivot table values'!BS17&gt;0,1,0)</f>
        <v>0</v>
      </c>
      <c r="BY16">
        <f>IF('Pivot table values'!BT17&gt;0,1,0)</f>
        <v>0</v>
      </c>
      <c r="BZ16">
        <f>IF('Pivot table values'!BU17&gt;0,1,0)</f>
        <v>0</v>
      </c>
    </row>
    <row r="17" spans="1:78" x14ac:dyDescent="0.3">
      <c r="A17" s="4" t="s">
        <v>211</v>
      </c>
      <c r="B17" s="4" t="str">
        <f>VLOOKUP($A17,Vlookup!$A$2:$E$62,2,FALSE)</f>
        <v>Green Spire</v>
      </c>
      <c r="C17" s="4" t="str">
        <f>VLOOKUP($A17,Vlookup!$A$2:$E$62,3,FALSE)</f>
        <v>Hydrangea paniculata</v>
      </c>
      <c r="D17" s="4" t="str">
        <f>VLOOKUP($A17,Vlookup!$A$2:$E$62,4,FALSE)</f>
        <v>Lacy panicle</v>
      </c>
      <c r="E17" s="4" t="str">
        <f>VLOOKUP($A17,Vlookup!$A$2:$E$62,5,FALSE)</f>
        <v>Open</v>
      </c>
      <c r="F17" s="4">
        <f t="shared" si="0"/>
        <v>4</v>
      </c>
      <c r="G17">
        <f>IF('Pivot table values'!B19&gt;0,1,0)</f>
        <v>0</v>
      </c>
      <c r="H17">
        <f>IF('Pivot table values'!C19&gt;0,1,0)</f>
        <v>0</v>
      </c>
      <c r="I17">
        <f>IF('Pivot table values'!D19&gt;0,1,0)</f>
        <v>0</v>
      </c>
      <c r="J17">
        <f>IF('Pivot table values'!E19&gt;0,1,0)</f>
        <v>0</v>
      </c>
      <c r="K17">
        <f>IF('Pivot table values'!F19&gt;0,1,0)</f>
        <v>0</v>
      </c>
      <c r="L17">
        <f>IF('Pivot table values'!G19&gt;0,1,0)</f>
        <v>0</v>
      </c>
      <c r="M17">
        <f>IF('Pivot table values'!H19&gt;0,1,0)</f>
        <v>0</v>
      </c>
      <c r="N17">
        <f>IF('Pivot table values'!I19&gt;0,1,0)</f>
        <v>0</v>
      </c>
      <c r="O17">
        <f>IF('Pivot table values'!J19&gt;0,1,0)</f>
        <v>0</v>
      </c>
      <c r="P17">
        <f>IF('Pivot table values'!K19&gt;0,1,0)</f>
        <v>0</v>
      </c>
      <c r="Q17">
        <f>IF('Pivot table values'!L19&gt;0,1,0)</f>
        <v>0</v>
      </c>
      <c r="R17">
        <f>IF('Pivot table values'!M19&gt;0,1,0)</f>
        <v>0</v>
      </c>
      <c r="S17">
        <f>IF('Pivot table values'!N19&gt;0,1,0)</f>
        <v>0</v>
      </c>
      <c r="T17">
        <f>IF('Pivot table values'!O19&gt;0,1,0)</f>
        <v>0</v>
      </c>
      <c r="U17">
        <f>IF('Pivot table values'!P19&gt;0,1,0)</f>
        <v>0</v>
      </c>
      <c r="V17">
        <f>IF('Pivot table values'!Q19&gt;0,1,0)</f>
        <v>0</v>
      </c>
      <c r="W17">
        <f>IF('Pivot table values'!R19&gt;0,1,0)</f>
        <v>0</v>
      </c>
      <c r="X17">
        <f>IF('Pivot table values'!S19&gt;0,1,0)</f>
        <v>0</v>
      </c>
      <c r="Y17">
        <f>IF('Pivot table values'!T19&gt;0,1,0)</f>
        <v>0</v>
      </c>
      <c r="Z17">
        <f>IF('Pivot table values'!U19&gt;0,1,0)</f>
        <v>0</v>
      </c>
      <c r="AA17">
        <f>IF('Pivot table values'!V19&gt;0,1,0)</f>
        <v>0</v>
      </c>
      <c r="AB17">
        <f>IF('Pivot table values'!W19&gt;0,1,0)</f>
        <v>0</v>
      </c>
      <c r="AC17">
        <f>IF('Pivot table values'!X19&gt;0,1,0)</f>
        <v>0</v>
      </c>
      <c r="AD17">
        <f>IF('Pivot table values'!Y19&gt;0,1,0)</f>
        <v>0</v>
      </c>
      <c r="AE17">
        <f>IF('Pivot table values'!Z19&gt;0,1,0)</f>
        <v>0</v>
      </c>
      <c r="AF17">
        <f>IF('Pivot table values'!AA19&gt;0,1,0)</f>
        <v>0</v>
      </c>
      <c r="AG17">
        <f>IF('Pivot table values'!AB19&gt;0,1,0)</f>
        <v>0</v>
      </c>
      <c r="AH17">
        <f>IF('Pivot table values'!AC19&gt;0,1,0)</f>
        <v>0</v>
      </c>
      <c r="AI17">
        <f>IF('Pivot table values'!AD19&gt;0,1,0)</f>
        <v>0</v>
      </c>
      <c r="AJ17">
        <f>IF('Pivot table values'!AE19&gt;0,1,0)</f>
        <v>0</v>
      </c>
      <c r="AK17">
        <f>IF('Pivot table values'!AF19&gt;0,1,0)</f>
        <v>0</v>
      </c>
      <c r="AL17">
        <f>IF('Pivot table values'!AG19&gt;0,1,0)</f>
        <v>0</v>
      </c>
      <c r="AM17">
        <f>IF('Pivot table values'!AH19&gt;0,1,0)</f>
        <v>0</v>
      </c>
      <c r="AN17">
        <f>IF('Pivot table values'!AI19&gt;0,1,0)</f>
        <v>0</v>
      </c>
      <c r="AO17">
        <f>IF('Pivot table values'!AJ19&gt;0,1,0)</f>
        <v>0</v>
      </c>
      <c r="AP17">
        <f>IF('Pivot table values'!AK19&gt;0,1,0)</f>
        <v>0</v>
      </c>
      <c r="AQ17">
        <f>IF('Pivot table values'!AL19&gt;0,1,0)</f>
        <v>0</v>
      </c>
      <c r="AR17">
        <f>IF('Pivot table values'!AM19&gt;0,1,0)</f>
        <v>0</v>
      </c>
      <c r="AS17">
        <f>IF('Pivot table values'!AN19&gt;0,1,0)</f>
        <v>0</v>
      </c>
      <c r="AT17">
        <f>IF('Pivot table values'!AO19&gt;0,1,0)</f>
        <v>0</v>
      </c>
      <c r="AU17">
        <f>IF('Pivot table values'!AP19&gt;0,1,0)</f>
        <v>0</v>
      </c>
      <c r="AV17">
        <f>IF('Pivot table values'!AQ19&gt;0,1,0)</f>
        <v>0</v>
      </c>
      <c r="AW17">
        <f>IF('Pivot table values'!AR19&gt;0,1,0)</f>
        <v>0</v>
      </c>
      <c r="AX17">
        <f>IF('Pivot table values'!AS19&gt;0,1,0)</f>
        <v>0</v>
      </c>
      <c r="AY17">
        <f>IF('Pivot table values'!AT19&gt;0,1,0)</f>
        <v>0</v>
      </c>
      <c r="AZ17">
        <f>IF('Pivot table values'!AU19&gt;0,1,0)</f>
        <v>0</v>
      </c>
      <c r="BA17">
        <f>IF('Pivot table values'!AV19&gt;0,1,0)</f>
        <v>0</v>
      </c>
      <c r="BB17">
        <f>IF('Pivot table values'!AW19&gt;0,1,0)</f>
        <v>0</v>
      </c>
      <c r="BC17">
        <f>IF('Pivot table values'!AX19&gt;0,1,0)</f>
        <v>0</v>
      </c>
      <c r="BD17">
        <f>IF('Pivot table values'!AY19&gt;0,1,0)</f>
        <v>0</v>
      </c>
      <c r="BE17">
        <f>IF('Pivot table values'!AZ19&gt;0,1,0)</f>
        <v>1</v>
      </c>
      <c r="BF17">
        <f>IF('Pivot table values'!BA19&gt;0,1,0)</f>
        <v>0</v>
      </c>
      <c r="BG17">
        <f>IF('Pivot table values'!BB19&gt;0,1,0)</f>
        <v>0</v>
      </c>
      <c r="BH17">
        <f>IF('Pivot table values'!BC19&gt;0,1,0)</f>
        <v>0</v>
      </c>
      <c r="BI17">
        <f>IF('Pivot table values'!BD19&gt;0,1,0)</f>
        <v>0</v>
      </c>
      <c r="BJ17">
        <f>IF('Pivot table values'!BE19&gt;0,1,0)</f>
        <v>0</v>
      </c>
      <c r="BK17">
        <f>IF('Pivot table values'!BF19&gt;0,1,0)</f>
        <v>1</v>
      </c>
      <c r="BL17">
        <f>IF('Pivot table values'!BG19&gt;0,1,0)</f>
        <v>0</v>
      </c>
      <c r="BM17">
        <f>IF('Pivot table values'!BH19&gt;0,1,0)</f>
        <v>0</v>
      </c>
      <c r="BN17">
        <f>IF('Pivot table values'!BI19&gt;0,1,0)</f>
        <v>1</v>
      </c>
      <c r="BO17">
        <f>IF('Pivot table values'!BJ19&gt;0,1,0)</f>
        <v>0</v>
      </c>
      <c r="BP17">
        <f>IF('Pivot table values'!BK19&gt;0,1,0)</f>
        <v>0</v>
      </c>
      <c r="BQ17">
        <f>IF('Pivot table values'!BL19&gt;0,1,0)</f>
        <v>0</v>
      </c>
      <c r="BR17">
        <f>IF('Pivot table values'!BM19&gt;0,1,0)</f>
        <v>0</v>
      </c>
      <c r="BS17">
        <f>IF('Pivot table values'!BN19&gt;0,1,0)</f>
        <v>0</v>
      </c>
      <c r="BT17">
        <f>IF('Pivot table values'!BO19&gt;0,1,0)</f>
        <v>0</v>
      </c>
      <c r="BU17">
        <f>IF('Pivot table values'!BP19&gt;0,1,0)</f>
        <v>0</v>
      </c>
      <c r="BV17">
        <f>IF('Pivot table values'!BQ19&gt;0,1,0)</f>
        <v>0</v>
      </c>
      <c r="BW17">
        <f>IF('Pivot table values'!BR19&gt;0,1,0)</f>
        <v>1</v>
      </c>
      <c r="BX17">
        <f>IF('Pivot table values'!BS19&gt;0,1,0)</f>
        <v>0</v>
      </c>
      <c r="BY17">
        <f>IF('Pivot table values'!BT19&gt;0,1,0)</f>
        <v>0</v>
      </c>
      <c r="BZ17">
        <f>IF('Pivot table values'!BU19&gt;0,1,0)</f>
        <v>0</v>
      </c>
    </row>
    <row r="18" spans="1:78" x14ac:dyDescent="0.3">
      <c r="A18" s="4" t="s">
        <v>203</v>
      </c>
      <c r="B18" s="4" t="str">
        <f>VLOOKUP($A18,Vlookup!$A$2:$E$62,2,FALSE)</f>
        <v>Pink Lady</v>
      </c>
      <c r="C18" s="4" t="str">
        <f>VLOOKUP($A18,Vlookup!$A$2:$E$62,3,FALSE)</f>
        <v>Hydrangea paniculata</v>
      </c>
      <c r="D18" s="4" t="str">
        <f>VLOOKUP($A18,Vlookup!$A$2:$E$62,4,FALSE)</f>
        <v>Mop-like panicle</v>
      </c>
      <c r="E18" s="4" t="str">
        <f>VLOOKUP($A18,Vlookup!$A$2:$E$62,5,FALSE)</f>
        <v>Dense</v>
      </c>
      <c r="F18" s="4">
        <f t="shared" si="0"/>
        <v>8</v>
      </c>
      <c r="G18">
        <f>IF('Pivot table values'!B20&gt;0,1,0)</f>
        <v>0</v>
      </c>
      <c r="H18">
        <f>IF('Pivot table values'!C20&gt;0,1,0)</f>
        <v>0</v>
      </c>
      <c r="I18">
        <f>IF('Pivot table values'!D20&gt;0,1,0)</f>
        <v>0</v>
      </c>
      <c r="J18">
        <f>IF('Pivot table values'!E20&gt;0,1,0)</f>
        <v>0</v>
      </c>
      <c r="K18">
        <f>IF('Pivot table values'!F20&gt;0,1,0)</f>
        <v>0</v>
      </c>
      <c r="L18">
        <f>IF('Pivot table values'!G20&gt;0,1,0)</f>
        <v>0</v>
      </c>
      <c r="M18">
        <f>IF('Pivot table values'!H20&gt;0,1,0)</f>
        <v>0</v>
      </c>
      <c r="N18">
        <f>IF('Pivot table values'!I20&gt;0,1,0)</f>
        <v>0</v>
      </c>
      <c r="O18">
        <f>IF('Pivot table values'!J20&gt;0,1,0)</f>
        <v>0</v>
      </c>
      <c r="P18">
        <f>IF('Pivot table values'!K20&gt;0,1,0)</f>
        <v>0</v>
      </c>
      <c r="Q18">
        <f>IF('Pivot table values'!L20&gt;0,1,0)</f>
        <v>0</v>
      </c>
      <c r="R18">
        <f>IF('Pivot table values'!M20&gt;0,1,0)</f>
        <v>0</v>
      </c>
      <c r="S18">
        <f>IF('Pivot table values'!N20&gt;0,1,0)</f>
        <v>0</v>
      </c>
      <c r="T18">
        <f>IF('Pivot table values'!O20&gt;0,1,0)</f>
        <v>0</v>
      </c>
      <c r="U18">
        <f>IF('Pivot table values'!P20&gt;0,1,0)</f>
        <v>0</v>
      </c>
      <c r="V18">
        <f>IF('Pivot table values'!Q20&gt;0,1,0)</f>
        <v>0</v>
      </c>
      <c r="W18">
        <f>IF('Pivot table values'!R20&gt;0,1,0)</f>
        <v>0</v>
      </c>
      <c r="X18">
        <f>IF('Pivot table values'!S20&gt;0,1,0)</f>
        <v>1</v>
      </c>
      <c r="Y18">
        <f>IF('Pivot table values'!T20&gt;0,1,0)</f>
        <v>0</v>
      </c>
      <c r="Z18">
        <f>IF('Pivot table values'!U20&gt;0,1,0)</f>
        <v>0</v>
      </c>
      <c r="AA18">
        <f>IF('Pivot table values'!V20&gt;0,1,0)</f>
        <v>0</v>
      </c>
      <c r="AB18">
        <f>IF('Pivot table values'!W20&gt;0,1,0)</f>
        <v>0</v>
      </c>
      <c r="AC18">
        <f>IF('Pivot table values'!X20&gt;0,1,0)</f>
        <v>1</v>
      </c>
      <c r="AD18">
        <f>IF('Pivot table values'!Y20&gt;0,1,0)</f>
        <v>0</v>
      </c>
      <c r="AE18">
        <f>IF('Pivot table values'!Z20&gt;0,1,0)</f>
        <v>0</v>
      </c>
      <c r="AF18">
        <f>IF('Pivot table values'!AA20&gt;0,1,0)</f>
        <v>0</v>
      </c>
      <c r="AG18">
        <f>IF('Pivot table values'!AB20&gt;0,1,0)</f>
        <v>0</v>
      </c>
      <c r="AH18">
        <f>IF('Pivot table values'!AC20&gt;0,1,0)</f>
        <v>0</v>
      </c>
      <c r="AI18">
        <f>IF('Pivot table values'!AD20&gt;0,1,0)</f>
        <v>0</v>
      </c>
      <c r="AJ18">
        <f>IF('Pivot table values'!AE20&gt;0,1,0)</f>
        <v>1</v>
      </c>
      <c r="AK18">
        <f>IF('Pivot table values'!AF20&gt;0,1,0)</f>
        <v>0</v>
      </c>
      <c r="AL18">
        <f>IF('Pivot table values'!AG20&gt;0,1,0)</f>
        <v>0</v>
      </c>
      <c r="AM18">
        <f>IF('Pivot table values'!AH20&gt;0,1,0)</f>
        <v>1</v>
      </c>
      <c r="AN18">
        <f>IF('Pivot table values'!AI20&gt;0,1,0)</f>
        <v>1</v>
      </c>
      <c r="AO18">
        <f>IF('Pivot table values'!AJ20&gt;0,1,0)</f>
        <v>0</v>
      </c>
      <c r="AP18">
        <f>IF('Pivot table values'!AK20&gt;0,1,0)</f>
        <v>0</v>
      </c>
      <c r="AQ18">
        <f>IF('Pivot table values'!AL20&gt;0,1,0)</f>
        <v>0</v>
      </c>
      <c r="AR18">
        <f>IF('Pivot table values'!AM20&gt;0,1,0)</f>
        <v>0</v>
      </c>
      <c r="AS18">
        <f>IF('Pivot table values'!AN20&gt;0,1,0)</f>
        <v>0</v>
      </c>
      <c r="AT18">
        <f>IF('Pivot table values'!AO20&gt;0,1,0)</f>
        <v>0</v>
      </c>
      <c r="AU18">
        <f>IF('Pivot table values'!AP20&gt;0,1,0)</f>
        <v>0</v>
      </c>
      <c r="AV18">
        <f>IF('Pivot table values'!AQ20&gt;0,1,0)</f>
        <v>0</v>
      </c>
      <c r="AW18">
        <f>IF('Pivot table values'!AR20&gt;0,1,0)</f>
        <v>0</v>
      </c>
      <c r="AX18">
        <f>IF('Pivot table values'!AS20&gt;0,1,0)</f>
        <v>0</v>
      </c>
      <c r="AY18">
        <f>IF('Pivot table values'!AT20&gt;0,1,0)</f>
        <v>0</v>
      </c>
      <c r="AZ18">
        <f>IF('Pivot table values'!AU20&gt;0,1,0)</f>
        <v>0</v>
      </c>
      <c r="BA18">
        <f>IF('Pivot table values'!AV20&gt;0,1,0)</f>
        <v>0</v>
      </c>
      <c r="BB18">
        <f>IF('Pivot table values'!AW20&gt;0,1,0)</f>
        <v>0</v>
      </c>
      <c r="BC18">
        <f>IF('Pivot table values'!AX20&gt;0,1,0)</f>
        <v>0</v>
      </c>
      <c r="BD18">
        <f>IF('Pivot table values'!AY20&gt;0,1,0)</f>
        <v>0</v>
      </c>
      <c r="BE18">
        <f>IF('Pivot table values'!AZ20&gt;0,1,0)</f>
        <v>0</v>
      </c>
      <c r="BF18">
        <f>IF('Pivot table values'!BA20&gt;0,1,0)</f>
        <v>0</v>
      </c>
      <c r="BG18">
        <f>IF('Pivot table values'!BB20&gt;0,1,0)</f>
        <v>0</v>
      </c>
      <c r="BH18">
        <f>IF('Pivot table values'!BC20&gt;0,1,0)</f>
        <v>1</v>
      </c>
      <c r="BI18">
        <f>IF('Pivot table values'!BD20&gt;0,1,0)</f>
        <v>0</v>
      </c>
      <c r="BJ18">
        <f>IF('Pivot table values'!BE20&gt;0,1,0)</f>
        <v>0</v>
      </c>
      <c r="BK18">
        <f>IF('Pivot table values'!BF20&gt;0,1,0)</f>
        <v>0</v>
      </c>
      <c r="BL18">
        <f>IF('Pivot table values'!BG20&gt;0,1,0)</f>
        <v>0</v>
      </c>
      <c r="BM18">
        <f>IF('Pivot table values'!BH20&gt;0,1,0)</f>
        <v>1</v>
      </c>
      <c r="BN18">
        <f>IF('Pivot table values'!BI20&gt;0,1,0)</f>
        <v>1</v>
      </c>
      <c r="BO18">
        <f>IF('Pivot table values'!BJ20&gt;0,1,0)</f>
        <v>0</v>
      </c>
      <c r="BP18">
        <f>IF('Pivot table values'!BK20&gt;0,1,0)</f>
        <v>0</v>
      </c>
      <c r="BQ18">
        <f>IF('Pivot table values'!BL20&gt;0,1,0)</f>
        <v>0</v>
      </c>
      <c r="BR18">
        <f>IF('Pivot table values'!BM20&gt;0,1,0)</f>
        <v>0</v>
      </c>
      <c r="BS18">
        <f>IF('Pivot table values'!BN20&gt;0,1,0)</f>
        <v>0</v>
      </c>
      <c r="BT18">
        <f>IF('Pivot table values'!BO20&gt;0,1,0)</f>
        <v>0</v>
      </c>
      <c r="BU18">
        <f>IF('Pivot table values'!BP20&gt;0,1,0)</f>
        <v>0</v>
      </c>
      <c r="BV18">
        <f>IF('Pivot table values'!BQ20&gt;0,1,0)</f>
        <v>0</v>
      </c>
      <c r="BW18">
        <f>IF('Pivot table values'!BR20&gt;0,1,0)</f>
        <v>0</v>
      </c>
      <c r="BX18">
        <f>IF('Pivot table values'!BS20&gt;0,1,0)</f>
        <v>0</v>
      </c>
      <c r="BY18">
        <f>IF('Pivot table values'!BT20&gt;0,1,0)</f>
        <v>0</v>
      </c>
      <c r="BZ18">
        <f>IF('Pivot table values'!BU20&gt;0,1,0)</f>
        <v>0</v>
      </c>
    </row>
    <row r="19" spans="1:78" x14ac:dyDescent="0.3">
      <c r="A19" s="4" t="s">
        <v>164</v>
      </c>
      <c r="B19" s="4" t="str">
        <f>VLOOKUP($A19,Vlookup!$A$2:$E$62,2,FALSE)</f>
        <v>Bobo</v>
      </c>
      <c r="C19" s="4" t="str">
        <f>VLOOKUP($A19,Vlookup!$A$2:$E$62,3,FALSE)</f>
        <v>Hydrangea paniculata</v>
      </c>
      <c r="D19" s="4" t="str">
        <f>VLOOKUP($A19,Vlookup!$A$2:$E$62,4,FALSE)</f>
        <v>Mop-like panicle</v>
      </c>
      <c r="E19" s="4" t="str">
        <f>VLOOKUP($A19,Vlookup!$A$2:$E$62,5,FALSE)</f>
        <v>Half-open</v>
      </c>
      <c r="F19" s="4">
        <f t="shared" si="0"/>
        <v>10</v>
      </c>
      <c r="G19">
        <f>IF('Pivot table values'!B21&gt;0,1,0)</f>
        <v>0</v>
      </c>
      <c r="H19">
        <f>IF('Pivot table values'!C21&gt;0,1,0)</f>
        <v>0</v>
      </c>
      <c r="I19">
        <f>IF('Pivot table values'!D21&gt;0,1,0)</f>
        <v>0</v>
      </c>
      <c r="J19">
        <f>IF('Pivot table values'!E21&gt;0,1,0)</f>
        <v>0</v>
      </c>
      <c r="K19">
        <f>IF('Pivot table values'!F21&gt;0,1,0)</f>
        <v>0</v>
      </c>
      <c r="L19">
        <f>IF('Pivot table values'!G21&gt;0,1,0)</f>
        <v>0</v>
      </c>
      <c r="M19">
        <f>IF('Pivot table values'!H21&gt;0,1,0)</f>
        <v>0</v>
      </c>
      <c r="N19">
        <f>IF('Pivot table values'!I21&gt;0,1,0)</f>
        <v>1</v>
      </c>
      <c r="O19">
        <f>IF('Pivot table values'!J21&gt;0,1,0)</f>
        <v>0</v>
      </c>
      <c r="P19">
        <f>IF('Pivot table values'!K21&gt;0,1,0)</f>
        <v>0</v>
      </c>
      <c r="Q19">
        <f>IF('Pivot table values'!L21&gt;0,1,0)</f>
        <v>0</v>
      </c>
      <c r="R19">
        <f>IF('Pivot table values'!M21&gt;0,1,0)</f>
        <v>0</v>
      </c>
      <c r="S19">
        <f>IF('Pivot table values'!N21&gt;0,1,0)</f>
        <v>1</v>
      </c>
      <c r="T19">
        <f>IF('Pivot table values'!O21&gt;0,1,0)</f>
        <v>0</v>
      </c>
      <c r="U19">
        <f>IF('Pivot table values'!P21&gt;0,1,0)</f>
        <v>0</v>
      </c>
      <c r="V19">
        <f>IF('Pivot table values'!Q21&gt;0,1,0)</f>
        <v>0</v>
      </c>
      <c r="W19">
        <f>IF('Pivot table values'!R21&gt;0,1,0)</f>
        <v>1</v>
      </c>
      <c r="X19">
        <f>IF('Pivot table values'!S21&gt;0,1,0)</f>
        <v>1</v>
      </c>
      <c r="Y19">
        <f>IF('Pivot table values'!T21&gt;0,1,0)</f>
        <v>0</v>
      </c>
      <c r="Z19">
        <f>IF('Pivot table values'!U21&gt;0,1,0)</f>
        <v>0</v>
      </c>
      <c r="AA19">
        <f>IF('Pivot table values'!V21&gt;0,1,0)</f>
        <v>1</v>
      </c>
      <c r="AB19">
        <f>IF('Pivot table values'!W21&gt;0,1,0)</f>
        <v>0</v>
      </c>
      <c r="AC19">
        <f>IF('Pivot table values'!X21&gt;0,1,0)</f>
        <v>1</v>
      </c>
      <c r="AD19">
        <f>IF('Pivot table values'!Y21&gt;0,1,0)</f>
        <v>0</v>
      </c>
      <c r="AE19">
        <f>IF('Pivot table values'!Z21&gt;0,1,0)</f>
        <v>0</v>
      </c>
      <c r="AF19">
        <f>IF('Pivot table values'!AA21&gt;0,1,0)</f>
        <v>0</v>
      </c>
      <c r="AG19">
        <f>IF('Pivot table values'!AB21&gt;0,1,0)</f>
        <v>0</v>
      </c>
      <c r="AH19">
        <f>IF('Pivot table values'!AC21&gt;0,1,0)</f>
        <v>0</v>
      </c>
      <c r="AI19">
        <f>IF('Pivot table values'!AD21&gt;0,1,0)</f>
        <v>0</v>
      </c>
      <c r="AJ19">
        <f>IF('Pivot table values'!AE21&gt;0,1,0)</f>
        <v>0</v>
      </c>
      <c r="AK19">
        <f>IF('Pivot table values'!AF21&gt;0,1,0)</f>
        <v>0</v>
      </c>
      <c r="AL19">
        <f>IF('Pivot table values'!AG21&gt;0,1,0)</f>
        <v>0</v>
      </c>
      <c r="AM19">
        <f>IF('Pivot table values'!AH21&gt;0,1,0)</f>
        <v>1</v>
      </c>
      <c r="AN19">
        <f>IF('Pivot table values'!AI21&gt;0,1,0)</f>
        <v>1</v>
      </c>
      <c r="AO19">
        <f>IF('Pivot table values'!AJ21&gt;0,1,0)</f>
        <v>0</v>
      </c>
      <c r="AP19">
        <f>IF('Pivot table values'!AK21&gt;0,1,0)</f>
        <v>0</v>
      </c>
      <c r="AQ19">
        <f>IF('Pivot table values'!AL21&gt;0,1,0)</f>
        <v>0</v>
      </c>
      <c r="AR19">
        <f>IF('Pivot table values'!AM21&gt;0,1,0)</f>
        <v>0</v>
      </c>
      <c r="AS19">
        <f>IF('Pivot table values'!AN21&gt;0,1,0)</f>
        <v>0</v>
      </c>
      <c r="AT19">
        <f>IF('Pivot table values'!AO21&gt;0,1,0)</f>
        <v>0</v>
      </c>
      <c r="AU19">
        <f>IF('Pivot table values'!AP21&gt;0,1,0)</f>
        <v>0</v>
      </c>
      <c r="AV19">
        <f>IF('Pivot table values'!AQ21&gt;0,1,0)</f>
        <v>0</v>
      </c>
      <c r="AW19">
        <f>IF('Pivot table values'!AR21&gt;0,1,0)</f>
        <v>0</v>
      </c>
      <c r="AX19">
        <f>IF('Pivot table values'!AS21&gt;0,1,0)</f>
        <v>0</v>
      </c>
      <c r="AY19">
        <f>IF('Pivot table values'!AT21&gt;0,1,0)</f>
        <v>0</v>
      </c>
      <c r="AZ19">
        <f>IF('Pivot table values'!AU21&gt;0,1,0)</f>
        <v>0</v>
      </c>
      <c r="BA19">
        <f>IF('Pivot table values'!AV21&gt;0,1,0)</f>
        <v>0</v>
      </c>
      <c r="BB19">
        <f>IF('Pivot table values'!AW21&gt;0,1,0)</f>
        <v>0</v>
      </c>
      <c r="BC19">
        <f>IF('Pivot table values'!AX21&gt;0,1,0)</f>
        <v>0</v>
      </c>
      <c r="BD19">
        <f>IF('Pivot table values'!AY21&gt;0,1,0)</f>
        <v>0</v>
      </c>
      <c r="BE19">
        <f>IF('Pivot table values'!AZ21&gt;0,1,0)</f>
        <v>1</v>
      </c>
      <c r="BF19">
        <f>IF('Pivot table values'!BA21&gt;0,1,0)</f>
        <v>0</v>
      </c>
      <c r="BG19">
        <f>IF('Pivot table values'!BB21&gt;0,1,0)</f>
        <v>0</v>
      </c>
      <c r="BH19">
        <f>IF('Pivot table values'!BC21&gt;0,1,0)</f>
        <v>0</v>
      </c>
      <c r="BI19">
        <f>IF('Pivot table values'!BD21&gt;0,1,0)</f>
        <v>0</v>
      </c>
      <c r="BJ19">
        <f>IF('Pivot table values'!BE21&gt;0,1,0)</f>
        <v>0</v>
      </c>
      <c r="BK19">
        <f>IF('Pivot table values'!BF21&gt;0,1,0)</f>
        <v>0</v>
      </c>
      <c r="BL19">
        <f>IF('Pivot table values'!BG21&gt;0,1,0)</f>
        <v>0</v>
      </c>
      <c r="BM19">
        <f>IF('Pivot table values'!BH21&gt;0,1,0)</f>
        <v>0</v>
      </c>
      <c r="BN19">
        <f>IF('Pivot table values'!BI21&gt;0,1,0)</f>
        <v>1</v>
      </c>
      <c r="BO19">
        <f>IF('Pivot table values'!BJ21&gt;0,1,0)</f>
        <v>0</v>
      </c>
      <c r="BP19">
        <f>IF('Pivot table values'!BK21&gt;0,1,0)</f>
        <v>0</v>
      </c>
      <c r="BQ19">
        <f>IF('Pivot table values'!BL21&gt;0,1,0)</f>
        <v>0</v>
      </c>
      <c r="BR19">
        <f>IF('Pivot table values'!BM21&gt;0,1,0)</f>
        <v>0</v>
      </c>
      <c r="BS19">
        <f>IF('Pivot table values'!BN21&gt;0,1,0)</f>
        <v>0</v>
      </c>
      <c r="BT19">
        <f>IF('Pivot table values'!BO21&gt;0,1,0)</f>
        <v>0</v>
      </c>
      <c r="BU19">
        <f>IF('Pivot table values'!BP21&gt;0,1,0)</f>
        <v>0</v>
      </c>
      <c r="BV19">
        <f>IF('Pivot table values'!BQ21&gt;0,1,0)</f>
        <v>0</v>
      </c>
      <c r="BW19">
        <f>IF('Pivot table values'!BR21&gt;0,1,0)</f>
        <v>0</v>
      </c>
      <c r="BX19">
        <f>IF('Pivot table values'!BS21&gt;0,1,0)</f>
        <v>0</v>
      </c>
      <c r="BY19">
        <f>IF('Pivot table values'!BT21&gt;0,1,0)</f>
        <v>0</v>
      </c>
      <c r="BZ19">
        <f>IF('Pivot table values'!BU21&gt;0,1,0)</f>
        <v>0</v>
      </c>
    </row>
    <row r="20" spans="1:78" x14ac:dyDescent="0.3">
      <c r="A20" s="4" t="s">
        <v>173</v>
      </c>
      <c r="B20" s="4" t="str">
        <f>VLOOKUP($A20,Vlookup!$A$2:$E$62,2,FALSE)</f>
        <v>Puffer Fish</v>
      </c>
      <c r="C20" s="4" t="str">
        <f>VLOOKUP($A20,Vlookup!$A$2:$E$62,3,FALSE)</f>
        <v>Hydrangea paniculata</v>
      </c>
      <c r="D20" s="4" t="str">
        <f>VLOOKUP($A20,Vlookup!$A$2:$E$62,4,FALSE)</f>
        <v>Mop-like panicle</v>
      </c>
      <c r="E20" s="4" t="str">
        <f>VLOOKUP($A20,Vlookup!$A$2:$E$62,5,FALSE)</f>
        <v>Half-open</v>
      </c>
      <c r="F20" s="4">
        <f t="shared" si="0"/>
        <v>10</v>
      </c>
      <c r="G20">
        <f>IF('Pivot table values'!B22&gt;0,1,0)</f>
        <v>0</v>
      </c>
      <c r="H20">
        <f>IF('Pivot table values'!C22&gt;0,1,0)</f>
        <v>0</v>
      </c>
      <c r="I20">
        <f>IF('Pivot table values'!D22&gt;0,1,0)</f>
        <v>0</v>
      </c>
      <c r="J20">
        <f>IF('Pivot table values'!E22&gt;0,1,0)</f>
        <v>0</v>
      </c>
      <c r="K20">
        <f>IF('Pivot table values'!F22&gt;0,1,0)</f>
        <v>0</v>
      </c>
      <c r="L20">
        <f>IF('Pivot table values'!G22&gt;0,1,0)</f>
        <v>0</v>
      </c>
      <c r="M20">
        <f>IF('Pivot table values'!H22&gt;0,1,0)</f>
        <v>0</v>
      </c>
      <c r="N20">
        <f>IF('Pivot table values'!I22&gt;0,1,0)</f>
        <v>0</v>
      </c>
      <c r="O20">
        <f>IF('Pivot table values'!J22&gt;0,1,0)</f>
        <v>0</v>
      </c>
      <c r="P20">
        <f>IF('Pivot table values'!K22&gt;0,1,0)</f>
        <v>0</v>
      </c>
      <c r="Q20">
        <f>IF('Pivot table values'!L22&gt;0,1,0)</f>
        <v>0</v>
      </c>
      <c r="R20">
        <f>IF('Pivot table values'!M22&gt;0,1,0)</f>
        <v>0</v>
      </c>
      <c r="S20">
        <f>IF('Pivot table values'!N22&gt;0,1,0)</f>
        <v>0</v>
      </c>
      <c r="T20">
        <f>IF('Pivot table values'!O22&gt;0,1,0)</f>
        <v>0</v>
      </c>
      <c r="U20">
        <f>IF('Pivot table values'!P22&gt;0,1,0)</f>
        <v>0</v>
      </c>
      <c r="V20">
        <f>IF('Pivot table values'!Q22&gt;0,1,0)</f>
        <v>0</v>
      </c>
      <c r="W20">
        <f>IF('Pivot table values'!R22&gt;0,1,0)</f>
        <v>0</v>
      </c>
      <c r="X20">
        <f>IF('Pivot table values'!S22&gt;0,1,0)</f>
        <v>1</v>
      </c>
      <c r="Y20">
        <f>IF('Pivot table values'!T22&gt;0,1,0)</f>
        <v>0</v>
      </c>
      <c r="Z20">
        <f>IF('Pivot table values'!U22&gt;0,1,0)</f>
        <v>0</v>
      </c>
      <c r="AA20">
        <f>IF('Pivot table values'!V22&gt;0,1,0)</f>
        <v>0</v>
      </c>
      <c r="AB20">
        <f>IF('Pivot table values'!W22&gt;0,1,0)</f>
        <v>0</v>
      </c>
      <c r="AC20">
        <f>IF('Pivot table values'!X22&gt;0,1,0)</f>
        <v>1</v>
      </c>
      <c r="AD20">
        <f>IF('Pivot table values'!Y22&gt;0,1,0)</f>
        <v>0</v>
      </c>
      <c r="AE20">
        <f>IF('Pivot table values'!Z22&gt;0,1,0)</f>
        <v>0</v>
      </c>
      <c r="AF20">
        <f>IF('Pivot table values'!AA22&gt;0,1,0)</f>
        <v>0</v>
      </c>
      <c r="AG20">
        <f>IF('Pivot table values'!AB22&gt;0,1,0)</f>
        <v>1</v>
      </c>
      <c r="AH20">
        <f>IF('Pivot table values'!AC22&gt;0,1,0)</f>
        <v>0</v>
      </c>
      <c r="AI20">
        <f>IF('Pivot table values'!AD22&gt;0,1,0)</f>
        <v>0</v>
      </c>
      <c r="AJ20">
        <f>IF('Pivot table values'!AE22&gt;0,1,0)</f>
        <v>1</v>
      </c>
      <c r="AK20">
        <f>IF('Pivot table values'!AF22&gt;0,1,0)</f>
        <v>0</v>
      </c>
      <c r="AL20">
        <f>IF('Pivot table values'!AG22&gt;0,1,0)</f>
        <v>0</v>
      </c>
      <c r="AM20">
        <f>IF('Pivot table values'!AH22&gt;0,1,0)</f>
        <v>1</v>
      </c>
      <c r="AN20">
        <f>IF('Pivot table values'!AI22&gt;0,1,0)</f>
        <v>1</v>
      </c>
      <c r="AO20">
        <f>IF('Pivot table values'!AJ22&gt;0,1,0)</f>
        <v>0</v>
      </c>
      <c r="AP20">
        <f>IF('Pivot table values'!AK22&gt;0,1,0)</f>
        <v>0</v>
      </c>
      <c r="AQ20">
        <f>IF('Pivot table values'!AL22&gt;0,1,0)</f>
        <v>0</v>
      </c>
      <c r="AR20">
        <f>IF('Pivot table values'!AM22&gt;0,1,0)</f>
        <v>0</v>
      </c>
      <c r="AS20">
        <f>IF('Pivot table values'!AN22&gt;0,1,0)</f>
        <v>0</v>
      </c>
      <c r="AT20">
        <f>IF('Pivot table values'!AO22&gt;0,1,0)</f>
        <v>0</v>
      </c>
      <c r="AU20">
        <f>IF('Pivot table values'!AP22&gt;0,1,0)</f>
        <v>0</v>
      </c>
      <c r="AV20">
        <f>IF('Pivot table values'!AQ22&gt;0,1,0)</f>
        <v>0</v>
      </c>
      <c r="AW20">
        <f>IF('Pivot table values'!AR22&gt;0,1,0)</f>
        <v>0</v>
      </c>
      <c r="AX20">
        <f>IF('Pivot table values'!AS22&gt;0,1,0)</f>
        <v>0</v>
      </c>
      <c r="AY20">
        <f>IF('Pivot table values'!AT22&gt;0,1,0)</f>
        <v>0</v>
      </c>
      <c r="AZ20">
        <f>IF('Pivot table values'!AU22&gt;0,1,0)</f>
        <v>0</v>
      </c>
      <c r="BA20">
        <f>IF('Pivot table values'!AV22&gt;0,1,0)</f>
        <v>0</v>
      </c>
      <c r="BB20">
        <f>IF('Pivot table values'!AW22&gt;0,1,0)</f>
        <v>0</v>
      </c>
      <c r="BC20">
        <f>IF('Pivot table values'!AX22&gt;0,1,0)</f>
        <v>0</v>
      </c>
      <c r="BD20">
        <f>IF('Pivot table values'!AY22&gt;0,1,0)</f>
        <v>0</v>
      </c>
      <c r="BE20">
        <f>IF('Pivot table values'!AZ22&gt;0,1,0)</f>
        <v>0</v>
      </c>
      <c r="BF20">
        <f>IF('Pivot table values'!BA22&gt;0,1,0)</f>
        <v>0</v>
      </c>
      <c r="BG20">
        <f>IF('Pivot table values'!BB22&gt;0,1,0)</f>
        <v>0</v>
      </c>
      <c r="BH20">
        <f>IF('Pivot table values'!BC22&gt;0,1,0)</f>
        <v>1</v>
      </c>
      <c r="BI20">
        <f>IF('Pivot table values'!BD22&gt;0,1,0)</f>
        <v>0</v>
      </c>
      <c r="BJ20">
        <f>IF('Pivot table values'!BE22&gt;0,1,0)</f>
        <v>1</v>
      </c>
      <c r="BK20">
        <f>IF('Pivot table values'!BF22&gt;0,1,0)</f>
        <v>1</v>
      </c>
      <c r="BL20">
        <f>IF('Pivot table values'!BG22&gt;0,1,0)</f>
        <v>0</v>
      </c>
      <c r="BM20">
        <f>IF('Pivot table values'!BH22&gt;0,1,0)</f>
        <v>0</v>
      </c>
      <c r="BN20">
        <f>IF('Pivot table values'!BI22&gt;0,1,0)</f>
        <v>1</v>
      </c>
      <c r="BO20">
        <f>IF('Pivot table values'!BJ22&gt;0,1,0)</f>
        <v>0</v>
      </c>
      <c r="BP20">
        <f>IF('Pivot table values'!BK22&gt;0,1,0)</f>
        <v>0</v>
      </c>
      <c r="BQ20">
        <f>IF('Pivot table values'!BL22&gt;0,1,0)</f>
        <v>0</v>
      </c>
      <c r="BR20">
        <f>IF('Pivot table values'!BM22&gt;0,1,0)</f>
        <v>0</v>
      </c>
      <c r="BS20">
        <f>IF('Pivot table values'!BN22&gt;0,1,0)</f>
        <v>0</v>
      </c>
      <c r="BT20">
        <f>IF('Pivot table values'!BO22&gt;0,1,0)</f>
        <v>0</v>
      </c>
      <c r="BU20">
        <f>IF('Pivot table values'!BP22&gt;0,1,0)</f>
        <v>0</v>
      </c>
      <c r="BV20">
        <f>IF('Pivot table values'!BQ22&gt;0,1,0)</f>
        <v>0</v>
      </c>
      <c r="BW20">
        <f>IF('Pivot table values'!BR22&gt;0,1,0)</f>
        <v>0</v>
      </c>
      <c r="BX20">
        <f>IF('Pivot table values'!BS22&gt;0,1,0)</f>
        <v>0</v>
      </c>
      <c r="BY20">
        <f>IF('Pivot table values'!BT22&gt;0,1,0)</f>
        <v>0</v>
      </c>
      <c r="BZ20">
        <f>IF('Pivot table values'!BU22&gt;0,1,0)</f>
        <v>0</v>
      </c>
    </row>
    <row r="21" spans="1:78" x14ac:dyDescent="0.3">
      <c r="A21" s="4" t="s">
        <v>156</v>
      </c>
      <c r="B21" s="4" t="str">
        <f>VLOOKUP($A21,Vlookup!$A$2:$E$62,2,FALSE)</f>
        <v>Strawberry Shake</v>
      </c>
      <c r="C21" s="4" t="str">
        <f>VLOOKUP($A21,Vlookup!$A$2:$E$62,3,FALSE)</f>
        <v>Hydrangea paniculata</v>
      </c>
      <c r="D21" s="4" t="str">
        <f>VLOOKUP($A21,Vlookup!$A$2:$E$62,4,FALSE)</f>
        <v>Mop-like panicle</v>
      </c>
      <c r="E21" s="4" t="str">
        <f>VLOOKUP($A21,Vlookup!$A$2:$E$62,5,FALSE)</f>
        <v>Very dense</v>
      </c>
      <c r="F21" s="4">
        <f t="shared" si="0"/>
        <v>9</v>
      </c>
      <c r="G21">
        <f>IF('Pivot table values'!B23&gt;0,1,0)</f>
        <v>0</v>
      </c>
      <c r="H21">
        <f>IF('Pivot table values'!C23&gt;0,1,0)</f>
        <v>0</v>
      </c>
      <c r="I21">
        <f>IF('Pivot table values'!D23&gt;0,1,0)</f>
        <v>0</v>
      </c>
      <c r="J21">
        <f>IF('Pivot table values'!E23&gt;0,1,0)</f>
        <v>0</v>
      </c>
      <c r="K21">
        <f>IF('Pivot table values'!F23&gt;0,1,0)</f>
        <v>0</v>
      </c>
      <c r="L21">
        <f>IF('Pivot table values'!G23&gt;0,1,0)</f>
        <v>0</v>
      </c>
      <c r="M21">
        <f>IF('Pivot table values'!H23&gt;0,1,0)</f>
        <v>0</v>
      </c>
      <c r="N21">
        <f>IF('Pivot table values'!I23&gt;0,1,0)</f>
        <v>0</v>
      </c>
      <c r="O21">
        <f>IF('Pivot table values'!J23&gt;0,1,0)</f>
        <v>0</v>
      </c>
      <c r="P21">
        <f>IF('Pivot table values'!K23&gt;0,1,0)</f>
        <v>0</v>
      </c>
      <c r="Q21">
        <f>IF('Pivot table values'!L23&gt;0,1,0)</f>
        <v>0</v>
      </c>
      <c r="R21">
        <f>IF('Pivot table values'!M23&gt;0,1,0)</f>
        <v>0</v>
      </c>
      <c r="S21">
        <f>IF('Pivot table values'!N23&gt;0,1,0)</f>
        <v>1</v>
      </c>
      <c r="T21">
        <f>IF('Pivot table values'!O23&gt;0,1,0)</f>
        <v>1</v>
      </c>
      <c r="U21">
        <f>IF('Pivot table values'!P23&gt;0,1,0)</f>
        <v>0</v>
      </c>
      <c r="V21">
        <f>IF('Pivot table values'!Q23&gt;0,1,0)</f>
        <v>0</v>
      </c>
      <c r="W21">
        <f>IF('Pivot table values'!R23&gt;0,1,0)</f>
        <v>1</v>
      </c>
      <c r="X21">
        <f>IF('Pivot table values'!S23&gt;0,1,0)</f>
        <v>0</v>
      </c>
      <c r="Y21">
        <f>IF('Pivot table values'!T23&gt;0,1,0)</f>
        <v>0</v>
      </c>
      <c r="Z21">
        <f>IF('Pivot table values'!U23&gt;0,1,0)</f>
        <v>0</v>
      </c>
      <c r="AA21">
        <f>IF('Pivot table values'!V23&gt;0,1,0)</f>
        <v>1</v>
      </c>
      <c r="AB21">
        <f>IF('Pivot table values'!W23&gt;0,1,0)</f>
        <v>0</v>
      </c>
      <c r="AC21">
        <f>IF('Pivot table values'!X23&gt;0,1,0)</f>
        <v>1</v>
      </c>
      <c r="AD21">
        <f>IF('Pivot table values'!Y23&gt;0,1,0)</f>
        <v>0</v>
      </c>
      <c r="AE21">
        <f>IF('Pivot table values'!Z23&gt;0,1,0)</f>
        <v>0</v>
      </c>
      <c r="AF21">
        <f>IF('Pivot table values'!AA23&gt;0,1,0)</f>
        <v>0</v>
      </c>
      <c r="AG21">
        <f>IF('Pivot table values'!AB23&gt;0,1,0)</f>
        <v>0</v>
      </c>
      <c r="AH21">
        <f>IF('Pivot table values'!AC23&gt;0,1,0)</f>
        <v>0</v>
      </c>
      <c r="AI21">
        <f>IF('Pivot table values'!AD23&gt;0,1,0)</f>
        <v>0</v>
      </c>
      <c r="AJ21">
        <f>IF('Pivot table values'!AE23&gt;0,1,0)</f>
        <v>1</v>
      </c>
      <c r="AK21">
        <f>IF('Pivot table values'!AF23&gt;0,1,0)</f>
        <v>0</v>
      </c>
      <c r="AL21">
        <f>IF('Pivot table values'!AG23&gt;0,1,0)</f>
        <v>0</v>
      </c>
      <c r="AM21">
        <f>IF('Pivot table values'!AH23&gt;0,1,0)</f>
        <v>0</v>
      </c>
      <c r="AN21">
        <f>IF('Pivot table values'!AI23&gt;0,1,0)</f>
        <v>1</v>
      </c>
      <c r="AO21">
        <f>IF('Pivot table values'!AJ23&gt;0,1,0)</f>
        <v>0</v>
      </c>
      <c r="AP21">
        <f>IF('Pivot table values'!AK23&gt;0,1,0)</f>
        <v>0</v>
      </c>
      <c r="AQ21">
        <f>IF('Pivot table values'!AL23&gt;0,1,0)</f>
        <v>0</v>
      </c>
      <c r="AR21">
        <f>IF('Pivot table values'!AM23&gt;0,1,0)</f>
        <v>0</v>
      </c>
      <c r="AS21">
        <f>IF('Pivot table values'!AN23&gt;0,1,0)</f>
        <v>0</v>
      </c>
      <c r="AT21">
        <f>IF('Pivot table values'!AO23&gt;0,1,0)</f>
        <v>0</v>
      </c>
      <c r="AU21">
        <f>IF('Pivot table values'!AP23&gt;0,1,0)</f>
        <v>0</v>
      </c>
      <c r="AV21">
        <f>IF('Pivot table values'!AQ23&gt;0,1,0)</f>
        <v>0</v>
      </c>
      <c r="AW21">
        <f>IF('Pivot table values'!AR23&gt;0,1,0)</f>
        <v>0</v>
      </c>
      <c r="AX21">
        <f>IF('Pivot table values'!AS23&gt;0,1,0)</f>
        <v>0</v>
      </c>
      <c r="AY21">
        <f>IF('Pivot table values'!AT23&gt;0,1,0)</f>
        <v>0</v>
      </c>
      <c r="AZ21">
        <f>IF('Pivot table values'!AU23&gt;0,1,0)</f>
        <v>0</v>
      </c>
      <c r="BA21">
        <f>IF('Pivot table values'!AV23&gt;0,1,0)</f>
        <v>0</v>
      </c>
      <c r="BB21">
        <f>IF('Pivot table values'!AW23&gt;0,1,0)</f>
        <v>0</v>
      </c>
      <c r="BC21">
        <f>IF('Pivot table values'!AX23&gt;0,1,0)</f>
        <v>0</v>
      </c>
      <c r="BD21">
        <f>IF('Pivot table values'!AY23&gt;0,1,0)</f>
        <v>0</v>
      </c>
      <c r="BE21">
        <f>IF('Pivot table values'!AZ23&gt;0,1,0)</f>
        <v>0</v>
      </c>
      <c r="BF21">
        <f>IF('Pivot table values'!BA23&gt;0,1,0)</f>
        <v>0</v>
      </c>
      <c r="BG21">
        <f>IF('Pivot table values'!BB23&gt;0,1,0)</f>
        <v>0</v>
      </c>
      <c r="BH21">
        <f>IF('Pivot table values'!BC23&gt;0,1,0)</f>
        <v>0</v>
      </c>
      <c r="BI21">
        <f>IF('Pivot table values'!BD23&gt;0,1,0)</f>
        <v>0</v>
      </c>
      <c r="BJ21">
        <f>IF('Pivot table values'!BE23&gt;0,1,0)</f>
        <v>0</v>
      </c>
      <c r="BK21">
        <f>IF('Pivot table values'!BF23&gt;0,1,0)</f>
        <v>0</v>
      </c>
      <c r="BL21">
        <f>IF('Pivot table values'!BG23&gt;0,1,0)</f>
        <v>0</v>
      </c>
      <c r="BM21">
        <f>IF('Pivot table values'!BH23&gt;0,1,0)</f>
        <v>0</v>
      </c>
      <c r="BN21">
        <f>IF('Pivot table values'!BI23&gt;0,1,0)</f>
        <v>1</v>
      </c>
      <c r="BO21">
        <f>IF('Pivot table values'!BJ23&gt;0,1,0)</f>
        <v>0</v>
      </c>
      <c r="BP21">
        <f>IF('Pivot table values'!BK23&gt;0,1,0)</f>
        <v>0</v>
      </c>
      <c r="BQ21">
        <f>IF('Pivot table values'!BL23&gt;0,1,0)</f>
        <v>0</v>
      </c>
      <c r="BR21">
        <f>IF('Pivot table values'!BM23&gt;0,1,0)</f>
        <v>0</v>
      </c>
      <c r="BS21">
        <f>IF('Pivot table values'!BN23&gt;0,1,0)</f>
        <v>0</v>
      </c>
      <c r="BT21">
        <f>IF('Pivot table values'!BO23&gt;0,1,0)</f>
        <v>0</v>
      </c>
      <c r="BU21">
        <f>IF('Pivot table values'!BP23&gt;0,1,0)</f>
        <v>1</v>
      </c>
      <c r="BV21">
        <f>IF('Pivot table values'!BQ23&gt;0,1,0)</f>
        <v>0</v>
      </c>
      <c r="BW21">
        <f>IF('Pivot table values'!BR23&gt;0,1,0)</f>
        <v>0</v>
      </c>
      <c r="BX21">
        <f>IF('Pivot table values'!BS23&gt;0,1,0)</f>
        <v>0</v>
      </c>
      <c r="BY21">
        <f>IF('Pivot table values'!BT23&gt;0,1,0)</f>
        <v>0</v>
      </c>
      <c r="BZ21">
        <f>IF('Pivot table values'!BU23&gt;0,1,0)</f>
        <v>0</v>
      </c>
    </row>
    <row r="22" spans="1:78" x14ac:dyDescent="0.3">
      <c r="A22" s="4" t="s">
        <v>195</v>
      </c>
      <c r="B22" s="4" t="str">
        <f>VLOOKUP($A22,Vlookup!$A$2:$E$62,2,FALSE)</f>
        <v>Angel's Blush</v>
      </c>
      <c r="C22" s="4" t="str">
        <f>VLOOKUP($A22,Vlookup!$A$2:$E$62,3,FALSE)</f>
        <v>Hydrangea paniculata</v>
      </c>
      <c r="D22" s="4" t="str">
        <f>VLOOKUP($A22,Vlookup!$A$2:$E$62,4,FALSE)</f>
        <v>Lacy panicle</v>
      </c>
      <c r="E22" s="4" t="str">
        <f>VLOOKUP($A22,Vlookup!$A$2:$E$62,5,FALSE)</f>
        <v>Unknown</v>
      </c>
      <c r="F22" s="4">
        <f t="shared" si="0"/>
        <v>5</v>
      </c>
      <c r="G22">
        <f>IF('Pivot table values'!B24&gt;0,1,0)</f>
        <v>0</v>
      </c>
      <c r="H22">
        <f>IF('Pivot table values'!C24&gt;0,1,0)</f>
        <v>0</v>
      </c>
      <c r="I22">
        <f>IF('Pivot table values'!D24&gt;0,1,0)</f>
        <v>0</v>
      </c>
      <c r="J22">
        <f>IF('Pivot table values'!E24&gt;0,1,0)</f>
        <v>0</v>
      </c>
      <c r="K22">
        <f>IF('Pivot table values'!F24&gt;0,1,0)</f>
        <v>0</v>
      </c>
      <c r="L22">
        <f>IF('Pivot table values'!G24&gt;0,1,0)</f>
        <v>0</v>
      </c>
      <c r="M22">
        <f>IF('Pivot table values'!H24&gt;0,1,0)</f>
        <v>0</v>
      </c>
      <c r="N22">
        <f>IF('Pivot table values'!I24&gt;0,1,0)</f>
        <v>0</v>
      </c>
      <c r="O22">
        <f>IF('Pivot table values'!J24&gt;0,1,0)</f>
        <v>0</v>
      </c>
      <c r="P22">
        <f>IF('Pivot table values'!K24&gt;0,1,0)</f>
        <v>0</v>
      </c>
      <c r="Q22">
        <f>IF('Pivot table values'!L24&gt;0,1,0)</f>
        <v>0</v>
      </c>
      <c r="R22">
        <f>IF('Pivot table values'!M24&gt;0,1,0)</f>
        <v>0</v>
      </c>
      <c r="S22">
        <f>IF('Pivot table values'!N24&gt;0,1,0)</f>
        <v>0</v>
      </c>
      <c r="T22">
        <f>IF('Pivot table values'!O24&gt;0,1,0)</f>
        <v>0</v>
      </c>
      <c r="U22">
        <f>IF('Pivot table values'!P24&gt;0,1,0)</f>
        <v>0</v>
      </c>
      <c r="V22">
        <f>IF('Pivot table values'!Q24&gt;0,1,0)</f>
        <v>0</v>
      </c>
      <c r="W22">
        <f>IF('Pivot table values'!R24&gt;0,1,0)</f>
        <v>1</v>
      </c>
      <c r="X22">
        <f>IF('Pivot table values'!S24&gt;0,1,0)</f>
        <v>0</v>
      </c>
      <c r="Y22">
        <f>IF('Pivot table values'!T24&gt;0,1,0)</f>
        <v>0</v>
      </c>
      <c r="Z22">
        <f>IF('Pivot table values'!U24&gt;0,1,0)</f>
        <v>0</v>
      </c>
      <c r="AA22">
        <f>IF('Pivot table values'!V24&gt;0,1,0)</f>
        <v>1</v>
      </c>
      <c r="AB22">
        <f>IF('Pivot table values'!W24&gt;0,1,0)</f>
        <v>0</v>
      </c>
      <c r="AC22">
        <f>IF('Pivot table values'!X24&gt;0,1,0)</f>
        <v>1</v>
      </c>
      <c r="AD22">
        <f>IF('Pivot table values'!Y24&gt;0,1,0)</f>
        <v>0</v>
      </c>
      <c r="AE22">
        <f>IF('Pivot table values'!Z24&gt;0,1,0)</f>
        <v>0</v>
      </c>
      <c r="AF22">
        <f>IF('Pivot table values'!AA24&gt;0,1,0)</f>
        <v>0</v>
      </c>
      <c r="AG22">
        <f>IF('Pivot table values'!AB24&gt;0,1,0)</f>
        <v>0</v>
      </c>
      <c r="AH22">
        <f>IF('Pivot table values'!AC24&gt;0,1,0)</f>
        <v>0</v>
      </c>
      <c r="AI22">
        <f>IF('Pivot table values'!AD24&gt;0,1,0)</f>
        <v>0</v>
      </c>
      <c r="AJ22">
        <f>IF('Pivot table values'!AE24&gt;0,1,0)</f>
        <v>0</v>
      </c>
      <c r="AK22">
        <f>IF('Pivot table values'!AF24&gt;0,1,0)</f>
        <v>0</v>
      </c>
      <c r="AL22">
        <f>IF('Pivot table values'!AG24&gt;0,1,0)</f>
        <v>0</v>
      </c>
      <c r="AM22">
        <f>IF('Pivot table values'!AH24&gt;0,1,0)</f>
        <v>1</v>
      </c>
      <c r="AN22">
        <f>IF('Pivot table values'!AI24&gt;0,1,0)</f>
        <v>0</v>
      </c>
      <c r="AO22">
        <f>IF('Pivot table values'!AJ24&gt;0,1,0)</f>
        <v>0</v>
      </c>
      <c r="AP22">
        <f>IF('Pivot table values'!AK24&gt;0,1,0)</f>
        <v>0</v>
      </c>
      <c r="AQ22">
        <f>IF('Pivot table values'!AL24&gt;0,1,0)</f>
        <v>0</v>
      </c>
      <c r="AR22">
        <f>IF('Pivot table values'!AM24&gt;0,1,0)</f>
        <v>0</v>
      </c>
      <c r="AS22">
        <f>IF('Pivot table values'!AN24&gt;0,1,0)</f>
        <v>0</v>
      </c>
      <c r="AT22">
        <f>IF('Pivot table values'!AO24&gt;0,1,0)</f>
        <v>0</v>
      </c>
      <c r="AU22">
        <f>IF('Pivot table values'!AP24&gt;0,1,0)</f>
        <v>0</v>
      </c>
      <c r="AV22">
        <f>IF('Pivot table values'!AQ24&gt;0,1,0)</f>
        <v>0</v>
      </c>
      <c r="AW22">
        <f>IF('Pivot table values'!AR24&gt;0,1,0)</f>
        <v>0</v>
      </c>
      <c r="AX22">
        <f>IF('Pivot table values'!AS24&gt;0,1,0)</f>
        <v>0</v>
      </c>
      <c r="AY22">
        <f>IF('Pivot table values'!AT24&gt;0,1,0)</f>
        <v>0</v>
      </c>
      <c r="AZ22">
        <f>IF('Pivot table values'!AU24&gt;0,1,0)</f>
        <v>0</v>
      </c>
      <c r="BA22">
        <f>IF('Pivot table values'!AV24&gt;0,1,0)</f>
        <v>0</v>
      </c>
      <c r="BB22">
        <f>IF('Pivot table values'!AW24&gt;0,1,0)</f>
        <v>0</v>
      </c>
      <c r="BC22">
        <f>IF('Pivot table values'!AX24&gt;0,1,0)</f>
        <v>0</v>
      </c>
      <c r="BD22">
        <f>IF('Pivot table values'!AY24&gt;0,1,0)</f>
        <v>0</v>
      </c>
      <c r="BE22">
        <f>IF('Pivot table values'!AZ24&gt;0,1,0)</f>
        <v>0</v>
      </c>
      <c r="BF22">
        <f>IF('Pivot table values'!BA24&gt;0,1,0)</f>
        <v>0</v>
      </c>
      <c r="BG22">
        <f>IF('Pivot table values'!BB24&gt;0,1,0)</f>
        <v>0</v>
      </c>
      <c r="BH22">
        <f>IF('Pivot table values'!BC24&gt;0,1,0)</f>
        <v>0</v>
      </c>
      <c r="BI22">
        <f>IF('Pivot table values'!BD24&gt;0,1,0)</f>
        <v>0</v>
      </c>
      <c r="BJ22">
        <f>IF('Pivot table values'!BE24&gt;0,1,0)</f>
        <v>0</v>
      </c>
      <c r="BK22">
        <f>IF('Pivot table values'!BF24&gt;0,1,0)</f>
        <v>0</v>
      </c>
      <c r="BL22">
        <f>IF('Pivot table values'!BG24&gt;0,1,0)</f>
        <v>0</v>
      </c>
      <c r="BM22">
        <f>IF('Pivot table values'!BH24&gt;0,1,0)</f>
        <v>0</v>
      </c>
      <c r="BN22">
        <f>IF('Pivot table values'!BI24&gt;0,1,0)</f>
        <v>1</v>
      </c>
      <c r="BO22">
        <f>IF('Pivot table values'!BJ24&gt;0,1,0)</f>
        <v>0</v>
      </c>
      <c r="BP22">
        <f>IF('Pivot table values'!BK24&gt;0,1,0)</f>
        <v>0</v>
      </c>
      <c r="BQ22">
        <f>IF('Pivot table values'!BL24&gt;0,1,0)</f>
        <v>0</v>
      </c>
      <c r="BR22">
        <f>IF('Pivot table values'!BM24&gt;0,1,0)</f>
        <v>0</v>
      </c>
      <c r="BS22">
        <f>IF('Pivot table values'!BN24&gt;0,1,0)</f>
        <v>0</v>
      </c>
      <c r="BT22">
        <f>IF('Pivot table values'!BO24&gt;0,1,0)</f>
        <v>0</v>
      </c>
      <c r="BU22">
        <f>IF('Pivot table values'!BP24&gt;0,1,0)</f>
        <v>0</v>
      </c>
      <c r="BV22">
        <f>IF('Pivot table values'!BQ24&gt;0,1,0)</f>
        <v>0</v>
      </c>
      <c r="BW22">
        <f>IF('Pivot table values'!BR24&gt;0,1,0)</f>
        <v>0</v>
      </c>
      <c r="BX22">
        <f>IF('Pivot table values'!BS24&gt;0,1,0)</f>
        <v>0</v>
      </c>
      <c r="BY22">
        <f>IF('Pivot table values'!BT24&gt;0,1,0)</f>
        <v>0</v>
      </c>
      <c r="BZ22">
        <f>IF('Pivot table values'!BU24&gt;0,1,0)</f>
        <v>0</v>
      </c>
    </row>
    <row r="23" spans="1:78" x14ac:dyDescent="0.3">
      <c r="A23" s="4" t="s">
        <v>208</v>
      </c>
      <c r="B23" s="4" t="str">
        <f>VLOOKUP($A23,Vlookup!$A$2:$E$62,2,FALSE)</f>
        <v>Floribunda</v>
      </c>
      <c r="C23" s="4" t="str">
        <f>VLOOKUP($A23,Vlookup!$A$2:$E$62,3,FALSE)</f>
        <v>Hydrangea paniculata</v>
      </c>
      <c r="D23" s="4" t="str">
        <f>VLOOKUP($A23,Vlookup!$A$2:$E$62,4,FALSE)</f>
        <v>Lacy panicle</v>
      </c>
      <c r="E23" s="4" t="str">
        <f>VLOOKUP($A23,Vlookup!$A$2:$E$62,5,FALSE)</f>
        <v>Open</v>
      </c>
      <c r="F23" s="4">
        <f t="shared" si="0"/>
        <v>7</v>
      </c>
      <c r="G23">
        <f>IF('Pivot table values'!B25&gt;0,1,0)</f>
        <v>0</v>
      </c>
      <c r="H23">
        <f>IF('Pivot table values'!C25&gt;0,1,0)</f>
        <v>0</v>
      </c>
      <c r="I23">
        <f>IF('Pivot table values'!D25&gt;0,1,0)</f>
        <v>1</v>
      </c>
      <c r="J23">
        <f>IF('Pivot table values'!E25&gt;0,1,0)</f>
        <v>0</v>
      </c>
      <c r="K23">
        <f>IF('Pivot table values'!F25&gt;0,1,0)</f>
        <v>0</v>
      </c>
      <c r="L23">
        <f>IF('Pivot table values'!G25&gt;0,1,0)</f>
        <v>1</v>
      </c>
      <c r="M23">
        <f>IF('Pivot table values'!H25&gt;0,1,0)</f>
        <v>0</v>
      </c>
      <c r="N23">
        <f>IF('Pivot table values'!I25&gt;0,1,0)</f>
        <v>0</v>
      </c>
      <c r="O23">
        <f>IF('Pivot table values'!J25&gt;0,1,0)</f>
        <v>0</v>
      </c>
      <c r="P23">
        <f>IF('Pivot table values'!K25&gt;0,1,0)</f>
        <v>0</v>
      </c>
      <c r="Q23">
        <f>IF('Pivot table values'!L25&gt;0,1,0)</f>
        <v>0</v>
      </c>
      <c r="R23">
        <f>IF('Pivot table values'!M25&gt;0,1,0)</f>
        <v>0</v>
      </c>
      <c r="S23">
        <f>IF('Pivot table values'!N25&gt;0,1,0)</f>
        <v>0</v>
      </c>
      <c r="T23">
        <f>IF('Pivot table values'!O25&gt;0,1,0)</f>
        <v>0</v>
      </c>
      <c r="U23">
        <f>IF('Pivot table values'!P25&gt;0,1,0)</f>
        <v>0</v>
      </c>
      <c r="V23">
        <f>IF('Pivot table values'!Q25&gt;0,1,0)</f>
        <v>0</v>
      </c>
      <c r="W23">
        <f>IF('Pivot table values'!R25&gt;0,1,0)</f>
        <v>0</v>
      </c>
      <c r="X23">
        <f>IF('Pivot table values'!S25&gt;0,1,0)</f>
        <v>0</v>
      </c>
      <c r="Y23">
        <f>IF('Pivot table values'!T25&gt;0,1,0)</f>
        <v>0</v>
      </c>
      <c r="Z23">
        <f>IF('Pivot table values'!U25&gt;0,1,0)</f>
        <v>0</v>
      </c>
      <c r="AA23">
        <f>IF('Pivot table values'!V25&gt;0,1,0)</f>
        <v>0</v>
      </c>
      <c r="AB23">
        <f>IF('Pivot table values'!W25&gt;0,1,0)</f>
        <v>0</v>
      </c>
      <c r="AC23">
        <f>IF('Pivot table values'!X25&gt;0,1,0)</f>
        <v>1</v>
      </c>
      <c r="AD23">
        <f>IF('Pivot table values'!Y25&gt;0,1,0)</f>
        <v>0</v>
      </c>
      <c r="AE23">
        <f>IF('Pivot table values'!Z25&gt;0,1,0)</f>
        <v>0</v>
      </c>
      <c r="AF23">
        <f>IF('Pivot table values'!AA25&gt;0,1,0)</f>
        <v>0</v>
      </c>
      <c r="AG23">
        <f>IF('Pivot table values'!AB25&gt;0,1,0)</f>
        <v>0</v>
      </c>
      <c r="AH23">
        <f>IF('Pivot table values'!AC25&gt;0,1,0)</f>
        <v>0</v>
      </c>
      <c r="AI23">
        <f>IF('Pivot table values'!AD25&gt;0,1,0)</f>
        <v>0</v>
      </c>
      <c r="AJ23">
        <f>IF('Pivot table values'!AE25&gt;0,1,0)</f>
        <v>0</v>
      </c>
      <c r="AK23">
        <f>IF('Pivot table values'!AF25&gt;0,1,0)</f>
        <v>0</v>
      </c>
      <c r="AL23">
        <f>IF('Pivot table values'!AG25&gt;0,1,0)</f>
        <v>0</v>
      </c>
      <c r="AM23">
        <f>IF('Pivot table values'!AH25&gt;0,1,0)</f>
        <v>1</v>
      </c>
      <c r="AN23">
        <f>IF('Pivot table values'!AI25&gt;0,1,0)</f>
        <v>0</v>
      </c>
      <c r="AO23">
        <f>IF('Pivot table values'!AJ25&gt;0,1,0)</f>
        <v>0</v>
      </c>
      <c r="AP23">
        <f>IF('Pivot table values'!AK25&gt;0,1,0)</f>
        <v>0</v>
      </c>
      <c r="AQ23">
        <f>IF('Pivot table values'!AL25&gt;0,1,0)</f>
        <v>0</v>
      </c>
      <c r="AR23">
        <f>IF('Pivot table values'!AM25&gt;0,1,0)</f>
        <v>0</v>
      </c>
      <c r="AS23">
        <f>IF('Pivot table values'!AN25&gt;0,1,0)</f>
        <v>0</v>
      </c>
      <c r="AT23">
        <f>IF('Pivot table values'!AO25&gt;0,1,0)</f>
        <v>0</v>
      </c>
      <c r="AU23">
        <f>IF('Pivot table values'!AP25&gt;0,1,0)</f>
        <v>0</v>
      </c>
      <c r="AV23">
        <f>IF('Pivot table values'!AQ25&gt;0,1,0)</f>
        <v>0</v>
      </c>
      <c r="AW23">
        <f>IF('Pivot table values'!AR25&gt;0,1,0)</f>
        <v>0</v>
      </c>
      <c r="AX23">
        <f>IF('Pivot table values'!AS25&gt;0,1,0)</f>
        <v>0</v>
      </c>
      <c r="AY23">
        <f>IF('Pivot table values'!AT25&gt;0,1,0)</f>
        <v>0</v>
      </c>
      <c r="AZ23">
        <f>IF('Pivot table values'!AU25&gt;0,1,0)</f>
        <v>1</v>
      </c>
      <c r="BA23">
        <f>IF('Pivot table values'!AV25&gt;0,1,0)</f>
        <v>0</v>
      </c>
      <c r="BB23">
        <f>IF('Pivot table values'!AW25&gt;0,1,0)</f>
        <v>0</v>
      </c>
      <c r="BC23">
        <f>IF('Pivot table values'!AX25&gt;0,1,0)</f>
        <v>0</v>
      </c>
      <c r="BD23">
        <f>IF('Pivot table values'!AY25&gt;0,1,0)</f>
        <v>0</v>
      </c>
      <c r="BE23">
        <f>IF('Pivot table values'!AZ25&gt;0,1,0)</f>
        <v>1</v>
      </c>
      <c r="BF23">
        <f>IF('Pivot table values'!BA25&gt;0,1,0)</f>
        <v>0</v>
      </c>
      <c r="BG23">
        <f>IF('Pivot table values'!BB25&gt;0,1,0)</f>
        <v>0</v>
      </c>
      <c r="BH23">
        <f>IF('Pivot table values'!BC25&gt;0,1,0)</f>
        <v>0</v>
      </c>
      <c r="BI23">
        <f>IF('Pivot table values'!BD25&gt;0,1,0)</f>
        <v>0</v>
      </c>
      <c r="BJ23">
        <f>IF('Pivot table values'!BE25&gt;0,1,0)</f>
        <v>0</v>
      </c>
      <c r="BK23">
        <f>IF('Pivot table values'!BF25&gt;0,1,0)</f>
        <v>0</v>
      </c>
      <c r="BL23">
        <f>IF('Pivot table values'!BG25&gt;0,1,0)</f>
        <v>0</v>
      </c>
      <c r="BM23">
        <f>IF('Pivot table values'!BH25&gt;0,1,0)</f>
        <v>0</v>
      </c>
      <c r="BN23">
        <f>IF('Pivot table values'!BI25&gt;0,1,0)</f>
        <v>1</v>
      </c>
      <c r="BO23">
        <f>IF('Pivot table values'!BJ25&gt;0,1,0)</f>
        <v>0</v>
      </c>
      <c r="BP23">
        <f>IF('Pivot table values'!BK25&gt;0,1,0)</f>
        <v>0</v>
      </c>
      <c r="BQ23">
        <f>IF('Pivot table values'!BL25&gt;0,1,0)</f>
        <v>0</v>
      </c>
      <c r="BR23">
        <f>IF('Pivot table values'!BM25&gt;0,1,0)</f>
        <v>0</v>
      </c>
      <c r="BS23">
        <f>IF('Pivot table values'!BN25&gt;0,1,0)</f>
        <v>0</v>
      </c>
      <c r="BT23">
        <f>IF('Pivot table values'!BO25&gt;0,1,0)</f>
        <v>0</v>
      </c>
      <c r="BU23">
        <f>IF('Pivot table values'!BP25&gt;0,1,0)</f>
        <v>0</v>
      </c>
      <c r="BV23">
        <f>IF('Pivot table values'!BQ25&gt;0,1,0)</f>
        <v>0</v>
      </c>
      <c r="BW23">
        <f>IF('Pivot table values'!BR25&gt;0,1,0)</f>
        <v>0</v>
      </c>
      <c r="BX23">
        <f>IF('Pivot table values'!BS25&gt;0,1,0)</f>
        <v>0</v>
      </c>
      <c r="BY23">
        <f>IF('Pivot table values'!BT25&gt;0,1,0)</f>
        <v>0</v>
      </c>
      <c r="BZ23">
        <f>IF('Pivot table values'!BU25&gt;0,1,0)</f>
        <v>0</v>
      </c>
    </row>
    <row r="24" spans="1:78" x14ac:dyDescent="0.3">
      <c r="A24" s="4" t="s">
        <v>172</v>
      </c>
      <c r="B24" s="4" t="str">
        <f>VLOOKUP($A24,Vlookup!$A$2:$E$62,2,FALSE)</f>
        <v>Early Evolution</v>
      </c>
      <c r="C24" s="4" t="str">
        <f>VLOOKUP($A24,Vlookup!$A$2:$E$62,3,FALSE)</f>
        <v>Hydrangea paniculata</v>
      </c>
      <c r="D24" s="4" t="str">
        <f>VLOOKUP($A24,Vlookup!$A$2:$E$62,4,FALSE)</f>
        <v>Lacy panicle</v>
      </c>
      <c r="E24" s="4" t="str">
        <f>VLOOKUP($A24,Vlookup!$A$2:$E$62,5,FALSE)</f>
        <v>Dense</v>
      </c>
      <c r="F24" s="4">
        <f t="shared" si="0"/>
        <v>2</v>
      </c>
      <c r="G24">
        <f>IF('Pivot table values'!B26&gt;0,1,0)</f>
        <v>0</v>
      </c>
      <c r="H24">
        <f>IF('Pivot table values'!C26&gt;0,1,0)</f>
        <v>0</v>
      </c>
      <c r="I24">
        <f>IF('Pivot table values'!D26&gt;0,1,0)</f>
        <v>0</v>
      </c>
      <c r="J24">
        <f>IF('Pivot table values'!E26&gt;0,1,0)</f>
        <v>0</v>
      </c>
      <c r="K24">
        <f>IF('Pivot table values'!F26&gt;0,1,0)</f>
        <v>0</v>
      </c>
      <c r="L24">
        <f>IF('Pivot table values'!G26&gt;0,1,0)</f>
        <v>0</v>
      </c>
      <c r="M24">
        <f>IF('Pivot table values'!H26&gt;0,1,0)</f>
        <v>0</v>
      </c>
      <c r="N24">
        <f>IF('Pivot table values'!I26&gt;0,1,0)</f>
        <v>0</v>
      </c>
      <c r="O24">
        <f>IF('Pivot table values'!J26&gt;0,1,0)</f>
        <v>0</v>
      </c>
      <c r="P24">
        <f>IF('Pivot table values'!K26&gt;0,1,0)</f>
        <v>0</v>
      </c>
      <c r="Q24">
        <f>IF('Pivot table values'!L26&gt;0,1,0)</f>
        <v>0</v>
      </c>
      <c r="R24">
        <f>IF('Pivot table values'!M26&gt;0,1,0)</f>
        <v>0</v>
      </c>
      <c r="S24">
        <f>IF('Pivot table values'!N26&gt;0,1,0)</f>
        <v>0</v>
      </c>
      <c r="T24">
        <f>IF('Pivot table values'!O26&gt;0,1,0)</f>
        <v>0</v>
      </c>
      <c r="U24">
        <f>IF('Pivot table values'!P26&gt;0,1,0)</f>
        <v>0</v>
      </c>
      <c r="V24">
        <f>IF('Pivot table values'!Q26&gt;0,1,0)</f>
        <v>0</v>
      </c>
      <c r="W24">
        <f>IF('Pivot table values'!R26&gt;0,1,0)</f>
        <v>1</v>
      </c>
      <c r="X24">
        <f>IF('Pivot table values'!S26&gt;0,1,0)</f>
        <v>0</v>
      </c>
      <c r="Y24">
        <f>IF('Pivot table values'!T26&gt;0,1,0)</f>
        <v>0</v>
      </c>
      <c r="Z24">
        <f>IF('Pivot table values'!U26&gt;0,1,0)</f>
        <v>0</v>
      </c>
      <c r="AA24">
        <f>IF('Pivot table values'!V26&gt;0,1,0)</f>
        <v>0</v>
      </c>
      <c r="AB24">
        <f>IF('Pivot table values'!W26&gt;0,1,0)</f>
        <v>0</v>
      </c>
      <c r="AC24">
        <f>IF('Pivot table values'!X26&gt;0,1,0)</f>
        <v>0</v>
      </c>
      <c r="AD24">
        <f>IF('Pivot table values'!Y26&gt;0,1,0)</f>
        <v>0</v>
      </c>
      <c r="AE24">
        <f>IF('Pivot table values'!Z26&gt;0,1,0)</f>
        <v>0</v>
      </c>
      <c r="AF24">
        <f>IF('Pivot table values'!AA26&gt;0,1,0)</f>
        <v>0</v>
      </c>
      <c r="AG24">
        <f>IF('Pivot table values'!AB26&gt;0,1,0)</f>
        <v>0</v>
      </c>
      <c r="AH24">
        <f>IF('Pivot table values'!AC26&gt;0,1,0)</f>
        <v>0</v>
      </c>
      <c r="AI24">
        <f>IF('Pivot table values'!AD26&gt;0,1,0)</f>
        <v>0</v>
      </c>
      <c r="AJ24">
        <f>IF('Pivot table values'!AE26&gt;0,1,0)</f>
        <v>0</v>
      </c>
      <c r="AK24">
        <f>IF('Pivot table values'!AF26&gt;0,1,0)</f>
        <v>0</v>
      </c>
      <c r="AL24">
        <f>IF('Pivot table values'!AG26&gt;0,1,0)</f>
        <v>0</v>
      </c>
      <c r="AM24">
        <f>IF('Pivot table values'!AH26&gt;0,1,0)</f>
        <v>0</v>
      </c>
      <c r="AN24">
        <f>IF('Pivot table values'!AI26&gt;0,1,0)</f>
        <v>1</v>
      </c>
      <c r="AO24">
        <f>IF('Pivot table values'!AJ26&gt;0,1,0)</f>
        <v>0</v>
      </c>
      <c r="AP24">
        <f>IF('Pivot table values'!AK26&gt;0,1,0)</f>
        <v>0</v>
      </c>
      <c r="AQ24">
        <f>IF('Pivot table values'!AL26&gt;0,1,0)</f>
        <v>0</v>
      </c>
      <c r="AR24">
        <f>IF('Pivot table values'!AM26&gt;0,1,0)</f>
        <v>0</v>
      </c>
      <c r="AS24">
        <f>IF('Pivot table values'!AN26&gt;0,1,0)</f>
        <v>0</v>
      </c>
      <c r="AT24">
        <f>IF('Pivot table values'!AO26&gt;0,1,0)</f>
        <v>0</v>
      </c>
      <c r="AU24">
        <f>IF('Pivot table values'!AP26&gt;0,1,0)</f>
        <v>0</v>
      </c>
      <c r="AV24">
        <f>IF('Pivot table values'!AQ26&gt;0,1,0)</f>
        <v>0</v>
      </c>
      <c r="AW24">
        <f>IF('Pivot table values'!AR26&gt;0,1,0)</f>
        <v>0</v>
      </c>
      <c r="AX24">
        <f>IF('Pivot table values'!AS26&gt;0,1,0)</f>
        <v>0</v>
      </c>
      <c r="AY24">
        <f>IF('Pivot table values'!AT26&gt;0,1,0)</f>
        <v>0</v>
      </c>
      <c r="AZ24">
        <f>IF('Pivot table values'!AU26&gt;0,1,0)</f>
        <v>0</v>
      </c>
      <c r="BA24">
        <f>IF('Pivot table values'!AV26&gt;0,1,0)</f>
        <v>0</v>
      </c>
      <c r="BB24">
        <f>IF('Pivot table values'!AW26&gt;0,1,0)</f>
        <v>0</v>
      </c>
      <c r="BC24">
        <f>IF('Pivot table values'!AX26&gt;0,1,0)</f>
        <v>0</v>
      </c>
      <c r="BD24">
        <f>IF('Pivot table values'!AY26&gt;0,1,0)</f>
        <v>0</v>
      </c>
      <c r="BE24">
        <f>IF('Pivot table values'!AZ26&gt;0,1,0)</f>
        <v>0</v>
      </c>
      <c r="BF24">
        <f>IF('Pivot table values'!BA26&gt;0,1,0)</f>
        <v>0</v>
      </c>
      <c r="BG24">
        <f>IF('Pivot table values'!BB26&gt;0,1,0)</f>
        <v>0</v>
      </c>
      <c r="BH24">
        <f>IF('Pivot table values'!BC26&gt;0,1,0)</f>
        <v>0</v>
      </c>
      <c r="BI24">
        <f>IF('Pivot table values'!BD26&gt;0,1,0)</f>
        <v>0</v>
      </c>
      <c r="BJ24">
        <f>IF('Pivot table values'!BE26&gt;0,1,0)</f>
        <v>0</v>
      </c>
      <c r="BK24">
        <f>IF('Pivot table values'!BF26&gt;0,1,0)</f>
        <v>0</v>
      </c>
      <c r="BL24">
        <f>IF('Pivot table values'!BG26&gt;0,1,0)</f>
        <v>0</v>
      </c>
      <c r="BM24">
        <f>IF('Pivot table values'!BH26&gt;0,1,0)</f>
        <v>0</v>
      </c>
      <c r="BN24">
        <f>IF('Pivot table values'!BI26&gt;0,1,0)</f>
        <v>0</v>
      </c>
      <c r="BO24">
        <f>IF('Pivot table values'!BJ26&gt;0,1,0)</f>
        <v>0</v>
      </c>
      <c r="BP24">
        <f>IF('Pivot table values'!BK26&gt;0,1,0)</f>
        <v>0</v>
      </c>
      <c r="BQ24">
        <f>IF('Pivot table values'!BL26&gt;0,1,0)</f>
        <v>0</v>
      </c>
      <c r="BR24">
        <f>IF('Pivot table values'!BM26&gt;0,1,0)</f>
        <v>0</v>
      </c>
      <c r="BS24">
        <f>IF('Pivot table values'!BN26&gt;0,1,0)</f>
        <v>0</v>
      </c>
      <c r="BT24">
        <f>IF('Pivot table values'!BO26&gt;0,1,0)</f>
        <v>0</v>
      </c>
      <c r="BU24">
        <f>IF('Pivot table values'!BP26&gt;0,1,0)</f>
        <v>0</v>
      </c>
      <c r="BV24">
        <f>IF('Pivot table values'!BQ26&gt;0,1,0)</f>
        <v>0</v>
      </c>
      <c r="BW24">
        <f>IF('Pivot table values'!BR26&gt;0,1,0)</f>
        <v>0</v>
      </c>
      <c r="BX24">
        <f>IF('Pivot table values'!BS26&gt;0,1,0)</f>
        <v>0</v>
      </c>
      <c r="BY24">
        <f>IF('Pivot table values'!BT26&gt;0,1,0)</f>
        <v>0</v>
      </c>
      <c r="BZ24">
        <f>IF('Pivot table values'!BU26&gt;0,1,0)</f>
        <v>0</v>
      </c>
    </row>
    <row r="25" spans="1:78" x14ac:dyDescent="0.3">
      <c r="A25" s="4" t="s">
        <v>193</v>
      </c>
      <c r="B25" s="4" t="str">
        <f>VLOOKUP($A25,Vlookup!$A$2:$E$62,2,FALSE)</f>
        <v>Limelight Prime</v>
      </c>
      <c r="C25" s="4" t="str">
        <f>VLOOKUP($A25,Vlookup!$A$2:$E$62,3,FALSE)</f>
        <v>Hydrangea paniculata</v>
      </c>
      <c r="D25" s="4" t="str">
        <f>VLOOKUP($A25,Vlookup!$A$2:$E$62,4,FALSE)</f>
        <v>Mop-like panicle</v>
      </c>
      <c r="E25" s="4" t="str">
        <f>VLOOKUP($A25,Vlookup!$A$2:$E$62,5,FALSE)</f>
        <v>Half-open</v>
      </c>
      <c r="F25" s="4">
        <f t="shared" si="0"/>
        <v>5</v>
      </c>
      <c r="G25">
        <f>IF('Pivot table values'!B27&gt;0,1,0)</f>
        <v>0</v>
      </c>
      <c r="H25">
        <f>IF('Pivot table values'!C27&gt;0,1,0)</f>
        <v>0</v>
      </c>
      <c r="I25">
        <f>IF('Pivot table values'!D27&gt;0,1,0)</f>
        <v>0</v>
      </c>
      <c r="J25">
        <f>IF('Pivot table values'!E27&gt;0,1,0)</f>
        <v>0</v>
      </c>
      <c r="K25">
        <f>IF('Pivot table values'!F27&gt;0,1,0)</f>
        <v>0</v>
      </c>
      <c r="L25">
        <f>IF('Pivot table values'!G27&gt;0,1,0)</f>
        <v>0</v>
      </c>
      <c r="M25">
        <f>IF('Pivot table values'!H27&gt;0,1,0)</f>
        <v>0</v>
      </c>
      <c r="N25">
        <f>IF('Pivot table values'!I27&gt;0,1,0)</f>
        <v>0</v>
      </c>
      <c r="O25">
        <f>IF('Pivot table values'!J27&gt;0,1,0)</f>
        <v>0</v>
      </c>
      <c r="P25">
        <f>IF('Pivot table values'!K27&gt;0,1,0)</f>
        <v>0</v>
      </c>
      <c r="Q25">
        <f>IF('Pivot table values'!L27&gt;0,1,0)</f>
        <v>0</v>
      </c>
      <c r="R25">
        <f>IF('Pivot table values'!M27&gt;0,1,0)</f>
        <v>0</v>
      </c>
      <c r="S25">
        <f>IF('Pivot table values'!N27&gt;0,1,0)</f>
        <v>0</v>
      </c>
      <c r="T25">
        <f>IF('Pivot table values'!O27&gt;0,1,0)</f>
        <v>0</v>
      </c>
      <c r="U25">
        <f>IF('Pivot table values'!P27&gt;0,1,0)</f>
        <v>0</v>
      </c>
      <c r="V25">
        <f>IF('Pivot table values'!Q27&gt;0,1,0)</f>
        <v>0</v>
      </c>
      <c r="W25">
        <f>IF('Pivot table values'!R27&gt;0,1,0)</f>
        <v>1</v>
      </c>
      <c r="X25">
        <f>IF('Pivot table values'!S27&gt;0,1,0)</f>
        <v>1</v>
      </c>
      <c r="Y25">
        <f>IF('Pivot table values'!T27&gt;0,1,0)</f>
        <v>0</v>
      </c>
      <c r="Z25">
        <f>IF('Pivot table values'!U27&gt;0,1,0)</f>
        <v>0</v>
      </c>
      <c r="AA25">
        <f>IF('Pivot table values'!V27&gt;0,1,0)</f>
        <v>1</v>
      </c>
      <c r="AB25">
        <f>IF('Pivot table values'!W27&gt;0,1,0)</f>
        <v>0</v>
      </c>
      <c r="AC25">
        <f>IF('Pivot table values'!X27&gt;0,1,0)</f>
        <v>0</v>
      </c>
      <c r="AD25">
        <f>IF('Pivot table values'!Y27&gt;0,1,0)</f>
        <v>0</v>
      </c>
      <c r="AE25">
        <f>IF('Pivot table values'!Z27&gt;0,1,0)</f>
        <v>0</v>
      </c>
      <c r="AF25">
        <f>IF('Pivot table values'!AA27&gt;0,1,0)</f>
        <v>0</v>
      </c>
      <c r="AG25">
        <f>IF('Pivot table values'!AB27&gt;0,1,0)</f>
        <v>0</v>
      </c>
      <c r="AH25">
        <f>IF('Pivot table values'!AC27&gt;0,1,0)</f>
        <v>0</v>
      </c>
      <c r="AI25">
        <f>IF('Pivot table values'!AD27&gt;0,1,0)</f>
        <v>0</v>
      </c>
      <c r="AJ25">
        <f>IF('Pivot table values'!AE27&gt;0,1,0)</f>
        <v>0</v>
      </c>
      <c r="AK25">
        <f>IF('Pivot table values'!AF27&gt;0,1,0)</f>
        <v>0</v>
      </c>
      <c r="AL25">
        <f>IF('Pivot table values'!AG27&gt;0,1,0)</f>
        <v>0</v>
      </c>
      <c r="AM25">
        <f>IF('Pivot table values'!AH27&gt;0,1,0)</f>
        <v>0</v>
      </c>
      <c r="AN25">
        <f>IF('Pivot table values'!AI27&gt;0,1,0)</f>
        <v>1</v>
      </c>
      <c r="AO25">
        <f>IF('Pivot table values'!AJ27&gt;0,1,0)</f>
        <v>0</v>
      </c>
      <c r="AP25">
        <f>IF('Pivot table values'!AK27&gt;0,1,0)</f>
        <v>0</v>
      </c>
      <c r="AQ25">
        <f>IF('Pivot table values'!AL27&gt;0,1,0)</f>
        <v>0</v>
      </c>
      <c r="AR25">
        <f>IF('Pivot table values'!AM27&gt;0,1,0)</f>
        <v>0</v>
      </c>
      <c r="AS25">
        <f>IF('Pivot table values'!AN27&gt;0,1,0)</f>
        <v>0</v>
      </c>
      <c r="AT25">
        <f>IF('Pivot table values'!AO27&gt;0,1,0)</f>
        <v>0</v>
      </c>
      <c r="AU25">
        <f>IF('Pivot table values'!AP27&gt;0,1,0)</f>
        <v>0</v>
      </c>
      <c r="AV25">
        <f>IF('Pivot table values'!AQ27&gt;0,1,0)</f>
        <v>0</v>
      </c>
      <c r="AW25">
        <f>IF('Pivot table values'!AR27&gt;0,1,0)</f>
        <v>0</v>
      </c>
      <c r="AX25">
        <f>IF('Pivot table values'!AS27&gt;0,1,0)</f>
        <v>0</v>
      </c>
      <c r="AY25">
        <f>IF('Pivot table values'!AT27&gt;0,1,0)</f>
        <v>0</v>
      </c>
      <c r="AZ25">
        <f>IF('Pivot table values'!AU27&gt;0,1,0)</f>
        <v>0</v>
      </c>
      <c r="BA25">
        <f>IF('Pivot table values'!AV27&gt;0,1,0)</f>
        <v>0</v>
      </c>
      <c r="BB25">
        <f>IF('Pivot table values'!AW27&gt;0,1,0)</f>
        <v>0</v>
      </c>
      <c r="BC25">
        <f>IF('Pivot table values'!AX27&gt;0,1,0)</f>
        <v>0</v>
      </c>
      <c r="BD25">
        <f>IF('Pivot table values'!AY27&gt;0,1,0)</f>
        <v>0</v>
      </c>
      <c r="BE25">
        <f>IF('Pivot table values'!AZ27&gt;0,1,0)</f>
        <v>0</v>
      </c>
      <c r="BF25">
        <f>IF('Pivot table values'!BA27&gt;0,1,0)</f>
        <v>0</v>
      </c>
      <c r="BG25">
        <f>IF('Pivot table values'!BB27&gt;0,1,0)</f>
        <v>0</v>
      </c>
      <c r="BH25">
        <f>IF('Pivot table values'!BC27&gt;0,1,0)</f>
        <v>0</v>
      </c>
      <c r="BI25">
        <f>IF('Pivot table values'!BD27&gt;0,1,0)</f>
        <v>0</v>
      </c>
      <c r="BJ25">
        <f>IF('Pivot table values'!BE27&gt;0,1,0)</f>
        <v>0</v>
      </c>
      <c r="BK25">
        <f>IF('Pivot table values'!BF27&gt;0,1,0)</f>
        <v>0</v>
      </c>
      <c r="BL25">
        <f>IF('Pivot table values'!BG27&gt;0,1,0)</f>
        <v>0</v>
      </c>
      <c r="BM25">
        <f>IF('Pivot table values'!BH27&gt;0,1,0)</f>
        <v>0</v>
      </c>
      <c r="BN25">
        <f>IF('Pivot table values'!BI27&gt;0,1,0)</f>
        <v>1</v>
      </c>
      <c r="BO25">
        <f>IF('Pivot table values'!BJ27&gt;0,1,0)</f>
        <v>0</v>
      </c>
      <c r="BP25">
        <f>IF('Pivot table values'!BK27&gt;0,1,0)</f>
        <v>0</v>
      </c>
      <c r="BQ25">
        <f>IF('Pivot table values'!BL27&gt;0,1,0)</f>
        <v>0</v>
      </c>
      <c r="BR25">
        <f>IF('Pivot table values'!BM27&gt;0,1,0)</f>
        <v>0</v>
      </c>
      <c r="BS25">
        <f>IF('Pivot table values'!BN27&gt;0,1,0)</f>
        <v>0</v>
      </c>
      <c r="BT25">
        <f>IF('Pivot table values'!BO27&gt;0,1,0)</f>
        <v>0</v>
      </c>
      <c r="BU25">
        <f>IF('Pivot table values'!BP27&gt;0,1,0)</f>
        <v>0</v>
      </c>
      <c r="BV25">
        <f>IF('Pivot table values'!BQ27&gt;0,1,0)</f>
        <v>0</v>
      </c>
      <c r="BW25">
        <f>IF('Pivot table values'!BR27&gt;0,1,0)</f>
        <v>0</v>
      </c>
      <c r="BX25">
        <f>IF('Pivot table values'!BS27&gt;0,1,0)</f>
        <v>0</v>
      </c>
      <c r="BY25">
        <f>IF('Pivot table values'!BT27&gt;0,1,0)</f>
        <v>0</v>
      </c>
      <c r="BZ25">
        <f>IF('Pivot table values'!BU27&gt;0,1,0)</f>
        <v>0</v>
      </c>
    </row>
    <row r="26" spans="1:78" x14ac:dyDescent="0.3">
      <c r="A26" s="4" t="s">
        <v>192</v>
      </c>
      <c r="B26" s="4" t="str">
        <f>VLOOKUP($A26,Vlookup!$A$2:$E$62,2,FALSE)</f>
        <v>Berry White</v>
      </c>
      <c r="C26" s="4" t="str">
        <f>VLOOKUP($A26,Vlookup!$A$2:$E$62,3,FALSE)</f>
        <v>Hydrangea paniculata</v>
      </c>
      <c r="D26" s="4" t="str">
        <f>VLOOKUP($A26,Vlookup!$A$2:$E$62,4,FALSE)</f>
        <v>Mop-like panicle</v>
      </c>
      <c r="E26" s="4" t="str">
        <f>VLOOKUP($A26,Vlookup!$A$2:$E$62,5,FALSE)</f>
        <v>Half-open</v>
      </c>
      <c r="F26" s="4">
        <f t="shared" si="0"/>
        <v>6</v>
      </c>
      <c r="G26">
        <f>IF('Pivot table values'!B28&gt;0,1,0)</f>
        <v>0</v>
      </c>
      <c r="H26">
        <f>IF('Pivot table values'!C28&gt;0,1,0)</f>
        <v>0</v>
      </c>
      <c r="I26">
        <f>IF('Pivot table values'!D28&gt;0,1,0)</f>
        <v>0</v>
      </c>
      <c r="J26">
        <f>IF('Pivot table values'!E28&gt;0,1,0)</f>
        <v>0</v>
      </c>
      <c r="K26">
        <f>IF('Pivot table values'!F28&gt;0,1,0)</f>
        <v>0</v>
      </c>
      <c r="L26">
        <f>IF('Pivot table values'!G28&gt;0,1,0)</f>
        <v>0</v>
      </c>
      <c r="M26">
        <f>IF('Pivot table values'!H28&gt;0,1,0)</f>
        <v>0</v>
      </c>
      <c r="N26">
        <f>IF('Pivot table values'!I28&gt;0,1,0)</f>
        <v>0</v>
      </c>
      <c r="O26">
        <f>IF('Pivot table values'!J28&gt;0,1,0)</f>
        <v>0</v>
      </c>
      <c r="P26">
        <f>IF('Pivot table values'!K28&gt;0,1,0)</f>
        <v>0</v>
      </c>
      <c r="Q26">
        <f>IF('Pivot table values'!L28&gt;0,1,0)</f>
        <v>0</v>
      </c>
      <c r="R26">
        <f>IF('Pivot table values'!M28&gt;0,1,0)</f>
        <v>0</v>
      </c>
      <c r="S26">
        <f>IF('Pivot table values'!N28&gt;0,1,0)</f>
        <v>1</v>
      </c>
      <c r="T26">
        <f>IF('Pivot table values'!O28&gt;0,1,0)</f>
        <v>0</v>
      </c>
      <c r="U26">
        <f>IF('Pivot table values'!P28&gt;0,1,0)</f>
        <v>0</v>
      </c>
      <c r="V26">
        <f>IF('Pivot table values'!Q28&gt;0,1,0)</f>
        <v>0</v>
      </c>
      <c r="W26">
        <f>IF('Pivot table values'!R28&gt;0,1,0)</f>
        <v>0</v>
      </c>
      <c r="X26">
        <f>IF('Pivot table values'!S28&gt;0,1,0)</f>
        <v>0</v>
      </c>
      <c r="Y26">
        <f>IF('Pivot table values'!T28&gt;0,1,0)</f>
        <v>0</v>
      </c>
      <c r="Z26">
        <f>IF('Pivot table values'!U28&gt;0,1,0)</f>
        <v>0</v>
      </c>
      <c r="AA26">
        <f>IF('Pivot table values'!V28&gt;0,1,0)</f>
        <v>1</v>
      </c>
      <c r="AB26">
        <f>IF('Pivot table values'!W28&gt;0,1,0)</f>
        <v>0</v>
      </c>
      <c r="AC26">
        <f>IF('Pivot table values'!X28&gt;0,1,0)</f>
        <v>1</v>
      </c>
      <c r="AD26">
        <f>IF('Pivot table values'!Y28&gt;0,1,0)</f>
        <v>0</v>
      </c>
      <c r="AE26">
        <f>IF('Pivot table values'!Z28&gt;0,1,0)</f>
        <v>0</v>
      </c>
      <c r="AF26">
        <f>IF('Pivot table values'!AA28&gt;0,1,0)</f>
        <v>0</v>
      </c>
      <c r="AG26">
        <f>IF('Pivot table values'!AB28&gt;0,1,0)</f>
        <v>0</v>
      </c>
      <c r="AH26">
        <f>IF('Pivot table values'!AC28&gt;0,1,0)</f>
        <v>0</v>
      </c>
      <c r="AI26">
        <f>IF('Pivot table values'!AD28&gt;0,1,0)</f>
        <v>0</v>
      </c>
      <c r="AJ26">
        <f>IF('Pivot table values'!AE28&gt;0,1,0)</f>
        <v>1</v>
      </c>
      <c r="AK26">
        <f>IF('Pivot table values'!AF28&gt;0,1,0)</f>
        <v>0</v>
      </c>
      <c r="AL26">
        <f>IF('Pivot table values'!AG28&gt;0,1,0)</f>
        <v>0</v>
      </c>
      <c r="AM26">
        <f>IF('Pivot table values'!AH28&gt;0,1,0)</f>
        <v>0</v>
      </c>
      <c r="AN26">
        <f>IF('Pivot table values'!AI28&gt;0,1,0)</f>
        <v>0</v>
      </c>
      <c r="AO26">
        <f>IF('Pivot table values'!AJ28&gt;0,1,0)</f>
        <v>0</v>
      </c>
      <c r="AP26">
        <f>IF('Pivot table values'!AK28&gt;0,1,0)</f>
        <v>0</v>
      </c>
      <c r="AQ26">
        <f>IF('Pivot table values'!AL28&gt;0,1,0)</f>
        <v>0</v>
      </c>
      <c r="AR26">
        <f>IF('Pivot table values'!AM28&gt;0,1,0)</f>
        <v>0</v>
      </c>
      <c r="AS26">
        <f>IF('Pivot table values'!AN28&gt;0,1,0)</f>
        <v>0</v>
      </c>
      <c r="AT26">
        <f>IF('Pivot table values'!AO28&gt;0,1,0)</f>
        <v>0</v>
      </c>
      <c r="AU26">
        <f>IF('Pivot table values'!AP28&gt;0,1,0)</f>
        <v>0</v>
      </c>
      <c r="AV26">
        <f>IF('Pivot table values'!AQ28&gt;0,1,0)</f>
        <v>0</v>
      </c>
      <c r="AW26">
        <f>IF('Pivot table values'!AR28&gt;0,1,0)</f>
        <v>0</v>
      </c>
      <c r="AX26">
        <f>IF('Pivot table values'!AS28&gt;0,1,0)</f>
        <v>0</v>
      </c>
      <c r="AY26">
        <f>IF('Pivot table values'!AT28&gt;0,1,0)</f>
        <v>0</v>
      </c>
      <c r="AZ26">
        <f>IF('Pivot table values'!AU28&gt;0,1,0)</f>
        <v>0</v>
      </c>
      <c r="BA26">
        <f>IF('Pivot table values'!AV28&gt;0,1,0)</f>
        <v>0</v>
      </c>
      <c r="BB26">
        <f>IF('Pivot table values'!AW28&gt;0,1,0)</f>
        <v>0</v>
      </c>
      <c r="BC26">
        <f>IF('Pivot table values'!AX28&gt;0,1,0)</f>
        <v>0</v>
      </c>
      <c r="BD26">
        <f>IF('Pivot table values'!AY28&gt;0,1,0)</f>
        <v>0</v>
      </c>
      <c r="BE26">
        <f>IF('Pivot table values'!AZ28&gt;0,1,0)</f>
        <v>0</v>
      </c>
      <c r="BF26">
        <f>IF('Pivot table values'!BA28&gt;0,1,0)</f>
        <v>0</v>
      </c>
      <c r="BG26">
        <f>IF('Pivot table values'!BB28&gt;0,1,0)</f>
        <v>0</v>
      </c>
      <c r="BH26">
        <f>IF('Pivot table values'!BC28&gt;0,1,0)</f>
        <v>0</v>
      </c>
      <c r="BI26">
        <f>IF('Pivot table values'!BD28&gt;0,1,0)</f>
        <v>0</v>
      </c>
      <c r="BJ26">
        <f>IF('Pivot table values'!BE28&gt;0,1,0)</f>
        <v>0</v>
      </c>
      <c r="BK26">
        <f>IF('Pivot table values'!BF28&gt;0,1,0)</f>
        <v>0</v>
      </c>
      <c r="BL26">
        <f>IF('Pivot table values'!BG28&gt;0,1,0)</f>
        <v>0</v>
      </c>
      <c r="BM26">
        <f>IF('Pivot table values'!BH28&gt;0,1,0)</f>
        <v>0</v>
      </c>
      <c r="BN26">
        <f>IF('Pivot table values'!BI28&gt;0,1,0)</f>
        <v>1</v>
      </c>
      <c r="BO26">
        <f>IF('Pivot table values'!BJ28&gt;0,1,0)</f>
        <v>1</v>
      </c>
      <c r="BP26">
        <f>IF('Pivot table values'!BK28&gt;0,1,0)</f>
        <v>0</v>
      </c>
      <c r="BQ26">
        <f>IF('Pivot table values'!BL28&gt;0,1,0)</f>
        <v>0</v>
      </c>
      <c r="BR26">
        <f>IF('Pivot table values'!BM28&gt;0,1,0)</f>
        <v>0</v>
      </c>
      <c r="BS26">
        <f>IF('Pivot table values'!BN28&gt;0,1,0)</f>
        <v>0</v>
      </c>
      <c r="BT26">
        <f>IF('Pivot table values'!BO28&gt;0,1,0)</f>
        <v>0</v>
      </c>
      <c r="BU26">
        <f>IF('Pivot table values'!BP28&gt;0,1,0)</f>
        <v>0</v>
      </c>
      <c r="BV26">
        <f>IF('Pivot table values'!BQ28&gt;0,1,0)</f>
        <v>0</v>
      </c>
      <c r="BW26">
        <f>IF('Pivot table values'!BR28&gt;0,1,0)</f>
        <v>0</v>
      </c>
      <c r="BX26">
        <f>IF('Pivot table values'!BS28&gt;0,1,0)</f>
        <v>0</v>
      </c>
      <c r="BY26">
        <f>IF('Pivot table values'!BT28&gt;0,1,0)</f>
        <v>0</v>
      </c>
      <c r="BZ26">
        <f>IF('Pivot table values'!BU28&gt;0,1,0)</f>
        <v>0</v>
      </c>
    </row>
    <row r="27" spans="1:78" x14ac:dyDescent="0.3">
      <c r="A27" s="4" t="s">
        <v>198</v>
      </c>
      <c r="B27" s="4" t="str">
        <f>VLOOKUP($A27,Vlookup!$A$2:$E$62,2,FALSE)</f>
        <v>Baby Lace</v>
      </c>
      <c r="C27" s="4" t="str">
        <f>VLOOKUP($A27,Vlookup!$A$2:$E$62,3,FALSE)</f>
        <v>Hydrangea paniculata</v>
      </c>
      <c r="D27" s="4" t="str">
        <f>VLOOKUP($A27,Vlookup!$A$2:$E$62,4,FALSE)</f>
        <v>Lacy panicle</v>
      </c>
      <c r="E27" s="4" t="str">
        <f>VLOOKUP($A27,Vlookup!$A$2:$E$62,5,FALSE)</f>
        <v>Open</v>
      </c>
      <c r="F27" s="4">
        <f t="shared" si="0"/>
        <v>2</v>
      </c>
      <c r="G27">
        <f>IF('Pivot table values'!B30&gt;0,1,0)</f>
        <v>0</v>
      </c>
      <c r="H27">
        <f>IF('Pivot table values'!C30&gt;0,1,0)</f>
        <v>0</v>
      </c>
      <c r="I27">
        <f>IF('Pivot table values'!D30&gt;0,1,0)</f>
        <v>0</v>
      </c>
      <c r="J27">
        <f>IF('Pivot table values'!E30&gt;0,1,0)</f>
        <v>0</v>
      </c>
      <c r="K27">
        <f>IF('Pivot table values'!F30&gt;0,1,0)</f>
        <v>0</v>
      </c>
      <c r="L27">
        <f>IF('Pivot table values'!G30&gt;0,1,0)</f>
        <v>0</v>
      </c>
      <c r="M27">
        <f>IF('Pivot table values'!H30&gt;0,1,0)</f>
        <v>0</v>
      </c>
      <c r="N27">
        <f>IF('Pivot table values'!I30&gt;0,1,0)</f>
        <v>0</v>
      </c>
      <c r="O27">
        <f>IF('Pivot table values'!J30&gt;0,1,0)</f>
        <v>0</v>
      </c>
      <c r="P27">
        <f>IF('Pivot table values'!K30&gt;0,1,0)</f>
        <v>0</v>
      </c>
      <c r="Q27">
        <f>IF('Pivot table values'!L30&gt;0,1,0)</f>
        <v>0</v>
      </c>
      <c r="R27">
        <f>IF('Pivot table values'!M30&gt;0,1,0)</f>
        <v>0</v>
      </c>
      <c r="S27">
        <f>IF('Pivot table values'!N30&gt;0,1,0)</f>
        <v>0</v>
      </c>
      <c r="T27">
        <f>IF('Pivot table values'!O30&gt;0,1,0)</f>
        <v>0</v>
      </c>
      <c r="U27">
        <f>IF('Pivot table values'!P30&gt;0,1,0)</f>
        <v>0</v>
      </c>
      <c r="V27">
        <f>IF('Pivot table values'!Q30&gt;0,1,0)</f>
        <v>0</v>
      </c>
      <c r="W27">
        <f>IF('Pivot table values'!R30&gt;0,1,0)</f>
        <v>1</v>
      </c>
      <c r="X27">
        <f>IF('Pivot table values'!S30&gt;0,1,0)</f>
        <v>0</v>
      </c>
      <c r="Y27">
        <f>IF('Pivot table values'!T30&gt;0,1,0)</f>
        <v>0</v>
      </c>
      <c r="Z27">
        <f>IF('Pivot table values'!U30&gt;0,1,0)</f>
        <v>0</v>
      </c>
      <c r="AA27">
        <f>IF('Pivot table values'!V30&gt;0,1,0)</f>
        <v>0</v>
      </c>
      <c r="AB27">
        <f>IF('Pivot table values'!W30&gt;0,1,0)</f>
        <v>0</v>
      </c>
      <c r="AC27">
        <f>IF('Pivot table values'!X30&gt;0,1,0)</f>
        <v>0</v>
      </c>
      <c r="AD27">
        <f>IF('Pivot table values'!Y30&gt;0,1,0)</f>
        <v>0</v>
      </c>
      <c r="AE27">
        <f>IF('Pivot table values'!Z30&gt;0,1,0)</f>
        <v>0</v>
      </c>
      <c r="AF27">
        <f>IF('Pivot table values'!AA30&gt;0,1,0)</f>
        <v>0</v>
      </c>
      <c r="AG27">
        <f>IF('Pivot table values'!AB30&gt;0,1,0)</f>
        <v>0</v>
      </c>
      <c r="AH27">
        <f>IF('Pivot table values'!AC30&gt;0,1,0)</f>
        <v>0</v>
      </c>
      <c r="AI27">
        <f>IF('Pivot table values'!AD30&gt;0,1,0)</f>
        <v>0</v>
      </c>
      <c r="AJ27">
        <f>IF('Pivot table values'!AE30&gt;0,1,0)</f>
        <v>0</v>
      </c>
      <c r="AK27">
        <f>IF('Pivot table values'!AF30&gt;0,1,0)</f>
        <v>0</v>
      </c>
      <c r="AL27">
        <f>IF('Pivot table values'!AG30&gt;0,1,0)</f>
        <v>0</v>
      </c>
      <c r="AM27">
        <f>IF('Pivot table values'!AH30&gt;0,1,0)</f>
        <v>0</v>
      </c>
      <c r="AN27">
        <f>IF('Pivot table values'!AI30&gt;0,1,0)</f>
        <v>1</v>
      </c>
      <c r="AO27">
        <f>IF('Pivot table values'!AJ30&gt;0,1,0)</f>
        <v>0</v>
      </c>
      <c r="AP27">
        <f>IF('Pivot table values'!AK30&gt;0,1,0)</f>
        <v>0</v>
      </c>
      <c r="AQ27">
        <f>IF('Pivot table values'!AL30&gt;0,1,0)</f>
        <v>0</v>
      </c>
      <c r="AR27">
        <f>IF('Pivot table values'!AM30&gt;0,1,0)</f>
        <v>0</v>
      </c>
      <c r="AS27">
        <f>IF('Pivot table values'!AN30&gt;0,1,0)</f>
        <v>0</v>
      </c>
      <c r="AT27">
        <f>IF('Pivot table values'!AO30&gt;0,1,0)</f>
        <v>0</v>
      </c>
      <c r="AU27">
        <f>IF('Pivot table values'!AP30&gt;0,1,0)</f>
        <v>0</v>
      </c>
      <c r="AV27">
        <f>IF('Pivot table values'!AQ30&gt;0,1,0)</f>
        <v>0</v>
      </c>
      <c r="AW27">
        <f>IF('Pivot table values'!AR30&gt;0,1,0)</f>
        <v>0</v>
      </c>
      <c r="AX27">
        <f>IF('Pivot table values'!AS30&gt;0,1,0)</f>
        <v>0</v>
      </c>
      <c r="AY27">
        <f>IF('Pivot table values'!AT30&gt;0,1,0)</f>
        <v>0</v>
      </c>
      <c r="AZ27">
        <f>IF('Pivot table values'!AU30&gt;0,1,0)</f>
        <v>0</v>
      </c>
      <c r="BA27">
        <f>IF('Pivot table values'!AV30&gt;0,1,0)</f>
        <v>0</v>
      </c>
      <c r="BB27">
        <f>IF('Pivot table values'!AW30&gt;0,1,0)</f>
        <v>0</v>
      </c>
      <c r="BC27">
        <f>IF('Pivot table values'!AX30&gt;0,1,0)</f>
        <v>0</v>
      </c>
      <c r="BD27">
        <f>IF('Pivot table values'!AY30&gt;0,1,0)</f>
        <v>0</v>
      </c>
      <c r="BE27">
        <f>IF('Pivot table values'!AZ30&gt;0,1,0)</f>
        <v>0</v>
      </c>
      <c r="BF27">
        <f>IF('Pivot table values'!BA30&gt;0,1,0)</f>
        <v>0</v>
      </c>
      <c r="BG27">
        <f>IF('Pivot table values'!BB30&gt;0,1,0)</f>
        <v>0</v>
      </c>
      <c r="BH27">
        <f>IF('Pivot table values'!BC30&gt;0,1,0)</f>
        <v>0</v>
      </c>
      <c r="BI27">
        <f>IF('Pivot table values'!BD30&gt;0,1,0)</f>
        <v>0</v>
      </c>
      <c r="BJ27">
        <f>IF('Pivot table values'!BE30&gt;0,1,0)</f>
        <v>0</v>
      </c>
      <c r="BK27">
        <f>IF('Pivot table values'!BF30&gt;0,1,0)</f>
        <v>0</v>
      </c>
      <c r="BL27">
        <f>IF('Pivot table values'!BG30&gt;0,1,0)</f>
        <v>0</v>
      </c>
      <c r="BM27">
        <f>IF('Pivot table values'!BH30&gt;0,1,0)</f>
        <v>0</v>
      </c>
      <c r="BN27">
        <f>IF('Pivot table values'!BI30&gt;0,1,0)</f>
        <v>0</v>
      </c>
      <c r="BO27">
        <f>IF('Pivot table values'!BJ30&gt;0,1,0)</f>
        <v>0</v>
      </c>
      <c r="BP27">
        <f>IF('Pivot table values'!BK30&gt;0,1,0)</f>
        <v>0</v>
      </c>
      <c r="BQ27">
        <f>IF('Pivot table values'!BL30&gt;0,1,0)</f>
        <v>0</v>
      </c>
      <c r="BR27">
        <f>IF('Pivot table values'!BM30&gt;0,1,0)</f>
        <v>0</v>
      </c>
      <c r="BS27">
        <f>IF('Pivot table values'!BN30&gt;0,1,0)</f>
        <v>0</v>
      </c>
      <c r="BT27">
        <f>IF('Pivot table values'!BO30&gt;0,1,0)</f>
        <v>0</v>
      </c>
      <c r="BU27">
        <f>IF('Pivot table values'!BP30&gt;0,1,0)</f>
        <v>0</v>
      </c>
      <c r="BV27">
        <f>IF('Pivot table values'!BQ30&gt;0,1,0)</f>
        <v>0</v>
      </c>
      <c r="BW27">
        <f>IF('Pivot table values'!BR30&gt;0,1,0)</f>
        <v>0</v>
      </c>
      <c r="BX27">
        <f>IF('Pivot table values'!BS30&gt;0,1,0)</f>
        <v>0</v>
      </c>
      <c r="BY27">
        <f>IF('Pivot table values'!BT30&gt;0,1,0)</f>
        <v>0</v>
      </c>
      <c r="BZ27">
        <f>IF('Pivot table values'!BU30&gt;0,1,0)</f>
        <v>0</v>
      </c>
    </row>
    <row r="28" spans="1:78" x14ac:dyDescent="0.3">
      <c r="A28" s="4" t="s">
        <v>202</v>
      </c>
      <c r="B28" s="4" t="str">
        <f>VLOOKUP($A28,Vlookup!$A$2:$E$62,2,FALSE)</f>
        <v>Little Lime</v>
      </c>
      <c r="C28" s="4" t="str">
        <f>VLOOKUP($A28,Vlookup!$A$2:$E$62,3,FALSE)</f>
        <v>Hydrangea paniculata</v>
      </c>
      <c r="D28" s="4" t="str">
        <f>VLOOKUP($A28,Vlookup!$A$2:$E$62,4,FALSE)</f>
        <v>Mop-like panicle</v>
      </c>
      <c r="E28" s="4" t="str">
        <f>VLOOKUP($A28,Vlookup!$A$2:$E$62,5,FALSE)</f>
        <v>Very dense</v>
      </c>
      <c r="F28" s="4">
        <f t="shared" si="0"/>
        <v>5</v>
      </c>
      <c r="G28">
        <f>IF('Pivot table values'!B31&gt;0,1,0)</f>
        <v>0</v>
      </c>
      <c r="H28">
        <f>IF('Pivot table values'!C31&gt;0,1,0)</f>
        <v>0</v>
      </c>
      <c r="I28">
        <f>IF('Pivot table values'!D31&gt;0,1,0)</f>
        <v>0</v>
      </c>
      <c r="J28">
        <f>IF('Pivot table values'!E31&gt;0,1,0)</f>
        <v>0</v>
      </c>
      <c r="K28">
        <f>IF('Pivot table values'!F31&gt;0,1,0)</f>
        <v>1</v>
      </c>
      <c r="L28">
        <f>IF('Pivot table values'!G31&gt;0,1,0)</f>
        <v>1</v>
      </c>
      <c r="M28">
        <f>IF('Pivot table values'!H31&gt;0,1,0)</f>
        <v>0</v>
      </c>
      <c r="N28">
        <f>IF('Pivot table values'!I31&gt;0,1,0)</f>
        <v>0</v>
      </c>
      <c r="O28">
        <f>IF('Pivot table values'!J31&gt;0,1,0)</f>
        <v>0</v>
      </c>
      <c r="P28">
        <f>IF('Pivot table values'!K31&gt;0,1,0)</f>
        <v>0</v>
      </c>
      <c r="Q28">
        <f>IF('Pivot table values'!L31&gt;0,1,0)</f>
        <v>0</v>
      </c>
      <c r="R28">
        <f>IF('Pivot table values'!M31&gt;0,1,0)</f>
        <v>0</v>
      </c>
      <c r="S28">
        <f>IF('Pivot table values'!N31&gt;0,1,0)</f>
        <v>0</v>
      </c>
      <c r="T28">
        <f>IF('Pivot table values'!O31&gt;0,1,0)</f>
        <v>0</v>
      </c>
      <c r="U28">
        <f>IF('Pivot table values'!P31&gt;0,1,0)</f>
        <v>0</v>
      </c>
      <c r="V28">
        <f>IF('Pivot table values'!Q31&gt;0,1,0)</f>
        <v>0</v>
      </c>
      <c r="W28">
        <f>IF('Pivot table values'!R31&gt;0,1,0)</f>
        <v>1</v>
      </c>
      <c r="X28">
        <f>IF('Pivot table values'!S31&gt;0,1,0)</f>
        <v>0</v>
      </c>
      <c r="Y28">
        <f>IF('Pivot table values'!T31&gt;0,1,0)</f>
        <v>0</v>
      </c>
      <c r="Z28">
        <f>IF('Pivot table values'!U31&gt;0,1,0)</f>
        <v>0</v>
      </c>
      <c r="AA28">
        <f>IF('Pivot table values'!V31&gt;0,1,0)</f>
        <v>0</v>
      </c>
      <c r="AB28">
        <f>IF('Pivot table values'!W31&gt;0,1,0)</f>
        <v>0</v>
      </c>
      <c r="AC28">
        <f>IF('Pivot table values'!X31&gt;0,1,0)</f>
        <v>1</v>
      </c>
      <c r="AD28">
        <f>IF('Pivot table values'!Y31&gt;0,1,0)</f>
        <v>0</v>
      </c>
      <c r="AE28">
        <f>IF('Pivot table values'!Z31&gt;0,1,0)</f>
        <v>0</v>
      </c>
      <c r="AF28">
        <f>IF('Pivot table values'!AA31&gt;0,1,0)</f>
        <v>0</v>
      </c>
      <c r="AG28">
        <f>IF('Pivot table values'!AB31&gt;0,1,0)</f>
        <v>0</v>
      </c>
      <c r="AH28">
        <f>IF('Pivot table values'!AC31&gt;0,1,0)</f>
        <v>0</v>
      </c>
      <c r="AI28">
        <f>IF('Pivot table values'!AD31&gt;0,1,0)</f>
        <v>0</v>
      </c>
      <c r="AJ28">
        <f>IF('Pivot table values'!AE31&gt;0,1,0)</f>
        <v>0</v>
      </c>
      <c r="AK28">
        <f>IF('Pivot table values'!AF31&gt;0,1,0)</f>
        <v>0</v>
      </c>
      <c r="AL28">
        <f>IF('Pivot table values'!AG31&gt;0,1,0)</f>
        <v>0</v>
      </c>
      <c r="AM28">
        <f>IF('Pivot table values'!AH31&gt;0,1,0)</f>
        <v>1</v>
      </c>
      <c r="AN28">
        <f>IF('Pivot table values'!AI31&gt;0,1,0)</f>
        <v>0</v>
      </c>
      <c r="AO28">
        <f>IF('Pivot table values'!AJ31&gt;0,1,0)</f>
        <v>0</v>
      </c>
      <c r="AP28">
        <f>IF('Pivot table values'!AK31&gt;0,1,0)</f>
        <v>0</v>
      </c>
      <c r="AQ28">
        <f>IF('Pivot table values'!AL31&gt;0,1,0)</f>
        <v>0</v>
      </c>
      <c r="AR28">
        <f>IF('Pivot table values'!AM31&gt;0,1,0)</f>
        <v>0</v>
      </c>
      <c r="AS28">
        <f>IF('Pivot table values'!AN31&gt;0,1,0)</f>
        <v>0</v>
      </c>
      <c r="AT28">
        <f>IF('Pivot table values'!AO31&gt;0,1,0)</f>
        <v>0</v>
      </c>
      <c r="AU28">
        <f>IF('Pivot table values'!AP31&gt;0,1,0)</f>
        <v>0</v>
      </c>
      <c r="AV28">
        <f>IF('Pivot table values'!AQ31&gt;0,1,0)</f>
        <v>0</v>
      </c>
      <c r="AW28">
        <f>IF('Pivot table values'!AR31&gt;0,1,0)</f>
        <v>0</v>
      </c>
      <c r="AX28">
        <f>IF('Pivot table values'!AS31&gt;0,1,0)</f>
        <v>0</v>
      </c>
      <c r="AY28">
        <f>IF('Pivot table values'!AT31&gt;0,1,0)</f>
        <v>0</v>
      </c>
      <c r="AZ28">
        <f>IF('Pivot table values'!AU31&gt;0,1,0)</f>
        <v>0</v>
      </c>
      <c r="BA28">
        <f>IF('Pivot table values'!AV31&gt;0,1,0)</f>
        <v>0</v>
      </c>
      <c r="BB28">
        <f>IF('Pivot table values'!AW31&gt;0,1,0)</f>
        <v>0</v>
      </c>
      <c r="BC28">
        <f>IF('Pivot table values'!AX31&gt;0,1,0)</f>
        <v>0</v>
      </c>
      <c r="BD28">
        <f>IF('Pivot table values'!AY31&gt;0,1,0)</f>
        <v>0</v>
      </c>
      <c r="BE28">
        <f>IF('Pivot table values'!AZ31&gt;0,1,0)</f>
        <v>0</v>
      </c>
      <c r="BF28">
        <f>IF('Pivot table values'!BA31&gt;0,1,0)</f>
        <v>0</v>
      </c>
      <c r="BG28">
        <f>IF('Pivot table values'!BB31&gt;0,1,0)</f>
        <v>0</v>
      </c>
      <c r="BH28">
        <f>IF('Pivot table values'!BC31&gt;0,1,0)</f>
        <v>0</v>
      </c>
      <c r="BI28">
        <f>IF('Pivot table values'!BD31&gt;0,1,0)</f>
        <v>0</v>
      </c>
      <c r="BJ28">
        <f>IF('Pivot table values'!BE31&gt;0,1,0)</f>
        <v>0</v>
      </c>
      <c r="BK28">
        <f>IF('Pivot table values'!BF31&gt;0,1,0)</f>
        <v>0</v>
      </c>
      <c r="BL28">
        <f>IF('Pivot table values'!BG31&gt;0,1,0)</f>
        <v>0</v>
      </c>
      <c r="BM28">
        <f>IF('Pivot table values'!BH31&gt;0,1,0)</f>
        <v>0</v>
      </c>
      <c r="BN28">
        <f>IF('Pivot table values'!BI31&gt;0,1,0)</f>
        <v>0</v>
      </c>
      <c r="BO28">
        <f>IF('Pivot table values'!BJ31&gt;0,1,0)</f>
        <v>0</v>
      </c>
      <c r="BP28">
        <f>IF('Pivot table values'!BK31&gt;0,1,0)</f>
        <v>0</v>
      </c>
      <c r="BQ28">
        <f>IF('Pivot table values'!BL31&gt;0,1,0)</f>
        <v>0</v>
      </c>
      <c r="BR28">
        <f>IF('Pivot table values'!BM31&gt;0,1,0)</f>
        <v>0</v>
      </c>
      <c r="BS28">
        <f>IF('Pivot table values'!BN31&gt;0,1,0)</f>
        <v>0</v>
      </c>
      <c r="BT28">
        <f>IF('Pivot table values'!BO31&gt;0,1,0)</f>
        <v>0</v>
      </c>
      <c r="BU28">
        <f>IF('Pivot table values'!BP31&gt;0,1,0)</f>
        <v>0</v>
      </c>
      <c r="BV28">
        <f>IF('Pivot table values'!BQ31&gt;0,1,0)</f>
        <v>0</v>
      </c>
      <c r="BW28">
        <f>IF('Pivot table values'!BR31&gt;0,1,0)</f>
        <v>0</v>
      </c>
      <c r="BX28">
        <f>IF('Pivot table values'!BS31&gt;0,1,0)</f>
        <v>0</v>
      </c>
      <c r="BY28">
        <f>IF('Pivot table values'!BT31&gt;0,1,0)</f>
        <v>0</v>
      </c>
      <c r="BZ28">
        <f>IF('Pivot table values'!BU31&gt;0,1,0)</f>
        <v>0</v>
      </c>
    </row>
    <row r="29" spans="1:78" x14ac:dyDescent="0.3">
      <c r="A29" s="4" t="s">
        <v>151</v>
      </c>
      <c r="B29" s="4" t="str">
        <f>VLOOKUP($A29,Vlookup!$A$2:$E$62,2,FALSE)</f>
        <v>Silver Leaf</v>
      </c>
      <c r="C29" s="4" t="str">
        <f>VLOOKUP($A29,Vlookup!$A$2:$E$62,3,FALSE)</f>
        <v>Hydrangea arborescens</v>
      </c>
      <c r="D29" s="4" t="str">
        <f>VLOOKUP($A29,Vlookup!$A$2:$E$62,4,FALSE)</f>
        <v>Lacy</v>
      </c>
      <c r="E29" s="4" t="str">
        <f>VLOOKUP($A29,Vlookup!$A$2:$E$62,5,FALSE)</f>
        <v>Open</v>
      </c>
      <c r="F29" s="4">
        <f t="shared" si="0"/>
        <v>13</v>
      </c>
      <c r="G29">
        <f>IF('Pivot table values'!B32&gt;0,1,0)</f>
        <v>0</v>
      </c>
      <c r="H29">
        <f>IF('Pivot table values'!C32&gt;0,1,0)</f>
        <v>0</v>
      </c>
      <c r="I29">
        <f>IF('Pivot table values'!D32&gt;0,1,0)</f>
        <v>0</v>
      </c>
      <c r="J29">
        <f>IF('Pivot table values'!E32&gt;0,1,0)</f>
        <v>0</v>
      </c>
      <c r="K29">
        <f>IF('Pivot table values'!F32&gt;0,1,0)</f>
        <v>0</v>
      </c>
      <c r="L29">
        <f>IF('Pivot table values'!G32&gt;0,1,0)</f>
        <v>0</v>
      </c>
      <c r="M29">
        <f>IF('Pivot table values'!H32&gt;0,1,0)</f>
        <v>1</v>
      </c>
      <c r="N29">
        <f>IF('Pivot table values'!I32&gt;0,1,0)</f>
        <v>1</v>
      </c>
      <c r="O29">
        <f>IF('Pivot table values'!J32&gt;0,1,0)</f>
        <v>0</v>
      </c>
      <c r="P29">
        <f>IF('Pivot table values'!K32&gt;0,1,0)</f>
        <v>0</v>
      </c>
      <c r="Q29">
        <f>IF('Pivot table values'!L32&gt;0,1,0)</f>
        <v>0</v>
      </c>
      <c r="R29">
        <f>IF('Pivot table values'!M32&gt;0,1,0)</f>
        <v>0</v>
      </c>
      <c r="S29">
        <f>IF('Pivot table values'!N32&gt;0,1,0)</f>
        <v>0</v>
      </c>
      <c r="T29">
        <f>IF('Pivot table values'!O32&gt;0,1,0)</f>
        <v>0</v>
      </c>
      <c r="U29">
        <f>IF('Pivot table values'!P32&gt;0,1,0)</f>
        <v>0</v>
      </c>
      <c r="V29">
        <f>IF('Pivot table values'!Q32&gt;0,1,0)</f>
        <v>0</v>
      </c>
      <c r="W29">
        <f>IF('Pivot table values'!R32&gt;0,1,0)</f>
        <v>1</v>
      </c>
      <c r="X29">
        <f>IF('Pivot table values'!S32&gt;0,1,0)</f>
        <v>0</v>
      </c>
      <c r="Y29">
        <f>IF('Pivot table values'!T32&gt;0,1,0)</f>
        <v>0</v>
      </c>
      <c r="Z29">
        <f>IF('Pivot table values'!U32&gt;0,1,0)</f>
        <v>0</v>
      </c>
      <c r="AA29">
        <f>IF('Pivot table values'!V32&gt;0,1,0)</f>
        <v>1</v>
      </c>
      <c r="AB29">
        <f>IF('Pivot table values'!W32&gt;0,1,0)</f>
        <v>0</v>
      </c>
      <c r="AC29">
        <f>IF('Pivot table values'!X32&gt;0,1,0)</f>
        <v>1</v>
      </c>
      <c r="AD29">
        <f>IF('Pivot table values'!Y32&gt;0,1,0)</f>
        <v>0</v>
      </c>
      <c r="AE29">
        <f>IF('Pivot table values'!Z32&gt;0,1,0)</f>
        <v>0</v>
      </c>
      <c r="AF29">
        <f>IF('Pivot table values'!AA32&gt;0,1,0)</f>
        <v>0</v>
      </c>
      <c r="AG29">
        <f>IF('Pivot table values'!AB32&gt;0,1,0)</f>
        <v>0</v>
      </c>
      <c r="AH29">
        <f>IF('Pivot table values'!AC32&gt;0,1,0)</f>
        <v>0</v>
      </c>
      <c r="AI29">
        <f>IF('Pivot table values'!AD32&gt;0,1,0)</f>
        <v>0</v>
      </c>
      <c r="AJ29">
        <f>IF('Pivot table values'!AE32&gt;0,1,0)</f>
        <v>1</v>
      </c>
      <c r="AK29">
        <f>IF('Pivot table values'!AF32&gt;0,1,0)</f>
        <v>0</v>
      </c>
      <c r="AL29">
        <f>IF('Pivot table values'!AG32&gt;0,1,0)</f>
        <v>0</v>
      </c>
      <c r="AM29">
        <f>IF('Pivot table values'!AH32&gt;0,1,0)</f>
        <v>0</v>
      </c>
      <c r="AN29">
        <f>IF('Pivot table values'!AI32&gt;0,1,0)</f>
        <v>0</v>
      </c>
      <c r="AO29">
        <f>IF('Pivot table values'!AJ32&gt;0,1,0)</f>
        <v>0</v>
      </c>
      <c r="AP29">
        <f>IF('Pivot table values'!AK32&gt;0,1,0)</f>
        <v>0</v>
      </c>
      <c r="AQ29">
        <f>IF('Pivot table values'!AL32&gt;0,1,0)</f>
        <v>0</v>
      </c>
      <c r="AR29">
        <f>IF('Pivot table values'!AM32&gt;0,1,0)</f>
        <v>0</v>
      </c>
      <c r="AS29">
        <f>IF('Pivot table values'!AN32&gt;0,1,0)</f>
        <v>0</v>
      </c>
      <c r="AT29">
        <f>IF('Pivot table values'!AO32&gt;0,1,0)</f>
        <v>0</v>
      </c>
      <c r="AU29">
        <f>IF('Pivot table values'!AP32&gt;0,1,0)</f>
        <v>0</v>
      </c>
      <c r="AV29">
        <f>IF('Pivot table values'!AQ32&gt;0,1,0)</f>
        <v>0</v>
      </c>
      <c r="AW29">
        <f>IF('Pivot table values'!AR32&gt;0,1,0)</f>
        <v>0</v>
      </c>
      <c r="AX29">
        <f>IF('Pivot table values'!AS32&gt;0,1,0)</f>
        <v>0</v>
      </c>
      <c r="AY29">
        <f>IF('Pivot table values'!AT32&gt;0,1,0)</f>
        <v>0</v>
      </c>
      <c r="AZ29">
        <f>IF('Pivot table values'!AU32&gt;0,1,0)</f>
        <v>1</v>
      </c>
      <c r="BA29">
        <f>IF('Pivot table values'!AV32&gt;0,1,0)</f>
        <v>0</v>
      </c>
      <c r="BB29">
        <f>IF('Pivot table values'!AW32&gt;0,1,0)</f>
        <v>0</v>
      </c>
      <c r="BC29">
        <f>IF('Pivot table values'!AX32&gt;0,1,0)</f>
        <v>0</v>
      </c>
      <c r="BD29">
        <f>IF('Pivot table values'!AY32&gt;0,1,0)</f>
        <v>0</v>
      </c>
      <c r="BE29">
        <f>IF('Pivot table values'!AZ32&gt;0,1,0)</f>
        <v>1</v>
      </c>
      <c r="BF29">
        <f>IF('Pivot table values'!BA32&gt;0,1,0)</f>
        <v>0</v>
      </c>
      <c r="BG29">
        <f>IF('Pivot table values'!BB32&gt;0,1,0)</f>
        <v>0</v>
      </c>
      <c r="BH29">
        <f>IF('Pivot table values'!BC32&gt;0,1,0)</f>
        <v>0</v>
      </c>
      <c r="BI29">
        <f>IF('Pivot table values'!BD32&gt;0,1,0)</f>
        <v>0</v>
      </c>
      <c r="BJ29">
        <f>IF('Pivot table values'!BE32&gt;0,1,0)</f>
        <v>0</v>
      </c>
      <c r="BK29">
        <f>IF('Pivot table values'!BF32&gt;0,1,0)</f>
        <v>1</v>
      </c>
      <c r="BL29">
        <f>IF('Pivot table values'!BG32&gt;0,1,0)</f>
        <v>0</v>
      </c>
      <c r="BM29">
        <f>IF('Pivot table values'!BH32&gt;0,1,0)</f>
        <v>1</v>
      </c>
      <c r="BN29">
        <f>IF('Pivot table values'!BI32&gt;0,1,0)</f>
        <v>1</v>
      </c>
      <c r="BO29">
        <f>IF('Pivot table values'!BJ32&gt;0,1,0)</f>
        <v>0</v>
      </c>
      <c r="BP29">
        <f>IF('Pivot table values'!BK32&gt;0,1,0)</f>
        <v>0</v>
      </c>
      <c r="BQ29">
        <f>IF('Pivot table values'!BL32&gt;0,1,0)</f>
        <v>0</v>
      </c>
      <c r="BR29">
        <f>IF('Pivot table values'!BM32&gt;0,1,0)</f>
        <v>1</v>
      </c>
      <c r="BS29">
        <f>IF('Pivot table values'!BN32&gt;0,1,0)</f>
        <v>0</v>
      </c>
      <c r="BT29">
        <f>IF('Pivot table values'!BO32&gt;0,1,0)</f>
        <v>0</v>
      </c>
      <c r="BU29">
        <f>IF('Pivot table values'!BP32&gt;0,1,0)</f>
        <v>1</v>
      </c>
      <c r="BV29">
        <f>IF('Pivot table values'!BQ32&gt;0,1,0)</f>
        <v>0</v>
      </c>
      <c r="BW29">
        <f>IF('Pivot table values'!BR32&gt;0,1,0)</f>
        <v>0</v>
      </c>
      <c r="BX29">
        <f>IF('Pivot table values'!BS32&gt;0,1,0)</f>
        <v>0</v>
      </c>
      <c r="BY29">
        <f>IF('Pivot table values'!BT32&gt;0,1,0)</f>
        <v>0</v>
      </c>
      <c r="BZ29">
        <f>IF('Pivot table values'!BU32&gt;0,1,0)</f>
        <v>0</v>
      </c>
    </row>
    <row r="30" spans="1:78" x14ac:dyDescent="0.3">
      <c r="A30" s="4" t="s">
        <v>185</v>
      </c>
      <c r="B30" s="4" t="str">
        <f>VLOOKUP($A30,Vlookup!$A$2:$E$62,2,FALSE)</f>
        <v>Sweet Summer</v>
      </c>
      <c r="C30" s="4" t="str">
        <f>VLOOKUP($A30,Vlookup!$A$2:$E$62,3,FALSE)</f>
        <v>Hydrangea paniculata</v>
      </c>
      <c r="D30" s="4" t="str">
        <f>VLOOKUP($A30,Vlookup!$A$2:$E$62,4,FALSE)</f>
        <v>Mop-like panicle</v>
      </c>
      <c r="E30" s="4" t="str">
        <f>VLOOKUP($A30,Vlookup!$A$2:$E$62,5,FALSE)</f>
        <v>Dense</v>
      </c>
      <c r="F30" s="4">
        <f t="shared" si="0"/>
        <v>13</v>
      </c>
      <c r="G30">
        <f>IF('Pivot table values'!B33&gt;0,1,0)</f>
        <v>0</v>
      </c>
      <c r="H30">
        <f>IF('Pivot table values'!C33&gt;0,1,0)</f>
        <v>0</v>
      </c>
      <c r="I30">
        <f>IF('Pivot table values'!D33&gt;0,1,0)</f>
        <v>0</v>
      </c>
      <c r="J30">
        <f>IF('Pivot table values'!E33&gt;0,1,0)</f>
        <v>0</v>
      </c>
      <c r="K30">
        <f>IF('Pivot table values'!F33&gt;0,1,0)</f>
        <v>0</v>
      </c>
      <c r="L30">
        <f>IF('Pivot table values'!G33&gt;0,1,0)</f>
        <v>0</v>
      </c>
      <c r="M30">
        <f>IF('Pivot table values'!H33&gt;0,1,0)</f>
        <v>0</v>
      </c>
      <c r="N30">
        <f>IF('Pivot table values'!I33&gt;0,1,0)</f>
        <v>0</v>
      </c>
      <c r="O30">
        <f>IF('Pivot table values'!J33&gt;0,1,0)</f>
        <v>0</v>
      </c>
      <c r="P30">
        <f>IF('Pivot table values'!K33&gt;0,1,0)</f>
        <v>0</v>
      </c>
      <c r="Q30">
        <f>IF('Pivot table values'!L33&gt;0,1,0)</f>
        <v>0</v>
      </c>
      <c r="R30">
        <f>IF('Pivot table values'!M33&gt;0,1,0)</f>
        <v>0</v>
      </c>
      <c r="S30">
        <f>IF('Pivot table values'!N33&gt;0,1,0)</f>
        <v>0</v>
      </c>
      <c r="T30">
        <f>IF('Pivot table values'!O33&gt;0,1,0)</f>
        <v>1</v>
      </c>
      <c r="U30">
        <f>IF('Pivot table values'!P33&gt;0,1,0)</f>
        <v>0</v>
      </c>
      <c r="V30">
        <f>IF('Pivot table values'!Q33&gt;0,1,0)</f>
        <v>0</v>
      </c>
      <c r="W30">
        <f>IF('Pivot table values'!R33&gt;0,1,0)</f>
        <v>1</v>
      </c>
      <c r="X30">
        <f>IF('Pivot table values'!S33&gt;0,1,0)</f>
        <v>0</v>
      </c>
      <c r="Y30">
        <f>IF('Pivot table values'!T33&gt;0,1,0)</f>
        <v>0</v>
      </c>
      <c r="Z30">
        <f>IF('Pivot table values'!U33&gt;0,1,0)</f>
        <v>0</v>
      </c>
      <c r="AA30">
        <f>IF('Pivot table values'!V33&gt;0,1,0)</f>
        <v>1</v>
      </c>
      <c r="AB30">
        <f>IF('Pivot table values'!W33&gt;0,1,0)</f>
        <v>0</v>
      </c>
      <c r="AC30">
        <f>IF('Pivot table values'!X33&gt;0,1,0)</f>
        <v>1</v>
      </c>
      <c r="AD30">
        <f>IF('Pivot table values'!Y33&gt;0,1,0)</f>
        <v>0</v>
      </c>
      <c r="AE30">
        <f>IF('Pivot table values'!Z33&gt;0,1,0)</f>
        <v>0</v>
      </c>
      <c r="AF30">
        <f>IF('Pivot table values'!AA33&gt;0,1,0)</f>
        <v>0</v>
      </c>
      <c r="AG30">
        <f>IF('Pivot table values'!AB33&gt;0,1,0)</f>
        <v>0</v>
      </c>
      <c r="AH30">
        <f>IF('Pivot table values'!AC33&gt;0,1,0)</f>
        <v>0</v>
      </c>
      <c r="AI30">
        <f>IF('Pivot table values'!AD33&gt;0,1,0)</f>
        <v>0</v>
      </c>
      <c r="AJ30">
        <f>IF('Pivot table values'!AE33&gt;0,1,0)</f>
        <v>0</v>
      </c>
      <c r="AK30">
        <f>IF('Pivot table values'!AF33&gt;0,1,0)</f>
        <v>1</v>
      </c>
      <c r="AL30">
        <f>IF('Pivot table values'!AG33&gt;0,1,0)</f>
        <v>0</v>
      </c>
      <c r="AM30">
        <f>IF('Pivot table values'!AH33&gt;0,1,0)</f>
        <v>1</v>
      </c>
      <c r="AN30">
        <f>IF('Pivot table values'!AI33&gt;0,1,0)</f>
        <v>1</v>
      </c>
      <c r="AO30">
        <f>IF('Pivot table values'!AJ33&gt;0,1,0)</f>
        <v>0</v>
      </c>
      <c r="AP30">
        <f>IF('Pivot table values'!AK33&gt;0,1,0)</f>
        <v>0</v>
      </c>
      <c r="AQ30">
        <f>IF('Pivot table values'!AL33&gt;0,1,0)</f>
        <v>0</v>
      </c>
      <c r="AR30">
        <f>IF('Pivot table values'!AM33&gt;0,1,0)</f>
        <v>0</v>
      </c>
      <c r="AS30">
        <f>IF('Pivot table values'!AN33&gt;0,1,0)</f>
        <v>0</v>
      </c>
      <c r="AT30">
        <f>IF('Pivot table values'!AO33&gt;0,1,0)</f>
        <v>0</v>
      </c>
      <c r="AU30">
        <f>IF('Pivot table values'!AP33&gt;0,1,0)</f>
        <v>0</v>
      </c>
      <c r="AV30">
        <f>IF('Pivot table values'!AQ33&gt;0,1,0)</f>
        <v>0</v>
      </c>
      <c r="AW30">
        <f>IF('Pivot table values'!AR33&gt;0,1,0)</f>
        <v>0</v>
      </c>
      <c r="AX30">
        <f>IF('Pivot table values'!AS33&gt;0,1,0)</f>
        <v>0</v>
      </c>
      <c r="AY30">
        <f>IF('Pivot table values'!AT33&gt;0,1,0)</f>
        <v>0</v>
      </c>
      <c r="AZ30">
        <f>IF('Pivot table values'!AU33&gt;0,1,0)</f>
        <v>0</v>
      </c>
      <c r="BA30">
        <f>IF('Pivot table values'!AV33&gt;0,1,0)</f>
        <v>0</v>
      </c>
      <c r="BB30">
        <f>IF('Pivot table values'!AW33&gt;0,1,0)</f>
        <v>0</v>
      </c>
      <c r="BC30">
        <f>IF('Pivot table values'!AX33&gt;0,1,0)</f>
        <v>0</v>
      </c>
      <c r="BD30">
        <f>IF('Pivot table values'!AY33&gt;0,1,0)</f>
        <v>0</v>
      </c>
      <c r="BE30">
        <f>IF('Pivot table values'!AZ33&gt;0,1,0)</f>
        <v>0</v>
      </c>
      <c r="BF30">
        <f>IF('Pivot table values'!BA33&gt;0,1,0)</f>
        <v>0</v>
      </c>
      <c r="BG30">
        <f>IF('Pivot table values'!BB33&gt;0,1,0)</f>
        <v>0</v>
      </c>
      <c r="BH30">
        <f>IF('Pivot table values'!BC33&gt;0,1,0)</f>
        <v>0</v>
      </c>
      <c r="BI30">
        <f>IF('Pivot table values'!BD33&gt;0,1,0)</f>
        <v>0</v>
      </c>
      <c r="BJ30">
        <f>IF('Pivot table values'!BE33&gt;0,1,0)</f>
        <v>0</v>
      </c>
      <c r="BK30">
        <f>IF('Pivot table values'!BF33&gt;0,1,0)</f>
        <v>1</v>
      </c>
      <c r="BL30">
        <f>IF('Pivot table values'!BG33&gt;0,1,0)</f>
        <v>0</v>
      </c>
      <c r="BM30">
        <f>IF('Pivot table values'!BH33&gt;0,1,0)</f>
        <v>1</v>
      </c>
      <c r="BN30">
        <f>IF('Pivot table values'!BI33&gt;0,1,0)</f>
        <v>1</v>
      </c>
      <c r="BO30">
        <f>IF('Pivot table values'!BJ33&gt;0,1,0)</f>
        <v>0</v>
      </c>
      <c r="BP30">
        <f>IF('Pivot table values'!BK33&gt;0,1,0)</f>
        <v>0</v>
      </c>
      <c r="BQ30">
        <f>IF('Pivot table values'!BL33&gt;0,1,0)</f>
        <v>0</v>
      </c>
      <c r="BR30">
        <f>IF('Pivot table values'!BM33&gt;0,1,0)</f>
        <v>1</v>
      </c>
      <c r="BS30">
        <f>IF('Pivot table values'!BN33&gt;0,1,0)</f>
        <v>0</v>
      </c>
      <c r="BT30">
        <f>IF('Pivot table values'!BO33&gt;0,1,0)</f>
        <v>0</v>
      </c>
      <c r="BU30">
        <f>IF('Pivot table values'!BP33&gt;0,1,0)</f>
        <v>0</v>
      </c>
      <c r="BV30">
        <f>IF('Pivot table values'!BQ33&gt;0,1,0)</f>
        <v>0</v>
      </c>
      <c r="BW30">
        <f>IF('Pivot table values'!BR33&gt;0,1,0)</f>
        <v>0</v>
      </c>
      <c r="BX30">
        <f>IF('Pivot table values'!BS33&gt;0,1,0)</f>
        <v>0</v>
      </c>
      <c r="BY30">
        <f>IF('Pivot table values'!BT33&gt;0,1,0)</f>
        <v>1</v>
      </c>
      <c r="BZ30">
        <f>IF('Pivot table values'!BU33&gt;0,1,0)</f>
        <v>1</v>
      </c>
    </row>
    <row r="31" spans="1:78" x14ac:dyDescent="0.3">
      <c r="A31" s="4" t="s">
        <v>188</v>
      </c>
      <c r="B31" s="4" t="str">
        <f>VLOOKUP($A31,Vlookup!$A$2:$E$62,2,FALSE)</f>
        <v>Vanilla Strawberry</v>
      </c>
      <c r="C31" s="4" t="str">
        <f>VLOOKUP($A31,Vlookup!$A$2:$E$62,3,FALSE)</f>
        <v>Hydrangea paniculata</v>
      </c>
      <c r="D31" s="4" t="str">
        <f>VLOOKUP($A31,Vlookup!$A$2:$E$62,4,FALSE)</f>
        <v>Mop-like panicle</v>
      </c>
      <c r="E31" s="4" t="str">
        <f>VLOOKUP($A31,Vlookup!$A$2:$E$62,5,FALSE)</f>
        <v>Dense</v>
      </c>
      <c r="F31" s="4">
        <f t="shared" si="0"/>
        <v>19</v>
      </c>
      <c r="G31">
        <f>IF('Pivot table values'!B34&gt;0,1,0)</f>
        <v>1</v>
      </c>
      <c r="H31">
        <f>IF('Pivot table values'!C34&gt;0,1,0)</f>
        <v>0</v>
      </c>
      <c r="I31">
        <f>IF('Pivot table values'!D34&gt;0,1,0)</f>
        <v>1</v>
      </c>
      <c r="J31">
        <f>IF('Pivot table values'!E34&gt;0,1,0)</f>
        <v>0</v>
      </c>
      <c r="K31">
        <f>IF('Pivot table values'!F34&gt;0,1,0)</f>
        <v>1</v>
      </c>
      <c r="L31">
        <f>IF('Pivot table values'!G34&gt;0,1,0)</f>
        <v>1</v>
      </c>
      <c r="M31">
        <f>IF('Pivot table values'!H34&gt;0,1,0)</f>
        <v>0</v>
      </c>
      <c r="N31">
        <f>IF('Pivot table values'!I34&gt;0,1,0)</f>
        <v>0</v>
      </c>
      <c r="O31">
        <f>IF('Pivot table values'!J34&gt;0,1,0)</f>
        <v>1</v>
      </c>
      <c r="P31">
        <f>IF('Pivot table values'!K34&gt;0,1,0)</f>
        <v>0</v>
      </c>
      <c r="Q31">
        <f>IF('Pivot table values'!L34&gt;0,1,0)</f>
        <v>0</v>
      </c>
      <c r="R31">
        <f>IF('Pivot table values'!M34&gt;0,1,0)</f>
        <v>0</v>
      </c>
      <c r="S31">
        <f>IF('Pivot table values'!N34&gt;0,1,0)</f>
        <v>1</v>
      </c>
      <c r="T31">
        <f>IF('Pivot table values'!O34&gt;0,1,0)</f>
        <v>1</v>
      </c>
      <c r="U31">
        <f>IF('Pivot table values'!P34&gt;0,1,0)</f>
        <v>0</v>
      </c>
      <c r="V31">
        <f>IF('Pivot table values'!Q34&gt;0,1,0)</f>
        <v>1</v>
      </c>
      <c r="W31">
        <f>IF('Pivot table values'!R34&gt;0,1,0)</f>
        <v>1</v>
      </c>
      <c r="X31">
        <f>IF('Pivot table values'!S34&gt;0,1,0)</f>
        <v>1</v>
      </c>
      <c r="Y31">
        <f>IF('Pivot table values'!T34&gt;0,1,0)</f>
        <v>0</v>
      </c>
      <c r="Z31">
        <f>IF('Pivot table values'!U34&gt;0,1,0)</f>
        <v>0</v>
      </c>
      <c r="AA31">
        <f>IF('Pivot table values'!V34&gt;0,1,0)</f>
        <v>1</v>
      </c>
      <c r="AB31">
        <f>IF('Pivot table values'!W34&gt;0,1,0)</f>
        <v>0</v>
      </c>
      <c r="AC31">
        <f>IF('Pivot table values'!X34&gt;0,1,0)</f>
        <v>1</v>
      </c>
      <c r="AD31">
        <f>IF('Pivot table values'!Y34&gt;0,1,0)</f>
        <v>1</v>
      </c>
      <c r="AE31">
        <f>IF('Pivot table values'!Z34&gt;0,1,0)</f>
        <v>0</v>
      </c>
      <c r="AF31">
        <f>IF('Pivot table values'!AA34&gt;0,1,0)</f>
        <v>0</v>
      </c>
      <c r="AG31">
        <f>IF('Pivot table values'!AB34&gt;0,1,0)</f>
        <v>0</v>
      </c>
      <c r="AH31">
        <f>IF('Pivot table values'!AC34&gt;0,1,0)</f>
        <v>0</v>
      </c>
      <c r="AI31">
        <f>IF('Pivot table values'!AD34&gt;0,1,0)</f>
        <v>0</v>
      </c>
      <c r="AJ31">
        <f>IF('Pivot table values'!AE34&gt;0,1,0)</f>
        <v>0</v>
      </c>
      <c r="AK31">
        <f>IF('Pivot table values'!AF34&gt;0,1,0)</f>
        <v>0</v>
      </c>
      <c r="AL31">
        <f>IF('Pivot table values'!AG34&gt;0,1,0)</f>
        <v>0</v>
      </c>
      <c r="AM31">
        <f>IF('Pivot table values'!AH34&gt;0,1,0)</f>
        <v>1</v>
      </c>
      <c r="AN31">
        <f>IF('Pivot table values'!AI34&gt;0,1,0)</f>
        <v>1</v>
      </c>
      <c r="AO31">
        <f>IF('Pivot table values'!AJ34&gt;0,1,0)</f>
        <v>0</v>
      </c>
      <c r="AP31">
        <f>IF('Pivot table values'!AK34&gt;0,1,0)</f>
        <v>1</v>
      </c>
      <c r="AQ31">
        <f>IF('Pivot table values'!AL34&gt;0,1,0)</f>
        <v>0</v>
      </c>
      <c r="AR31">
        <f>IF('Pivot table values'!AM34&gt;0,1,0)</f>
        <v>0</v>
      </c>
      <c r="AS31">
        <f>IF('Pivot table values'!AN34&gt;0,1,0)</f>
        <v>0</v>
      </c>
      <c r="AT31">
        <f>IF('Pivot table values'!AO34&gt;0,1,0)</f>
        <v>0</v>
      </c>
      <c r="AU31">
        <f>IF('Pivot table values'!AP34&gt;0,1,0)</f>
        <v>0</v>
      </c>
      <c r="AV31">
        <f>IF('Pivot table values'!AQ34&gt;0,1,0)</f>
        <v>0</v>
      </c>
      <c r="AW31">
        <f>IF('Pivot table values'!AR34&gt;0,1,0)</f>
        <v>1</v>
      </c>
      <c r="AX31">
        <f>IF('Pivot table values'!AS34&gt;0,1,0)</f>
        <v>0</v>
      </c>
      <c r="AY31">
        <f>IF('Pivot table values'!AT34&gt;0,1,0)</f>
        <v>0</v>
      </c>
      <c r="AZ31">
        <f>IF('Pivot table values'!AU34&gt;0,1,0)</f>
        <v>0</v>
      </c>
      <c r="BA31">
        <f>IF('Pivot table values'!AV34&gt;0,1,0)</f>
        <v>0</v>
      </c>
      <c r="BB31">
        <f>IF('Pivot table values'!AW34&gt;0,1,0)</f>
        <v>0</v>
      </c>
      <c r="BC31">
        <f>IF('Pivot table values'!AX34&gt;0,1,0)</f>
        <v>0</v>
      </c>
      <c r="BD31">
        <f>IF('Pivot table values'!AY34&gt;0,1,0)</f>
        <v>0</v>
      </c>
      <c r="BE31">
        <f>IF('Pivot table values'!AZ34&gt;0,1,0)</f>
        <v>0</v>
      </c>
      <c r="BF31">
        <f>IF('Pivot table values'!BA34&gt;0,1,0)</f>
        <v>0</v>
      </c>
      <c r="BG31">
        <f>IF('Pivot table values'!BB34&gt;0,1,0)</f>
        <v>0</v>
      </c>
      <c r="BH31">
        <f>IF('Pivot table values'!BC34&gt;0,1,0)</f>
        <v>0</v>
      </c>
      <c r="BI31">
        <f>IF('Pivot table values'!BD34&gt;0,1,0)</f>
        <v>0</v>
      </c>
      <c r="BJ31">
        <f>IF('Pivot table values'!BE34&gt;0,1,0)</f>
        <v>0</v>
      </c>
      <c r="BK31">
        <f>IF('Pivot table values'!BF34&gt;0,1,0)</f>
        <v>0</v>
      </c>
      <c r="BL31">
        <f>IF('Pivot table values'!BG34&gt;0,1,0)</f>
        <v>0</v>
      </c>
      <c r="BM31">
        <f>IF('Pivot table values'!BH34&gt;0,1,0)</f>
        <v>1</v>
      </c>
      <c r="BN31">
        <f>IF('Pivot table values'!BI34&gt;0,1,0)</f>
        <v>1</v>
      </c>
      <c r="BO31">
        <f>IF('Pivot table values'!BJ34&gt;0,1,0)</f>
        <v>0</v>
      </c>
      <c r="BP31">
        <f>IF('Pivot table values'!BK34&gt;0,1,0)</f>
        <v>0</v>
      </c>
      <c r="BQ31">
        <f>IF('Pivot table values'!BL34&gt;0,1,0)</f>
        <v>0</v>
      </c>
      <c r="BR31">
        <f>IF('Pivot table values'!BM34&gt;0,1,0)</f>
        <v>0</v>
      </c>
      <c r="BS31">
        <f>IF('Pivot table values'!BN34&gt;0,1,0)</f>
        <v>0</v>
      </c>
      <c r="BT31">
        <f>IF('Pivot table values'!BO34&gt;0,1,0)</f>
        <v>0</v>
      </c>
      <c r="BU31">
        <f>IF('Pivot table values'!BP34&gt;0,1,0)</f>
        <v>0</v>
      </c>
      <c r="BV31">
        <f>IF('Pivot table values'!BQ34&gt;0,1,0)</f>
        <v>0</v>
      </c>
      <c r="BW31">
        <f>IF('Pivot table values'!BR34&gt;0,1,0)</f>
        <v>0</v>
      </c>
      <c r="BX31">
        <f>IF('Pivot table values'!BS34&gt;0,1,0)</f>
        <v>0</v>
      </c>
      <c r="BY31">
        <f>IF('Pivot table values'!BT34&gt;0,1,0)</f>
        <v>0</v>
      </c>
      <c r="BZ31">
        <f>IF('Pivot table values'!BU34&gt;0,1,0)</f>
        <v>0</v>
      </c>
    </row>
    <row r="32" spans="1:78" x14ac:dyDescent="0.3">
      <c r="A32" s="4" t="s">
        <v>177</v>
      </c>
      <c r="B32" s="4" t="str">
        <f>VLOOKUP($A32,Vlookup!$A$2:$E$62,2,FALSE)</f>
        <v>Bounty</v>
      </c>
      <c r="C32" s="4" t="str">
        <f>VLOOKUP($A32,Vlookup!$A$2:$E$62,3,FALSE)</f>
        <v>Hydrangea arborescens</v>
      </c>
      <c r="D32" s="4" t="str">
        <f>VLOOKUP($A32,Vlookup!$A$2:$E$62,4,FALSE)</f>
        <v>Mop</v>
      </c>
      <c r="E32" s="4" t="str">
        <f>VLOOKUP($A32,Vlookup!$A$2:$E$62,5,FALSE)</f>
        <v>Half-open</v>
      </c>
      <c r="F32" s="4">
        <f t="shared" si="0"/>
        <v>4</v>
      </c>
      <c r="G32">
        <f>IF('Pivot table values'!B35&gt;0,1,0)</f>
        <v>0</v>
      </c>
      <c r="H32">
        <f>IF('Pivot table values'!C35&gt;0,1,0)</f>
        <v>0</v>
      </c>
      <c r="I32">
        <f>IF('Pivot table values'!D35&gt;0,1,0)</f>
        <v>0</v>
      </c>
      <c r="J32">
        <f>IF('Pivot table values'!E35&gt;0,1,0)</f>
        <v>0</v>
      </c>
      <c r="K32">
        <f>IF('Pivot table values'!F35&gt;0,1,0)</f>
        <v>0</v>
      </c>
      <c r="L32">
        <f>IF('Pivot table values'!G35&gt;0,1,0)</f>
        <v>0</v>
      </c>
      <c r="M32">
        <f>IF('Pivot table values'!H35&gt;0,1,0)</f>
        <v>0</v>
      </c>
      <c r="N32">
        <f>IF('Pivot table values'!I35&gt;0,1,0)</f>
        <v>0</v>
      </c>
      <c r="O32">
        <f>IF('Pivot table values'!J35&gt;0,1,0)</f>
        <v>0</v>
      </c>
      <c r="P32">
        <f>IF('Pivot table values'!K35&gt;0,1,0)</f>
        <v>0</v>
      </c>
      <c r="Q32">
        <f>IF('Pivot table values'!L35&gt;0,1,0)</f>
        <v>0</v>
      </c>
      <c r="R32">
        <f>IF('Pivot table values'!M35&gt;0,1,0)</f>
        <v>0</v>
      </c>
      <c r="S32">
        <f>IF('Pivot table values'!N35&gt;0,1,0)</f>
        <v>0</v>
      </c>
      <c r="T32">
        <f>IF('Pivot table values'!O35&gt;0,1,0)</f>
        <v>0</v>
      </c>
      <c r="U32">
        <f>IF('Pivot table values'!P35&gt;0,1,0)</f>
        <v>0</v>
      </c>
      <c r="V32">
        <f>IF('Pivot table values'!Q35&gt;0,1,0)</f>
        <v>0</v>
      </c>
      <c r="W32">
        <f>IF('Pivot table values'!R35&gt;0,1,0)</f>
        <v>1</v>
      </c>
      <c r="X32">
        <f>IF('Pivot table values'!S35&gt;0,1,0)</f>
        <v>0</v>
      </c>
      <c r="Y32">
        <f>IF('Pivot table values'!T35&gt;0,1,0)</f>
        <v>0</v>
      </c>
      <c r="Z32">
        <f>IF('Pivot table values'!U35&gt;0,1,0)</f>
        <v>0</v>
      </c>
      <c r="AA32">
        <f>IF('Pivot table values'!V35&gt;0,1,0)</f>
        <v>0</v>
      </c>
      <c r="AB32">
        <f>IF('Pivot table values'!W35&gt;0,1,0)</f>
        <v>0</v>
      </c>
      <c r="AC32">
        <f>IF('Pivot table values'!X35&gt;0,1,0)</f>
        <v>0</v>
      </c>
      <c r="AD32">
        <f>IF('Pivot table values'!Y35&gt;0,1,0)</f>
        <v>0</v>
      </c>
      <c r="AE32">
        <f>IF('Pivot table values'!Z35&gt;0,1,0)</f>
        <v>0</v>
      </c>
      <c r="AF32">
        <f>IF('Pivot table values'!AA35&gt;0,1,0)</f>
        <v>0</v>
      </c>
      <c r="AG32">
        <f>IF('Pivot table values'!AB35&gt;0,1,0)</f>
        <v>0</v>
      </c>
      <c r="AH32">
        <f>IF('Pivot table values'!AC35&gt;0,1,0)</f>
        <v>0</v>
      </c>
      <c r="AI32">
        <f>IF('Pivot table values'!AD35&gt;0,1,0)</f>
        <v>0</v>
      </c>
      <c r="AJ32">
        <f>IF('Pivot table values'!AE35&gt;0,1,0)</f>
        <v>0</v>
      </c>
      <c r="AK32">
        <f>IF('Pivot table values'!AF35&gt;0,1,0)</f>
        <v>0</v>
      </c>
      <c r="AL32">
        <f>IF('Pivot table values'!AG35&gt;0,1,0)</f>
        <v>0</v>
      </c>
      <c r="AM32">
        <f>IF('Pivot table values'!AH35&gt;0,1,0)</f>
        <v>0</v>
      </c>
      <c r="AN32">
        <f>IF('Pivot table values'!AI35&gt;0,1,0)</f>
        <v>0</v>
      </c>
      <c r="AO32">
        <f>IF('Pivot table values'!AJ35&gt;0,1,0)</f>
        <v>0</v>
      </c>
      <c r="AP32">
        <f>IF('Pivot table values'!AK35&gt;0,1,0)</f>
        <v>0</v>
      </c>
      <c r="AQ32">
        <f>IF('Pivot table values'!AL35&gt;0,1,0)</f>
        <v>0</v>
      </c>
      <c r="AR32">
        <f>IF('Pivot table values'!AM35&gt;0,1,0)</f>
        <v>0</v>
      </c>
      <c r="AS32">
        <f>IF('Pivot table values'!AN35&gt;0,1,0)</f>
        <v>0</v>
      </c>
      <c r="AT32">
        <f>IF('Pivot table values'!AO35&gt;0,1,0)</f>
        <v>1</v>
      </c>
      <c r="AU32">
        <f>IF('Pivot table values'!AP35&gt;0,1,0)</f>
        <v>0</v>
      </c>
      <c r="AV32">
        <f>IF('Pivot table values'!AQ35&gt;0,1,0)</f>
        <v>0</v>
      </c>
      <c r="AW32">
        <f>IF('Pivot table values'!AR35&gt;0,1,0)</f>
        <v>0</v>
      </c>
      <c r="AX32">
        <f>IF('Pivot table values'!AS35&gt;0,1,0)</f>
        <v>0</v>
      </c>
      <c r="AY32">
        <f>IF('Pivot table values'!AT35&gt;0,1,0)</f>
        <v>0</v>
      </c>
      <c r="AZ32">
        <f>IF('Pivot table values'!AU35&gt;0,1,0)</f>
        <v>0</v>
      </c>
      <c r="BA32">
        <f>IF('Pivot table values'!AV35&gt;0,1,0)</f>
        <v>0</v>
      </c>
      <c r="BB32">
        <f>IF('Pivot table values'!AW35&gt;0,1,0)</f>
        <v>0</v>
      </c>
      <c r="BC32">
        <f>IF('Pivot table values'!AX35&gt;0,1,0)</f>
        <v>0</v>
      </c>
      <c r="BD32">
        <f>IF('Pivot table values'!AY35&gt;0,1,0)</f>
        <v>0</v>
      </c>
      <c r="BE32">
        <f>IF('Pivot table values'!AZ35&gt;0,1,0)</f>
        <v>0</v>
      </c>
      <c r="BF32">
        <f>IF('Pivot table values'!BA35&gt;0,1,0)</f>
        <v>0</v>
      </c>
      <c r="BG32">
        <f>IF('Pivot table values'!BB35&gt;0,1,0)</f>
        <v>0</v>
      </c>
      <c r="BH32">
        <f>IF('Pivot table values'!BC35&gt;0,1,0)</f>
        <v>0</v>
      </c>
      <c r="BI32">
        <f>IF('Pivot table values'!BD35&gt;0,1,0)</f>
        <v>0</v>
      </c>
      <c r="BJ32">
        <f>IF('Pivot table values'!BE35&gt;0,1,0)</f>
        <v>0</v>
      </c>
      <c r="BK32">
        <f>IF('Pivot table values'!BF35&gt;0,1,0)</f>
        <v>0</v>
      </c>
      <c r="BL32">
        <f>IF('Pivot table values'!BG35&gt;0,1,0)</f>
        <v>0</v>
      </c>
      <c r="BM32">
        <f>IF('Pivot table values'!BH35&gt;0,1,0)</f>
        <v>1</v>
      </c>
      <c r="BN32">
        <f>IF('Pivot table values'!BI35&gt;0,1,0)</f>
        <v>1</v>
      </c>
      <c r="BO32">
        <f>IF('Pivot table values'!BJ35&gt;0,1,0)</f>
        <v>0</v>
      </c>
      <c r="BP32">
        <f>IF('Pivot table values'!BK35&gt;0,1,0)</f>
        <v>0</v>
      </c>
      <c r="BQ32">
        <f>IF('Pivot table values'!BL35&gt;0,1,0)</f>
        <v>0</v>
      </c>
      <c r="BR32">
        <f>IF('Pivot table values'!BM35&gt;0,1,0)</f>
        <v>0</v>
      </c>
      <c r="BS32">
        <f>IF('Pivot table values'!BN35&gt;0,1,0)</f>
        <v>0</v>
      </c>
      <c r="BT32">
        <f>IF('Pivot table values'!BO35&gt;0,1,0)</f>
        <v>0</v>
      </c>
      <c r="BU32">
        <f>IF('Pivot table values'!BP35&gt;0,1,0)</f>
        <v>0</v>
      </c>
      <c r="BV32">
        <f>IF('Pivot table values'!BQ35&gt;0,1,0)</f>
        <v>0</v>
      </c>
      <c r="BW32">
        <f>IF('Pivot table values'!BR35&gt;0,1,0)</f>
        <v>0</v>
      </c>
      <c r="BX32">
        <f>IF('Pivot table values'!BS35&gt;0,1,0)</f>
        <v>0</v>
      </c>
      <c r="BY32">
        <f>IF('Pivot table values'!BT35&gt;0,1,0)</f>
        <v>0</v>
      </c>
      <c r="BZ32">
        <f>IF('Pivot table values'!BU35&gt;0,1,0)</f>
        <v>0</v>
      </c>
    </row>
    <row r="33" spans="1:78" x14ac:dyDescent="0.3">
      <c r="A33" s="4" t="s">
        <v>160</v>
      </c>
      <c r="B33" s="4" t="str">
        <f>VLOOKUP($A33,Vlookup!$A$2:$E$62,2,FALSE)</f>
        <v>White Diamonds</v>
      </c>
      <c r="C33" s="4" t="str">
        <f>VLOOKUP($A33,Vlookup!$A$2:$E$62,3,FALSE)</f>
        <v>Hydrangea paniculata</v>
      </c>
      <c r="D33" s="4" t="str">
        <f>VLOOKUP($A33,Vlookup!$A$2:$E$62,4,FALSE)</f>
        <v>Mop-like panicle</v>
      </c>
      <c r="E33" s="4" t="str">
        <f>VLOOKUP($A33,Vlookup!$A$2:$E$62,5,FALSE)</f>
        <v>Half-open</v>
      </c>
      <c r="F33" s="4">
        <f t="shared" si="0"/>
        <v>15</v>
      </c>
      <c r="G33">
        <f>IF('Pivot table values'!B36&gt;0,1,0)</f>
        <v>0</v>
      </c>
      <c r="H33">
        <f>IF('Pivot table values'!C36&gt;0,1,0)</f>
        <v>0</v>
      </c>
      <c r="I33">
        <f>IF('Pivot table values'!D36&gt;0,1,0)</f>
        <v>0</v>
      </c>
      <c r="J33">
        <f>IF('Pivot table values'!E36&gt;0,1,0)</f>
        <v>0</v>
      </c>
      <c r="K33">
        <f>IF('Pivot table values'!F36&gt;0,1,0)</f>
        <v>1</v>
      </c>
      <c r="L33">
        <f>IF('Pivot table values'!G36&gt;0,1,0)</f>
        <v>0</v>
      </c>
      <c r="M33">
        <f>IF('Pivot table values'!H36&gt;0,1,0)</f>
        <v>0</v>
      </c>
      <c r="N33">
        <f>IF('Pivot table values'!I36&gt;0,1,0)</f>
        <v>1</v>
      </c>
      <c r="O33">
        <f>IF('Pivot table values'!J36&gt;0,1,0)</f>
        <v>0</v>
      </c>
      <c r="P33">
        <f>IF('Pivot table values'!K36&gt;0,1,0)</f>
        <v>0</v>
      </c>
      <c r="Q33">
        <f>IF('Pivot table values'!L36&gt;0,1,0)</f>
        <v>0</v>
      </c>
      <c r="R33">
        <f>IF('Pivot table values'!M36&gt;0,1,0)</f>
        <v>0</v>
      </c>
      <c r="S33">
        <f>IF('Pivot table values'!N36&gt;0,1,0)</f>
        <v>1</v>
      </c>
      <c r="T33">
        <f>IF('Pivot table values'!O36&gt;0,1,0)</f>
        <v>0</v>
      </c>
      <c r="U33">
        <f>IF('Pivot table values'!P36&gt;0,1,0)</f>
        <v>0</v>
      </c>
      <c r="V33">
        <f>IF('Pivot table values'!Q36&gt;0,1,0)</f>
        <v>1</v>
      </c>
      <c r="W33">
        <f>IF('Pivot table values'!R36&gt;0,1,0)</f>
        <v>1</v>
      </c>
      <c r="X33">
        <f>IF('Pivot table values'!S36&gt;0,1,0)</f>
        <v>0</v>
      </c>
      <c r="Y33">
        <f>IF('Pivot table values'!T36&gt;0,1,0)</f>
        <v>1</v>
      </c>
      <c r="Z33">
        <f>IF('Pivot table values'!U36&gt;0,1,0)</f>
        <v>0</v>
      </c>
      <c r="AA33">
        <f>IF('Pivot table values'!V36&gt;0,1,0)</f>
        <v>1</v>
      </c>
      <c r="AB33">
        <f>IF('Pivot table values'!W36&gt;0,1,0)</f>
        <v>0</v>
      </c>
      <c r="AC33">
        <f>IF('Pivot table values'!X36&gt;0,1,0)</f>
        <v>1</v>
      </c>
      <c r="AD33">
        <f>IF('Pivot table values'!Y36&gt;0,1,0)</f>
        <v>0</v>
      </c>
      <c r="AE33">
        <f>IF('Pivot table values'!Z36&gt;0,1,0)</f>
        <v>0</v>
      </c>
      <c r="AF33">
        <f>IF('Pivot table values'!AA36&gt;0,1,0)</f>
        <v>0</v>
      </c>
      <c r="AG33">
        <f>IF('Pivot table values'!AB36&gt;0,1,0)</f>
        <v>0</v>
      </c>
      <c r="AH33">
        <f>IF('Pivot table values'!AC36&gt;0,1,0)</f>
        <v>0</v>
      </c>
      <c r="AI33">
        <f>IF('Pivot table values'!AD36&gt;0,1,0)</f>
        <v>0</v>
      </c>
      <c r="AJ33">
        <f>IF('Pivot table values'!AE36&gt;0,1,0)</f>
        <v>1</v>
      </c>
      <c r="AK33">
        <f>IF('Pivot table values'!AF36&gt;0,1,0)</f>
        <v>0</v>
      </c>
      <c r="AL33">
        <f>IF('Pivot table values'!AG36&gt;0,1,0)</f>
        <v>0</v>
      </c>
      <c r="AM33">
        <f>IF('Pivot table values'!AH36&gt;0,1,0)</f>
        <v>1</v>
      </c>
      <c r="AN33">
        <f>IF('Pivot table values'!AI36&gt;0,1,0)</f>
        <v>0</v>
      </c>
      <c r="AO33">
        <f>IF('Pivot table values'!AJ36&gt;0,1,0)</f>
        <v>0</v>
      </c>
      <c r="AP33">
        <f>IF('Pivot table values'!AK36&gt;0,1,0)</f>
        <v>0</v>
      </c>
      <c r="AQ33">
        <f>IF('Pivot table values'!AL36&gt;0,1,0)</f>
        <v>0</v>
      </c>
      <c r="AR33">
        <f>IF('Pivot table values'!AM36&gt;0,1,0)</f>
        <v>0</v>
      </c>
      <c r="AS33">
        <f>IF('Pivot table values'!AN36&gt;0,1,0)</f>
        <v>0</v>
      </c>
      <c r="AT33">
        <f>IF('Pivot table values'!AO36&gt;0,1,0)</f>
        <v>0</v>
      </c>
      <c r="AU33">
        <f>IF('Pivot table values'!AP36&gt;0,1,0)</f>
        <v>0</v>
      </c>
      <c r="AV33">
        <f>IF('Pivot table values'!AQ36&gt;0,1,0)</f>
        <v>0</v>
      </c>
      <c r="AW33">
        <f>IF('Pivot table values'!AR36&gt;0,1,0)</f>
        <v>0</v>
      </c>
      <c r="AX33">
        <f>IF('Pivot table values'!AS36&gt;0,1,0)</f>
        <v>0</v>
      </c>
      <c r="AY33">
        <f>IF('Pivot table values'!AT36&gt;0,1,0)</f>
        <v>0</v>
      </c>
      <c r="AZ33">
        <f>IF('Pivot table values'!AU36&gt;0,1,0)</f>
        <v>0</v>
      </c>
      <c r="BA33">
        <f>IF('Pivot table values'!AV36&gt;0,1,0)</f>
        <v>0</v>
      </c>
      <c r="BB33">
        <f>IF('Pivot table values'!AW36&gt;0,1,0)</f>
        <v>0</v>
      </c>
      <c r="BC33">
        <f>IF('Pivot table values'!AX36&gt;0,1,0)</f>
        <v>0</v>
      </c>
      <c r="BD33">
        <f>IF('Pivot table values'!AY36&gt;0,1,0)</f>
        <v>0</v>
      </c>
      <c r="BE33">
        <f>IF('Pivot table values'!AZ36&gt;0,1,0)</f>
        <v>1</v>
      </c>
      <c r="BF33">
        <f>IF('Pivot table values'!BA36&gt;0,1,0)</f>
        <v>0</v>
      </c>
      <c r="BG33">
        <f>IF('Pivot table values'!BB36&gt;0,1,0)</f>
        <v>0</v>
      </c>
      <c r="BH33">
        <f>IF('Pivot table values'!BC36&gt;0,1,0)</f>
        <v>0</v>
      </c>
      <c r="BI33">
        <f>IF('Pivot table values'!BD36&gt;0,1,0)</f>
        <v>0</v>
      </c>
      <c r="BJ33">
        <f>IF('Pivot table values'!BE36&gt;0,1,0)</f>
        <v>0</v>
      </c>
      <c r="BK33">
        <f>IF('Pivot table values'!BF36&gt;0,1,0)</f>
        <v>1</v>
      </c>
      <c r="BL33">
        <f>IF('Pivot table values'!BG36&gt;0,1,0)</f>
        <v>0</v>
      </c>
      <c r="BM33">
        <f>IF('Pivot table values'!BH36&gt;0,1,0)</f>
        <v>1</v>
      </c>
      <c r="BN33">
        <f>IF('Pivot table values'!BI36&gt;0,1,0)</f>
        <v>1</v>
      </c>
      <c r="BO33">
        <f>IF('Pivot table values'!BJ36&gt;0,1,0)</f>
        <v>0</v>
      </c>
      <c r="BP33">
        <f>IF('Pivot table values'!BK36&gt;0,1,0)</f>
        <v>0</v>
      </c>
      <c r="BQ33">
        <f>IF('Pivot table values'!BL36&gt;0,1,0)</f>
        <v>0</v>
      </c>
      <c r="BR33">
        <f>IF('Pivot table values'!BM36&gt;0,1,0)</f>
        <v>0</v>
      </c>
      <c r="BS33">
        <f>IF('Pivot table values'!BN36&gt;0,1,0)</f>
        <v>0</v>
      </c>
      <c r="BT33">
        <f>IF('Pivot table values'!BO36&gt;0,1,0)</f>
        <v>0</v>
      </c>
      <c r="BU33">
        <f>IF('Pivot table values'!BP36&gt;0,1,0)</f>
        <v>1</v>
      </c>
      <c r="BV33">
        <f>IF('Pivot table values'!BQ36&gt;0,1,0)</f>
        <v>0</v>
      </c>
      <c r="BW33">
        <f>IF('Pivot table values'!BR36&gt;0,1,0)</f>
        <v>0</v>
      </c>
      <c r="BX33">
        <f>IF('Pivot table values'!BS36&gt;0,1,0)</f>
        <v>0</v>
      </c>
      <c r="BY33">
        <f>IF('Pivot table values'!BT36&gt;0,1,0)</f>
        <v>0</v>
      </c>
      <c r="BZ33">
        <f>IF('Pivot table values'!BU36&gt;0,1,0)</f>
        <v>0</v>
      </c>
    </row>
    <row r="34" spans="1:78" x14ac:dyDescent="0.3">
      <c r="A34" s="4" t="s">
        <v>168</v>
      </c>
      <c r="B34" s="4" t="str">
        <f>VLOOKUP($A34,Vlookup!$A$2:$E$62,2,FALSE)</f>
        <v>Little Lamb</v>
      </c>
      <c r="C34" s="4" t="str">
        <f>VLOOKUP($A34,Vlookup!$A$2:$E$62,3,FALSE)</f>
        <v>Hydrangea paniculata</v>
      </c>
      <c r="D34" s="4" t="str">
        <f>VLOOKUP($A34,Vlookup!$A$2:$E$62,4,FALSE)</f>
        <v>Mop-like panicle</v>
      </c>
      <c r="E34" s="4" t="str">
        <f>VLOOKUP($A34,Vlookup!$A$2:$E$62,5,FALSE)</f>
        <v>Very dense</v>
      </c>
      <c r="F34" s="4">
        <f t="shared" si="0"/>
        <v>9</v>
      </c>
      <c r="G34">
        <f>IF('Pivot table values'!B37&gt;0,1,0)</f>
        <v>0</v>
      </c>
      <c r="H34">
        <f>IF('Pivot table values'!C37&gt;0,1,0)</f>
        <v>0</v>
      </c>
      <c r="I34">
        <f>IF('Pivot table values'!D37&gt;0,1,0)</f>
        <v>0</v>
      </c>
      <c r="J34">
        <f>IF('Pivot table values'!E37&gt;0,1,0)</f>
        <v>0</v>
      </c>
      <c r="K34">
        <f>IF('Pivot table values'!F37&gt;0,1,0)</f>
        <v>0</v>
      </c>
      <c r="L34">
        <f>IF('Pivot table values'!G37&gt;0,1,0)</f>
        <v>0</v>
      </c>
      <c r="M34">
        <f>IF('Pivot table values'!H37&gt;0,1,0)</f>
        <v>0</v>
      </c>
      <c r="N34">
        <f>IF('Pivot table values'!I37&gt;0,1,0)</f>
        <v>0</v>
      </c>
      <c r="O34">
        <f>IF('Pivot table values'!J37&gt;0,1,0)</f>
        <v>0</v>
      </c>
      <c r="P34">
        <f>IF('Pivot table values'!K37&gt;0,1,0)</f>
        <v>0</v>
      </c>
      <c r="Q34">
        <f>IF('Pivot table values'!L37&gt;0,1,0)</f>
        <v>0</v>
      </c>
      <c r="R34">
        <f>IF('Pivot table values'!M37&gt;0,1,0)</f>
        <v>0</v>
      </c>
      <c r="S34">
        <f>IF('Pivot table values'!N37&gt;0,1,0)</f>
        <v>0</v>
      </c>
      <c r="T34">
        <f>IF('Pivot table values'!O37&gt;0,1,0)</f>
        <v>0</v>
      </c>
      <c r="U34">
        <f>IF('Pivot table values'!P37&gt;0,1,0)</f>
        <v>0</v>
      </c>
      <c r="V34">
        <f>IF('Pivot table values'!Q37&gt;0,1,0)</f>
        <v>0</v>
      </c>
      <c r="W34">
        <f>IF('Pivot table values'!R37&gt;0,1,0)</f>
        <v>0</v>
      </c>
      <c r="X34">
        <f>IF('Pivot table values'!S37&gt;0,1,0)</f>
        <v>1</v>
      </c>
      <c r="Y34">
        <f>IF('Pivot table values'!T37&gt;0,1,0)</f>
        <v>0</v>
      </c>
      <c r="Z34">
        <f>IF('Pivot table values'!U37&gt;0,1,0)</f>
        <v>0</v>
      </c>
      <c r="AA34">
        <f>IF('Pivot table values'!V37&gt;0,1,0)</f>
        <v>0</v>
      </c>
      <c r="AB34">
        <f>IF('Pivot table values'!W37&gt;0,1,0)</f>
        <v>0</v>
      </c>
      <c r="AC34">
        <f>IF('Pivot table values'!X37&gt;0,1,0)</f>
        <v>1</v>
      </c>
      <c r="AD34">
        <f>IF('Pivot table values'!Y37&gt;0,1,0)</f>
        <v>0</v>
      </c>
      <c r="AE34">
        <f>IF('Pivot table values'!Z37&gt;0,1,0)</f>
        <v>0</v>
      </c>
      <c r="AF34">
        <f>IF('Pivot table values'!AA37&gt;0,1,0)</f>
        <v>0</v>
      </c>
      <c r="AG34">
        <f>IF('Pivot table values'!AB37&gt;0,1,0)</f>
        <v>0</v>
      </c>
      <c r="AH34">
        <f>IF('Pivot table values'!AC37&gt;0,1,0)</f>
        <v>0</v>
      </c>
      <c r="AI34">
        <f>IF('Pivot table values'!AD37&gt;0,1,0)</f>
        <v>0</v>
      </c>
      <c r="AJ34">
        <f>IF('Pivot table values'!AE37&gt;0,1,0)</f>
        <v>0</v>
      </c>
      <c r="AK34">
        <f>IF('Pivot table values'!AF37&gt;0,1,0)</f>
        <v>0</v>
      </c>
      <c r="AL34">
        <f>IF('Pivot table values'!AG37&gt;0,1,0)</f>
        <v>0</v>
      </c>
      <c r="AM34">
        <f>IF('Pivot table values'!AH37&gt;0,1,0)</f>
        <v>1</v>
      </c>
      <c r="AN34">
        <f>IF('Pivot table values'!AI37&gt;0,1,0)</f>
        <v>1</v>
      </c>
      <c r="AO34">
        <f>IF('Pivot table values'!AJ37&gt;0,1,0)</f>
        <v>0</v>
      </c>
      <c r="AP34">
        <f>IF('Pivot table values'!AK37&gt;0,1,0)</f>
        <v>0</v>
      </c>
      <c r="AQ34">
        <f>IF('Pivot table values'!AL37&gt;0,1,0)</f>
        <v>0</v>
      </c>
      <c r="AR34">
        <f>IF('Pivot table values'!AM37&gt;0,1,0)</f>
        <v>0</v>
      </c>
      <c r="AS34">
        <f>IF('Pivot table values'!AN37&gt;0,1,0)</f>
        <v>0</v>
      </c>
      <c r="AT34">
        <f>IF('Pivot table values'!AO37&gt;0,1,0)</f>
        <v>0</v>
      </c>
      <c r="AU34">
        <f>IF('Pivot table values'!AP37&gt;0,1,0)</f>
        <v>0</v>
      </c>
      <c r="AV34">
        <f>IF('Pivot table values'!AQ37&gt;0,1,0)</f>
        <v>0</v>
      </c>
      <c r="AW34">
        <f>IF('Pivot table values'!AR37&gt;0,1,0)</f>
        <v>0</v>
      </c>
      <c r="AX34">
        <f>IF('Pivot table values'!AS37&gt;0,1,0)</f>
        <v>0</v>
      </c>
      <c r="AY34">
        <f>IF('Pivot table values'!AT37&gt;0,1,0)</f>
        <v>0</v>
      </c>
      <c r="AZ34">
        <f>IF('Pivot table values'!AU37&gt;0,1,0)</f>
        <v>0</v>
      </c>
      <c r="BA34">
        <f>IF('Pivot table values'!AV37&gt;0,1,0)</f>
        <v>0</v>
      </c>
      <c r="BB34">
        <f>IF('Pivot table values'!AW37&gt;0,1,0)</f>
        <v>0</v>
      </c>
      <c r="BC34">
        <f>IF('Pivot table values'!AX37&gt;0,1,0)</f>
        <v>0</v>
      </c>
      <c r="BD34">
        <f>IF('Pivot table values'!AY37&gt;0,1,0)</f>
        <v>0</v>
      </c>
      <c r="BE34">
        <f>IF('Pivot table values'!AZ37&gt;0,1,0)</f>
        <v>1</v>
      </c>
      <c r="BF34">
        <f>IF('Pivot table values'!BA37&gt;0,1,0)</f>
        <v>0</v>
      </c>
      <c r="BG34">
        <f>IF('Pivot table values'!BB37&gt;0,1,0)</f>
        <v>1</v>
      </c>
      <c r="BH34">
        <f>IF('Pivot table values'!BC37&gt;0,1,0)</f>
        <v>0</v>
      </c>
      <c r="BI34">
        <f>IF('Pivot table values'!BD37&gt;0,1,0)</f>
        <v>1</v>
      </c>
      <c r="BJ34">
        <f>IF('Pivot table values'!BE37&gt;0,1,0)</f>
        <v>0</v>
      </c>
      <c r="BK34">
        <f>IF('Pivot table values'!BF37&gt;0,1,0)</f>
        <v>0</v>
      </c>
      <c r="BL34">
        <f>IF('Pivot table values'!BG37&gt;0,1,0)</f>
        <v>0</v>
      </c>
      <c r="BM34">
        <f>IF('Pivot table values'!BH37&gt;0,1,0)</f>
        <v>0</v>
      </c>
      <c r="BN34">
        <f>IF('Pivot table values'!BI37&gt;0,1,0)</f>
        <v>1</v>
      </c>
      <c r="BO34">
        <f>IF('Pivot table values'!BJ37&gt;0,1,0)</f>
        <v>0</v>
      </c>
      <c r="BP34">
        <f>IF('Pivot table values'!BK37&gt;0,1,0)</f>
        <v>0</v>
      </c>
      <c r="BQ34">
        <f>IF('Pivot table values'!BL37&gt;0,1,0)</f>
        <v>0</v>
      </c>
      <c r="BR34">
        <f>IF('Pivot table values'!BM37&gt;0,1,0)</f>
        <v>0</v>
      </c>
      <c r="BS34">
        <f>IF('Pivot table values'!BN37&gt;0,1,0)</f>
        <v>0</v>
      </c>
      <c r="BT34">
        <f>IF('Pivot table values'!BO37&gt;0,1,0)</f>
        <v>0</v>
      </c>
      <c r="BU34">
        <f>IF('Pivot table values'!BP37&gt;0,1,0)</f>
        <v>1</v>
      </c>
      <c r="BV34">
        <f>IF('Pivot table values'!BQ37&gt;0,1,0)</f>
        <v>0</v>
      </c>
      <c r="BW34">
        <f>IF('Pivot table values'!BR37&gt;0,1,0)</f>
        <v>0</v>
      </c>
      <c r="BX34">
        <f>IF('Pivot table values'!BS37&gt;0,1,0)</f>
        <v>0</v>
      </c>
      <c r="BY34">
        <f>IF('Pivot table values'!BT37&gt;0,1,0)</f>
        <v>0</v>
      </c>
      <c r="BZ34">
        <f>IF('Pivot table values'!BU37&gt;0,1,0)</f>
        <v>0</v>
      </c>
    </row>
    <row r="35" spans="1:78" x14ac:dyDescent="0.3">
      <c r="A35" s="4" t="s">
        <v>209</v>
      </c>
      <c r="B35" s="4" t="str">
        <f>VLOOKUP($A35,Vlookup!$A$2:$E$62,2,FALSE)</f>
        <v>Great Star</v>
      </c>
      <c r="C35" s="4" t="str">
        <f>VLOOKUP($A35,Vlookup!$A$2:$E$62,3,FALSE)</f>
        <v>Hydrangea paniculata</v>
      </c>
      <c r="D35" s="4" t="str">
        <f>VLOOKUP($A35,Vlookup!$A$2:$E$62,4,FALSE)</f>
        <v>Lacy panicle</v>
      </c>
      <c r="E35" s="4" t="str">
        <f>VLOOKUP($A35,Vlookup!$A$2:$E$62,5,FALSE)</f>
        <v>Very dense</v>
      </c>
      <c r="F35" s="4">
        <f t="shared" si="0"/>
        <v>6</v>
      </c>
      <c r="G35">
        <f>IF('Pivot table values'!B38&gt;0,1,0)</f>
        <v>0</v>
      </c>
      <c r="H35">
        <f>IF('Pivot table values'!C38&gt;0,1,0)</f>
        <v>0</v>
      </c>
      <c r="I35">
        <f>IF('Pivot table values'!D38&gt;0,1,0)</f>
        <v>0</v>
      </c>
      <c r="J35">
        <f>IF('Pivot table values'!E38&gt;0,1,0)</f>
        <v>0</v>
      </c>
      <c r="K35">
        <f>IF('Pivot table values'!F38&gt;0,1,0)</f>
        <v>0</v>
      </c>
      <c r="L35">
        <f>IF('Pivot table values'!G38&gt;0,1,0)</f>
        <v>0</v>
      </c>
      <c r="M35">
        <f>IF('Pivot table values'!H38&gt;0,1,0)</f>
        <v>0</v>
      </c>
      <c r="N35">
        <f>IF('Pivot table values'!I38&gt;0,1,0)</f>
        <v>0</v>
      </c>
      <c r="O35">
        <f>IF('Pivot table values'!J38&gt;0,1,0)</f>
        <v>0</v>
      </c>
      <c r="P35">
        <f>IF('Pivot table values'!K38&gt;0,1,0)</f>
        <v>0</v>
      </c>
      <c r="Q35">
        <f>IF('Pivot table values'!L38&gt;0,1,0)</f>
        <v>0</v>
      </c>
      <c r="R35">
        <f>IF('Pivot table values'!M38&gt;0,1,0)</f>
        <v>0</v>
      </c>
      <c r="S35">
        <f>IF('Pivot table values'!N38&gt;0,1,0)</f>
        <v>1</v>
      </c>
      <c r="T35">
        <f>IF('Pivot table values'!O38&gt;0,1,0)</f>
        <v>0</v>
      </c>
      <c r="U35">
        <f>IF('Pivot table values'!P38&gt;0,1,0)</f>
        <v>0</v>
      </c>
      <c r="V35">
        <f>IF('Pivot table values'!Q38&gt;0,1,0)</f>
        <v>0</v>
      </c>
      <c r="W35">
        <f>IF('Pivot table values'!R38&gt;0,1,0)</f>
        <v>0</v>
      </c>
      <c r="X35">
        <f>IF('Pivot table values'!S38&gt;0,1,0)</f>
        <v>0</v>
      </c>
      <c r="Y35">
        <f>IF('Pivot table values'!T38&gt;0,1,0)</f>
        <v>0</v>
      </c>
      <c r="Z35">
        <f>IF('Pivot table values'!U38&gt;0,1,0)</f>
        <v>0</v>
      </c>
      <c r="AA35">
        <f>IF('Pivot table values'!V38&gt;0,1,0)</f>
        <v>1</v>
      </c>
      <c r="AB35">
        <f>IF('Pivot table values'!W38&gt;0,1,0)</f>
        <v>0</v>
      </c>
      <c r="AC35">
        <f>IF('Pivot table values'!X38&gt;0,1,0)</f>
        <v>0</v>
      </c>
      <c r="AD35">
        <f>IF('Pivot table values'!Y38&gt;0,1,0)</f>
        <v>0</v>
      </c>
      <c r="AE35">
        <f>IF('Pivot table values'!Z38&gt;0,1,0)</f>
        <v>0</v>
      </c>
      <c r="AF35">
        <f>IF('Pivot table values'!AA38&gt;0,1,0)</f>
        <v>0</v>
      </c>
      <c r="AG35">
        <f>IF('Pivot table values'!AB38&gt;0,1,0)</f>
        <v>0</v>
      </c>
      <c r="AH35">
        <f>IF('Pivot table values'!AC38&gt;0,1,0)</f>
        <v>0</v>
      </c>
      <c r="AI35">
        <f>IF('Pivot table values'!AD38&gt;0,1,0)</f>
        <v>0</v>
      </c>
      <c r="AJ35">
        <f>IF('Pivot table values'!AE38&gt;0,1,0)</f>
        <v>0</v>
      </c>
      <c r="AK35">
        <f>IF('Pivot table values'!AF38&gt;0,1,0)</f>
        <v>0</v>
      </c>
      <c r="AL35">
        <f>IF('Pivot table values'!AG38&gt;0,1,0)</f>
        <v>0</v>
      </c>
      <c r="AM35">
        <f>IF('Pivot table values'!AH38&gt;0,1,0)</f>
        <v>0</v>
      </c>
      <c r="AN35">
        <f>IF('Pivot table values'!AI38&gt;0,1,0)</f>
        <v>0</v>
      </c>
      <c r="AO35">
        <f>IF('Pivot table values'!AJ38&gt;0,1,0)</f>
        <v>0</v>
      </c>
      <c r="AP35">
        <f>IF('Pivot table values'!AK38&gt;0,1,0)</f>
        <v>0</v>
      </c>
      <c r="AQ35">
        <f>IF('Pivot table values'!AL38&gt;0,1,0)</f>
        <v>0</v>
      </c>
      <c r="AR35">
        <f>IF('Pivot table values'!AM38&gt;0,1,0)</f>
        <v>0</v>
      </c>
      <c r="AS35">
        <f>IF('Pivot table values'!AN38&gt;0,1,0)</f>
        <v>0</v>
      </c>
      <c r="AT35">
        <f>IF('Pivot table values'!AO38&gt;0,1,0)</f>
        <v>0</v>
      </c>
      <c r="AU35">
        <f>IF('Pivot table values'!AP38&gt;0,1,0)</f>
        <v>0</v>
      </c>
      <c r="AV35">
        <f>IF('Pivot table values'!AQ38&gt;0,1,0)</f>
        <v>0</v>
      </c>
      <c r="AW35">
        <f>IF('Pivot table values'!AR38&gt;0,1,0)</f>
        <v>0</v>
      </c>
      <c r="AX35">
        <f>IF('Pivot table values'!AS38&gt;0,1,0)</f>
        <v>0</v>
      </c>
      <c r="AY35">
        <f>IF('Pivot table values'!AT38&gt;0,1,0)</f>
        <v>1</v>
      </c>
      <c r="AZ35">
        <f>IF('Pivot table values'!AU38&gt;0,1,0)</f>
        <v>1</v>
      </c>
      <c r="BA35">
        <f>IF('Pivot table values'!AV38&gt;0,1,0)</f>
        <v>0</v>
      </c>
      <c r="BB35">
        <f>IF('Pivot table values'!AW38&gt;0,1,0)</f>
        <v>0</v>
      </c>
      <c r="BC35">
        <f>IF('Pivot table values'!AX38&gt;0,1,0)</f>
        <v>0</v>
      </c>
      <c r="BD35">
        <f>IF('Pivot table values'!AY38&gt;0,1,0)</f>
        <v>0</v>
      </c>
      <c r="BE35">
        <f>IF('Pivot table values'!AZ38&gt;0,1,0)</f>
        <v>0</v>
      </c>
      <c r="BF35">
        <f>IF('Pivot table values'!BA38&gt;0,1,0)</f>
        <v>0</v>
      </c>
      <c r="BG35">
        <f>IF('Pivot table values'!BB38&gt;0,1,0)</f>
        <v>0</v>
      </c>
      <c r="BH35">
        <f>IF('Pivot table values'!BC38&gt;0,1,0)</f>
        <v>0</v>
      </c>
      <c r="BI35">
        <f>IF('Pivot table values'!BD38&gt;0,1,0)</f>
        <v>0</v>
      </c>
      <c r="BJ35">
        <f>IF('Pivot table values'!BE38&gt;0,1,0)</f>
        <v>0</v>
      </c>
      <c r="BK35">
        <f>IF('Pivot table values'!BF38&gt;0,1,0)</f>
        <v>0</v>
      </c>
      <c r="BL35">
        <f>IF('Pivot table values'!BG38&gt;0,1,0)</f>
        <v>0</v>
      </c>
      <c r="BM35">
        <f>IF('Pivot table values'!BH38&gt;0,1,0)</f>
        <v>0</v>
      </c>
      <c r="BN35">
        <f>IF('Pivot table values'!BI38&gt;0,1,0)</f>
        <v>1</v>
      </c>
      <c r="BO35">
        <f>IF('Pivot table values'!BJ38&gt;0,1,0)</f>
        <v>0</v>
      </c>
      <c r="BP35">
        <f>IF('Pivot table values'!BK38&gt;0,1,0)</f>
        <v>1</v>
      </c>
      <c r="BQ35">
        <f>IF('Pivot table values'!BL38&gt;0,1,0)</f>
        <v>0</v>
      </c>
      <c r="BR35">
        <f>IF('Pivot table values'!BM38&gt;0,1,0)</f>
        <v>0</v>
      </c>
      <c r="BS35">
        <f>IF('Pivot table values'!BN38&gt;0,1,0)</f>
        <v>0</v>
      </c>
      <c r="BT35">
        <f>IF('Pivot table values'!BO38&gt;0,1,0)</f>
        <v>0</v>
      </c>
      <c r="BU35">
        <f>IF('Pivot table values'!BP38&gt;0,1,0)</f>
        <v>0</v>
      </c>
      <c r="BV35">
        <f>IF('Pivot table values'!BQ38&gt;0,1,0)</f>
        <v>0</v>
      </c>
      <c r="BW35">
        <f>IF('Pivot table values'!BR38&gt;0,1,0)</f>
        <v>0</v>
      </c>
      <c r="BX35">
        <f>IF('Pivot table values'!BS38&gt;0,1,0)</f>
        <v>0</v>
      </c>
      <c r="BY35">
        <f>IF('Pivot table values'!BT38&gt;0,1,0)</f>
        <v>0</v>
      </c>
      <c r="BZ35">
        <f>IF('Pivot table values'!BU38&gt;0,1,0)</f>
        <v>0</v>
      </c>
    </row>
    <row r="36" spans="1:78" x14ac:dyDescent="0.3">
      <c r="A36" s="4" t="s">
        <v>180</v>
      </c>
      <c r="B36" s="4" t="str">
        <f>VLOOKUP($A36,Vlookup!$A$2:$E$62,2,FALSE)</f>
        <v>Hayes Starburst</v>
      </c>
      <c r="C36" s="4" t="str">
        <f>VLOOKUP($A36,Vlookup!$A$2:$E$62,3,FALSE)</f>
        <v>Hydrangea arborescens</v>
      </c>
      <c r="D36" s="4" t="str">
        <f>VLOOKUP($A36,Vlookup!$A$2:$E$62,4,FALSE)</f>
        <v>Mop</v>
      </c>
      <c r="E36" s="4" t="str">
        <f>VLOOKUP($A36,Vlookup!$A$2:$E$62,5,FALSE)</f>
        <v>Very dense</v>
      </c>
      <c r="F36" s="4">
        <f t="shared" si="0"/>
        <v>1</v>
      </c>
      <c r="G36">
        <f>IF('Pivot table values'!B39&gt;0,1,0)</f>
        <v>0</v>
      </c>
      <c r="H36">
        <f>IF('Pivot table values'!C39&gt;0,1,0)</f>
        <v>0</v>
      </c>
      <c r="I36">
        <f>IF('Pivot table values'!D39&gt;0,1,0)</f>
        <v>0</v>
      </c>
      <c r="J36">
        <f>IF('Pivot table values'!E39&gt;0,1,0)</f>
        <v>0</v>
      </c>
      <c r="K36">
        <f>IF('Pivot table values'!F39&gt;0,1,0)</f>
        <v>0</v>
      </c>
      <c r="L36">
        <f>IF('Pivot table values'!G39&gt;0,1,0)</f>
        <v>0</v>
      </c>
      <c r="M36">
        <f>IF('Pivot table values'!H39&gt;0,1,0)</f>
        <v>0</v>
      </c>
      <c r="N36">
        <f>IF('Pivot table values'!I39&gt;0,1,0)</f>
        <v>0</v>
      </c>
      <c r="O36">
        <f>IF('Pivot table values'!J39&gt;0,1,0)</f>
        <v>0</v>
      </c>
      <c r="P36">
        <f>IF('Pivot table values'!K39&gt;0,1,0)</f>
        <v>0</v>
      </c>
      <c r="Q36">
        <f>IF('Pivot table values'!L39&gt;0,1,0)</f>
        <v>0</v>
      </c>
      <c r="R36">
        <f>IF('Pivot table values'!M39&gt;0,1,0)</f>
        <v>0</v>
      </c>
      <c r="S36">
        <f>IF('Pivot table values'!N39&gt;0,1,0)</f>
        <v>0</v>
      </c>
      <c r="T36">
        <f>IF('Pivot table values'!O39&gt;0,1,0)</f>
        <v>0</v>
      </c>
      <c r="U36">
        <f>IF('Pivot table values'!P39&gt;0,1,0)</f>
        <v>0</v>
      </c>
      <c r="V36">
        <f>IF('Pivot table values'!Q39&gt;0,1,0)</f>
        <v>0</v>
      </c>
      <c r="W36">
        <f>IF('Pivot table values'!R39&gt;0,1,0)</f>
        <v>1</v>
      </c>
      <c r="X36">
        <f>IF('Pivot table values'!S39&gt;0,1,0)</f>
        <v>0</v>
      </c>
      <c r="Y36">
        <f>IF('Pivot table values'!T39&gt;0,1,0)</f>
        <v>0</v>
      </c>
      <c r="Z36">
        <f>IF('Pivot table values'!U39&gt;0,1,0)</f>
        <v>0</v>
      </c>
      <c r="AA36">
        <f>IF('Pivot table values'!V39&gt;0,1,0)</f>
        <v>0</v>
      </c>
      <c r="AB36">
        <f>IF('Pivot table values'!W39&gt;0,1,0)</f>
        <v>0</v>
      </c>
      <c r="AC36">
        <f>IF('Pivot table values'!X39&gt;0,1,0)</f>
        <v>0</v>
      </c>
      <c r="AD36">
        <f>IF('Pivot table values'!Y39&gt;0,1,0)</f>
        <v>0</v>
      </c>
      <c r="AE36">
        <f>IF('Pivot table values'!Z39&gt;0,1,0)</f>
        <v>0</v>
      </c>
      <c r="AF36">
        <f>IF('Pivot table values'!AA39&gt;0,1,0)</f>
        <v>0</v>
      </c>
      <c r="AG36">
        <f>IF('Pivot table values'!AB39&gt;0,1,0)</f>
        <v>0</v>
      </c>
      <c r="AH36">
        <f>IF('Pivot table values'!AC39&gt;0,1,0)</f>
        <v>0</v>
      </c>
      <c r="AI36">
        <f>IF('Pivot table values'!AD39&gt;0,1,0)</f>
        <v>0</v>
      </c>
      <c r="AJ36">
        <f>IF('Pivot table values'!AE39&gt;0,1,0)</f>
        <v>0</v>
      </c>
      <c r="AK36">
        <f>IF('Pivot table values'!AF39&gt;0,1,0)</f>
        <v>0</v>
      </c>
      <c r="AL36">
        <f>IF('Pivot table values'!AG39&gt;0,1,0)</f>
        <v>0</v>
      </c>
      <c r="AM36">
        <f>IF('Pivot table values'!AH39&gt;0,1,0)</f>
        <v>0</v>
      </c>
      <c r="AN36">
        <f>IF('Pivot table values'!AI39&gt;0,1,0)</f>
        <v>0</v>
      </c>
      <c r="AO36">
        <f>IF('Pivot table values'!AJ39&gt;0,1,0)</f>
        <v>0</v>
      </c>
      <c r="AP36">
        <f>IF('Pivot table values'!AK39&gt;0,1,0)</f>
        <v>0</v>
      </c>
      <c r="AQ36">
        <f>IF('Pivot table values'!AL39&gt;0,1,0)</f>
        <v>0</v>
      </c>
      <c r="AR36">
        <f>IF('Pivot table values'!AM39&gt;0,1,0)</f>
        <v>0</v>
      </c>
      <c r="AS36">
        <f>IF('Pivot table values'!AN39&gt;0,1,0)</f>
        <v>0</v>
      </c>
      <c r="AT36">
        <f>IF('Pivot table values'!AO39&gt;0,1,0)</f>
        <v>0</v>
      </c>
      <c r="AU36">
        <f>IF('Pivot table values'!AP39&gt;0,1,0)</f>
        <v>0</v>
      </c>
      <c r="AV36">
        <f>IF('Pivot table values'!AQ39&gt;0,1,0)</f>
        <v>0</v>
      </c>
      <c r="AW36">
        <f>IF('Pivot table values'!AR39&gt;0,1,0)</f>
        <v>0</v>
      </c>
      <c r="AX36">
        <f>IF('Pivot table values'!AS39&gt;0,1,0)</f>
        <v>0</v>
      </c>
      <c r="AY36">
        <f>IF('Pivot table values'!AT39&gt;0,1,0)</f>
        <v>0</v>
      </c>
      <c r="AZ36">
        <f>IF('Pivot table values'!AU39&gt;0,1,0)</f>
        <v>0</v>
      </c>
      <c r="BA36">
        <f>IF('Pivot table values'!AV39&gt;0,1,0)</f>
        <v>0</v>
      </c>
      <c r="BB36">
        <f>IF('Pivot table values'!AW39&gt;0,1,0)</f>
        <v>0</v>
      </c>
      <c r="BC36">
        <f>IF('Pivot table values'!AX39&gt;0,1,0)</f>
        <v>0</v>
      </c>
      <c r="BD36">
        <f>IF('Pivot table values'!AY39&gt;0,1,0)</f>
        <v>0</v>
      </c>
      <c r="BE36">
        <f>IF('Pivot table values'!AZ39&gt;0,1,0)</f>
        <v>0</v>
      </c>
      <c r="BF36">
        <f>IF('Pivot table values'!BA39&gt;0,1,0)</f>
        <v>0</v>
      </c>
      <c r="BG36">
        <f>IF('Pivot table values'!BB39&gt;0,1,0)</f>
        <v>0</v>
      </c>
      <c r="BH36">
        <f>IF('Pivot table values'!BC39&gt;0,1,0)</f>
        <v>0</v>
      </c>
      <c r="BI36">
        <f>IF('Pivot table values'!BD39&gt;0,1,0)</f>
        <v>0</v>
      </c>
      <c r="BJ36">
        <f>IF('Pivot table values'!BE39&gt;0,1,0)</f>
        <v>0</v>
      </c>
      <c r="BK36">
        <f>IF('Pivot table values'!BF39&gt;0,1,0)</f>
        <v>0</v>
      </c>
      <c r="BL36">
        <f>IF('Pivot table values'!BG39&gt;0,1,0)</f>
        <v>0</v>
      </c>
      <c r="BM36">
        <f>IF('Pivot table values'!BH39&gt;0,1,0)</f>
        <v>0</v>
      </c>
      <c r="BN36">
        <f>IF('Pivot table values'!BI39&gt;0,1,0)</f>
        <v>0</v>
      </c>
      <c r="BO36">
        <f>IF('Pivot table values'!BJ39&gt;0,1,0)</f>
        <v>0</v>
      </c>
      <c r="BP36">
        <f>IF('Pivot table values'!BK39&gt;0,1,0)</f>
        <v>0</v>
      </c>
      <c r="BQ36">
        <f>IF('Pivot table values'!BL39&gt;0,1,0)</f>
        <v>0</v>
      </c>
      <c r="BR36">
        <f>IF('Pivot table values'!BM39&gt;0,1,0)</f>
        <v>0</v>
      </c>
      <c r="BS36">
        <f>IF('Pivot table values'!BN39&gt;0,1,0)</f>
        <v>0</v>
      </c>
      <c r="BT36">
        <f>IF('Pivot table values'!BO39&gt;0,1,0)</f>
        <v>0</v>
      </c>
      <c r="BU36">
        <f>IF('Pivot table values'!BP39&gt;0,1,0)</f>
        <v>0</v>
      </c>
      <c r="BV36">
        <f>IF('Pivot table values'!BQ39&gt;0,1,0)</f>
        <v>0</v>
      </c>
      <c r="BW36">
        <f>IF('Pivot table values'!BR39&gt;0,1,0)</f>
        <v>0</v>
      </c>
      <c r="BX36">
        <f>IF('Pivot table values'!BS39&gt;0,1,0)</f>
        <v>0</v>
      </c>
      <c r="BY36">
        <f>IF('Pivot table values'!BT39&gt;0,1,0)</f>
        <v>0</v>
      </c>
      <c r="BZ36">
        <f>IF('Pivot table values'!BU39&gt;0,1,0)</f>
        <v>0</v>
      </c>
    </row>
    <row r="37" spans="1:78" x14ac:dyDescent="0.3">
      <c r="A37" s="4" t="s">
        <v>169</v>
      </c>
      <c r="B37" s="4" t="str">
        <f>VLOOKUP($A37,Vlookup!$A$2:$E$62,2,FALSE)</f>
        <v>Haas Halo</v>
      </c>
      <c r="C37" s="4" t="str">
        <f>VLOOKUP($A37,Vlookup!$A$2:$E$62,3,FALSE)</f>
        <v>Hydrangea arborescens</v>
      </c>
      <c r="D37" s="4" t="str">
        <f>VLOOKUP($A37,Vlookup!$A$2:$E$62,4,FALSE)</f>
        <v>Lacy</v>
      </c>
      <c r="E37" s="4" t="str">
        <f>VLOOKUP($A37,Vlookup!$A$2:$E$62,5,FALSE)</f>
        <v>Open</v>
      </c>
      <c r="F37" s="4">
        <f t="shared" si="0"/>
        <v>11</v>
      </c>
      <c r="G37">
        <f>IF('Pivot table values'!B40&gt;0,1,0)</f>
        <v>0</v>
      </c>
      <c r="H37">
        <f>IF('Pivot table values'!C40&gt;0,1,0)</f>
        <v>0</v>
      </c>
      <c r="I37">
        <f>IF('Pivot table values'!D40&gt;0,1,0)</f>
        <v>1</v>
      </c>
      <c r="J37">
        <f>IF('Pivot table values'!E40&gt;0,1,0)</f>
        <v>1</v>
      </c>
      <c r="K37">
        <f>IF('Pivot table values'!F40&gt;0,1,0)</f>
        <v>0</v>
      </c>
      <c r="L37">
        <f>IF('Pivot table values'!G40&gt;0,1,0)</f>
        <v>0</v>
      </c>
      <c r="M37">
        <f>IF('Pivot table values'!H40&gt;0,1,0)</f>
        <v>0</v>
      </c>
      <c r="N37">
        <f>IF('Pivot table values'!I40&gt;0,1,0)</f>
        <v>0</v>
      </c>
      <c r="O37">
        <f>IF('Pivot table values'!J40&gt;0,1,0)</f>
        <v>0</v>
      </c>
      <c r="P37">
        <f>IF('Pivot table values'!K40&gt;0,1,0)</f>
        <v>0</v>
      </c>
      <c r="Q37">
        <f>IF('Pivot table values'!L40&gt;0,1,0)</f>
        <v>0</v>
      </c>
      <c r="R37">
        <f>IF('Pivot table values'!M40&gt;0,1,0)</f>
        <v>0</v>
      </c>
      <c r="S37">
        <f>IF('Pivot table values'!N40&gt;0,1,0)</f>
        <v>0</v>
      </c>
      <c r="T37">
        <f>IF('Pivot table values'!O40&gt;0,1,0)</f>
        <v>1</v>
      </c>
      <c r="U37">
        <f>IF('Pivot table values'!P40&gt;0,1,0)</f>
        <v>0</v>
      </c>
      <c r="V37">
        <f>IF('Pivot table values'!Q40&gt;0,1,0)</f>
        <v>0</v>
      </c>
      <c r="W37">
        <f>IF('Pivot table values'!R40&gt;0,1,0)</f>
        <v>1</v>
      </c>
      <c r="X37">
        <f>IF('Pivot table values'!S40&gt;0,1,0)</f>
        <v>0</v>
      </c>
      <c r="Y37">
        <f>IF('Pivot table values'!T40&gt;0,1,0)</f>
        <v>0</v>
      </c>
      <c r="Z37">
        <f>IF('Pivot table values'!U40&gt;0,1,0)</f>
        <v>0</v>
      </c>
      <c r="AA37">
        <f>IF('Pivot table values'!V40&gt;0,1,0)</f>
        <v>0</v>
      </c>
      <c r="AB37">
        <f>IF('Pivot table values'!W40&gt;0,1,0)</f>
        <v>0</v>
      </c>
      <c r="AC37">
        <f>IF('Pivot table values'!X40&gt;0,1,0)</f>
        <v>1</v>
      </c>
      <c r="AD37">
        <f>IF('Pivot table values'!Y40&gt;0,1,0)</f>
        <v>0</v>
      </c>
      <c r="AE37">
        <f>IF('Pivot table values'!Z40&gt;0,1,0)</f>
        <v>0</v>
      </c>
      <c r="AF37">
        <f>IF('Pivot table values'!AA40&gt;0,1,0)</f>
        <v>0</v>
      </c>
      <c r="AG37">
        <f>IF('Pivot table values'!AB40&gt;0,1,0)</f>
        <v>0</v>
      </c>
      <c r="AH37">
        <f>IF('Pivot table values'!AC40&gt;0,1,0)</f>
        <v>0</v>
      </c>
      <c r="AI37">
        <f>IF('Pivot table values'!AD40&gt;0,1,0)</f>
        <v>0</v>
      </c>
      <c r="AJ37">
        <f>IF('Pivot table values'!AE40&gt;0,1,0)</f>
        <v>1</v>
      </c>
      <c r="AK37">
        <f>IF('Pivot table values'!AF40&gt;0,1,0)</f>
        <v>0</v>
      </c>
      <c r="AL37">
        <f>IF('Pivot table values'!AG40&gt;0,1,0)</f>
        <v>0</v>
      </c>
      <c r="AM37">
        <f>IF('Pivot table values'!AH40&gt;0,1,0)</f>
        <v>0</v>
      </c>
      <c r="AN37">
        <f>IF('Pivot table values'!AI40&gt;0,1,0)</f>
        <v>0</v>
      </c>
      <c r="AO37">
        <f>IF('Pivot table values'!AJ40&gt;0,1,0)</f>
        <v>0</v>
      </c>
      <c r="AP37">
        <f>IF('Pivot table values'!AK40&gt;0,1,0)</f>
        <v>0</v>
      </c>
      <c r="AQ37">
        <f>IF('Pivot table values'!AL40&gt;0,1,0)</f>
        <v>0</v>
      </c>
      <c r="AR37">
        <f>IF('Pivot table values'!AM40&gt;0,1,0)</f>
        <v>0</v>
      </c>
      <c r="AS37">
        <f>IF('Pivot table values'!AN40&gt;0,1,0)</f>
        <v>0</v>
      </c>
      <c r="AT37">
        <f>IF('Pivot table values'!AO40&gt;0,1,0)</f>
        <v>0</v>
      </c>
      <c r="AU37">
        <f>IF('Pivot table values'!AP40&gt;0,1,0)</f>
        <v>0</v>
      </c>
      <c r="AV37">
        <f>IF('Pivot table values'!AQ40&gt;0,1,0)</f>
        <v>0</v>
      </c>
      <c r="AW37">
        <f>IF('Pivot table values'!AR40&gt;0,1,0)</f>
        <v>0</v>
      </c>
      <c r="AX37">
        <f>IF('Pivot table values'!AS40&gt;0,1,0)</f>
        <v>0</v>
      </c>
      <c r="AY37">
        <f>IF('Pivot table values'!AT40&gt;0,1,0)</f>
        <v>0</v>
      </c>
      <c r="AZ37">
        <f>IF('Pivot table values'!AU40&gt;0,1,0)</f>
        <v>0</v>
      </c>
      <c r="BA37">
        <f>IF('Pivot table values'!AV40&gt;0,1,0)</f>
        <v>0</v>
      </c>
      <c r="BB37">
        <f>IF('Pivot table values'!AW40&gt;0,1,0)</f>
        <v>0</v>
      </c>
      <c r="BC37">
        <f>IF('Pivot table values'!AX40&gt;0,1,0)</f>
        <v>0</v>
      </c>
      <c r="BD37">
        <f>IF('Pivot table values'!AY40&gt;0,1,0)</f>
        <v>0</v>
      </c>
      <c r="BE37">
        <f>IF('Pivot table values'!AZ40&gt;0,1,0)</f>
        <v>1</v>
      </c>
      <c r="BF37">
        <f>IF('Pivot table values'!BA40&gt;0,1,0)</f>
        <v>0</v>
      </c>
      <c r="BG37">
        <f>IF('Pivot table values'!BB40&gt;0,1,0)</f>
        <v>0</v>
      </c>
      <c r="BH37">
        <f>IF('Pivot table values'!BC40&gt;0,1,0)</f>
        <v>0</v>
      </c>
      <c r="BI37">
        <f>IF('Pivot table values'!BD40&gt;0,1,0)</f>
        <v>0</v>
      </c>
      <c r="BJ37">
        <f>IF('Pivot table values'!BE40&gt;0,1,0)</f>
        <v>0</v>
      </c>
      <c r="BK37">
        <f>IF('Pivot table values'!BF40&gt;0,1,0)</f>
        <v>0</v>
      </c>
      <c r="BL37">
        <f>IF('Pivot table values'!BG40&gt;0,1,0)</f>
        <v>1</v>
      </c>
      <c r="BM37">
        <f>IF('Pivot table values'!BH40&gt;0,1,0)</f>
        <v>1</v>
      </c>
      <c r="BN37">
        <f>IF('Pivot table values'!BI40&gt;0,1,0)</f>
        <v>1</v>
      </c>
      <c r="BO37">
        <f>IF('Pivot table values'!BJ40&gt;0,1,0)</f>
        <v>0</v>
      </c>
      <c r="BP37">
        <f>IF('Pivot table values'!BK40&gt;0,1,0)</f>
        <v>0</v>
      </c>
      <c r="BQ37">
        <f>IF('Pivot table values'!BL40&gt;0,1,0)</f>
        <v>0</v>
      </c>
      <c r="BR37">
        <f>IF('Pivot table values'!BM40&gt;0,1,0)</f>
        <v>0</v>
      </c>
      <c r="BS37">
        <f>IF('Pivot table values'!BN40&gt;0,1,0)</f>
        <v>0</v>
      </c>
      <c r="BT37">
        <f>IF('Pivot table values'!BO40&gt;0,1,0)</f>
        <v>0</v>
      </c>
      <c r="BU37">
        <f>IF('Pivot table values'!BP40&gt;0,1,0)</f>
        <v>0</v>
      </c>
      <c r="BV37">
        <f>IF('Pivot table values'!BQ40&gt;0,1,0)</f>
        <v>0</v>
      </c>
      <c r="BW37">
        <f>IF('Pivot table values'!BR40&gt;0,1,0)</f>
        <v>1</v>
      </c>
      <c r="BX37">
        <f>IF('Pivot table values'!BS40&gt;0,1,0)</f>
        <v>0</v>
      </c>
      <c r="BY37">
        <f>IF('Pivot table values'!BT40&gt;0,1,0)</f>
        <v>0</v>
      </c>
      <c r="BZ37">
        <f>IF('Pivot table values'!BU40&gt;0,1,0)</f>
        <v>0</v>
      </c>
    </row>
    <row r="38" spans="1:78" x14ac:dyDescent="0.3">
      <c r="A38" s="4" t="s">
        <v>159</v>
      </c>
      <c r="B38" s="4" t="str">
        <f>VLOOKUP($A38,Vlookup!$A$2:$E$62,2,FALSE)</f>
        <v>Quick Fire</v>
      </c>
      <c r="C38" s="4" t="str">
        <f>VLOOKUP($A38,Vlookup!$A$2:$E$62,3,FALSE)</f>
        <v>Hydrangea paniculata</v>
      </c>
      <c r="D38" s="4" t="str">
        <f>VLOOKUP($A38,Vlookup!$A$2:$E$62,4,FALSE)</f>
        <v>Lacy panicle</v>
      </c>
      <c r="E38" s="4" t="str">
        <f>VLOOKUP($A38,Vlookup!$A$2:$E$62,5,FALSE)</f>
        <v>Open</v>
      </c>
      <c r="F38" s="4">
        <f t="shared" si="0"/>
        <v>11</v>
      </c>
      <c r="G38">
        <f>IF('Pivot table values'!B41&gt;0,1,0)</f>
        <v>0</v>
      </c>
      <c r="H38">
        <f>IF('Pivot table values'!C41&gt;0,1,0)</f>
        <v>0</v>
      </c>
      <c r="I38">
        <f>IF('Pivot table values'!D41&gt;0,1,0)</f>
        <v>0</v>
      </c>
      <c r="J38">
        <f>IF('Pivot table values'!E41&gt;0,1,0)</f>
        <v>0</v>
      </c>
      <c r="K38">
        <f>IF('Pivot table values'!F41&gt;0,1,0)</f>
        <v>0</v>
      </c>
      <c r="L38">
        <f>IF('Pivot table values'!G41&gt;0,1,0)</f>
        <v>0</v>
      </c>
      <c r="M38">
        <f>IF('Pivot table values'!H41&gt;0,1,0)</f>
        <v>0</v>
      </c>
      <c r="N38">
        <f>IF('Pivot table values'!I41&gt;0,1,0)</f>
        <v>0</v>
      </c>
      <c r="O38">
        <f>IF('Pivot table values'!J41&gt;0,1,0)</f>
        <v>0</v>
      </c>
      <c r="P38">
        <f>IF('Pivot table values'!K41&gt;0,1,0)</f>
        <v>0</v>
      </c>
      <c r="Q38">
        <f>IF('Pivot table values'!L41&gt;0,1,0)</f>
        <v>0</v>
      </c>
      <c r="R38">
        <f>IF('Pivot table values'!M41&gt;0,1,0)</f>
        <v>1</v>
      </c>
      <c r="S38">
        <f>IF('Pivot table values'!N41&gt;0,1,0)</f>
        <v>1</v>
      </c>
      <c r="T38">
        <f>IF('Pivot table values'!O41&gt;0,1,0)</f>
        <v>0</v>
      </c>
      <c r="U38">
        <f>IF('Pivot table values'!P41&gt;0,1,0)</f>
        <v>0</v>
      </c>
      <c r="V38">
        <f>IF('Pivot table values'!Q41&gt;0,1,0)</f>
        <v>0</v>
      </c>
      <c r="W38">
        <f>IF('Pivot table values'!R41&gt;0,1,0)</f>
        <v>0</v>
      </c>
      <c r="X38">
        <f>IF('Pivot table values'!S41&gt;0,1,0)</f>
        <v>0</v>
      </c>
      <c r="Y38">
        <f>IF('Pivot table values'!T41&gt;0,1,0)</f>
        <v>0</v>
      </c>
      <c r="Z38">
        <f>IF('Pivot table values'!U41&gt;0,1,0)</f>
        <v>0</v>
      </c>
      <c r="AA38">
        <f>IF('Pivot table values'!V41&gt;0,1,0)</f>
        <v>1</v>
      </c>
      <c r="AB38">
        <f>IF('Pivot table values'!W41&gt;0,1,0)</f>
        <v>1</v>
      </c>
      <c r="AC38">
        <f>IF('Pivot table values'!X41&gt;0,1,0)</f>
        <v>1</v>
      </c>
      <c r="AD38">
        <f>IF('Pivot table values'!Y41&gt;0,1,0)</f>
        <v>0</v>
      </c>
      <c r="AE38">
        <f>IF('Pivot table values'!Z41&gt;0,1,0)</f>
        <v>0</v>
      </c>
      <c r="AF38">
        <f>IF('Pivot table values'!AA41&gt;0,1,0)</f>
        <v>0</v>
      </c>
      <c r="AG38">
        <f>IF('Pivot table values'!AB41&gt;0,1,0)</f>
        <v>0</v>
      </c>
      <c r="AH38">
        <f>IF('Pivot table values'!AC41&gt;0,1,0)</f>
        <v>0</v>
      </c>
      <c r="AI38">
        <f>IF('Pivot table values'!AD41&gt;0,1,0)</f>
        <v>0</v>
      </c>
      <c r="AJ38">
        <f>IF('Pivot table values'!AE41&gt;0,1,0)</f>
        <v>0</v>
      </c>
      <c r="AK38">
        <f>IF('Pivot table values'!AF41&gt;0,1,0)</f>
        <v>0</v>
      </c>
      <c r="AL38">
        <f>IF('Pivot table values'!AG41&gt;0,1,0)</f>
        <v>0</v>
      </c>
      <c r="AM38">
        <f>IF('Pivot table values'!AH41&gt;0,1,0)</f>
        <v>1</v>
      </c>
      <c r="AN38">
        <f>IF('Pivot table values'!AI41&gt;0,1,0)</f>
        <v>1</v>
      </c>
      <c r="AO38">
        <f>IF('Pivot table values'!AJ41&gt;0,1,0)</f>
        <v>0</v>
      </c>
      <c r="AP38">
        <f>IF('Pivot table values'!AK41&gt;0,1,0)</f>
        <v>0</v>
      </c>
      <c r="AQ38">
        <f>IF('Pivot table values'!AL41&gt;0,1,0)</f>
        <v>0</v>
      </c>
      <c r="AR38">
        <f>IF('Pivot table values'!AM41&gt;0,1,0)</f>
        <v>0</v>
      </c>
      <c r="AS38">
        <f>IF('Pivot table values'!AN41&gt;0,1,0)</f>
        <v>0</v>
      </c>
      <c r="AT38">
        <f>IF('Pivot table values'!AO41&gt;0,1,0)</f>
        <v>0</v>
      </c>
      <c r="AU38">
        <f>IF('Pivot table values'!AP41&gt;0,1,0)</f>
        <v>0</v>
      </c>
      <c r="AV38">
        <f>IF('Pivot table values'!AQ41&gt;0,1,0)</f>
        <v>0</v>
      </c>
      <c r="AW38">
        <f>IF('Pivot table values'!AR41&gt;0,1,0)</f>
        <v>0</v>
      </c>
      <c r="AX38">
        <f>IF('Pivot table values'!AS41&gt;0,1,0)</f>
        <v>0</v>
      </c>
      <c r="AY38">
        <f>IF('Pivot table values'!AT41&gt;0,1,0)</f>
        <v>0</v>
      </c>
      <c r="AZ38">
        <f>IF('Pivot table values'!AU41&gt;0,1,0)</f>
        <v>0</v>
      </c>
      <c r="BA38">
        <f>IF('Pivot table values'!AV41&gt;0,1,0)</f>
        <v>0</v>
      </c>
      <c r="BB38">
        <f>IF('Pivot table values'!AW41&gt;0,1,0)</f>
        <v>0</v>
      </c>
      <c r="BC38">
        <f>IF('Pivot table values'!AX41&gt;0,1,0)</f>
        <v>0</v>
      </c>
      <c r="BD38">
        <f>IF('Pivot table values'!AY41&gt;0,1,0)</f>
        <v>0</v>
      </c>
      <c r="BE38">
        <f>IF('Pivot table values'!AZ41&gt;0,1,0)</f>
        <v>0</v>
      </c>
      <c r="BF38">
        <f>IF('Pivot table values'!BA41&gt;0,1,0)</f>
        <v>0</v>
      </c>
      <c r="BG38">
        <f>IF('Pivot table values'!BB41&gt;0,1,0)</f>
        <v>0</v>
      </c>
      <c r="BH38">
        <f>IF('Pivot table values'!BC41&gt;0,1,0)</f>
        <v>0</v>
      </c>
      <c r="BI38">
        <f>IF('Pivot table values'!BD41&gt;0,1,0)</f>
        <v>0</v>
      </c>
      <c r="BJ38">
        <f>IF('Pivot table values'!BE41&gt;0,1,0)</f>
        <v>0</v>
      </c>
      <c r="BK38">
        <f>IF('Pivot table values'!BF41&gt;0,1,0)</f>
        <v>1</v>
      </c>
      <c r="BL38">
        <f>IF('Pivot table values'!BG41&gt;0,1,0)</f>
        <v>0</v>
      </c>
      <c r="BM38">
        <f>IF('Pivot table values'!BH41&gt;0,1,0)</f>
        <v>1</v>
      </c>
      <c r="BN38">
        <f>IF('Pivot table values'!BI41&gt;0,1,0)</f>
        <v>1</v>
      </c>
      <c r="BO38">
        <f>IF('Pivot table values'!BJ41&gt;0,1,0)</f>
        <v>0</v>
      </c>
      <c r="BP38">
        <f>IF('Pivot table values'!BK41&gt;0,1,0)</f>
        <v>0</v>
      </c>
      <c r="BQ38">
        <f>IF('Pivot table values'!BL41&gt;0,1,0)</f>
        <v>0</v>
      </c>
      <c r="BR38">
        <f>IF('Pivot table values'!BM41&gt;0,1,0)</f>
        <v>0</v>
      </c>
      <c r="BS38">
        <f>IF('Pivot table values'!BN41&gt;0,1,0)</f>
        <v>0</v>
      </c>
      <c r="BT38">
        <f>IF('Pivot table values'!BO41&gt;0,1,0)</f>
        <v>0</v>
      </c>
      <c r="BU38">
        <f>IF('Pivot table values'!BP41&gt;0,1,0)</f>
        <v>0</v>
      </c>
      <c r="BV38">
        <f>IF('Pivot table values'!BQ41&gt;0,1,0)</f>
        <v>0</v>
      </c>
      <c r="BW38">
        <f>IF('Pivot table values'!BR41&gt;0,1,0)</f>
        <v>1</v>
      </c>
      <c r="BX38">
        <f>IF('Pivot table values'!BS41&gt;0,1,0)</f>
        <v>0</v>
      </c>
      <c r="BY38">
        <f>IF('Pivot table values'!BT41&gt;0,1,0)</f>
        <v>0</v>
      </c>
      <c r="BZ38">
        <f>IF('Pivot table values'!BU41&gt;0,1,0)</f>
        <v>0</v>
      </c>
    </row>
    <row r="39" spans="1:78" x14ac:dyDescent="0.3">
      <c r="A39" s="4" t="s">
        <v>154</v>
      </c>
      <c r="B39" s="4" t="str">
        <f>VLOOKUP($A39,Vlookup!$A$2:$E$62,2,FALSE)</f>
        <v>Dharuma</v>
      </c>
      <c r="C39" s="4" t="str">
        <f>VLOOKUP($A39,Vlookup!$A$2:$E$62,3,FALSE)</f>
        <v>Hydrangea paniculata</v>
      </c>
      <c r="D39" s="4" t="str">
        <f>VLOOKUP($A39,Vlookup!$A$2:$E$62,4,FALSE)</f>
        <v>Lacy panicle</v>
      </c>
      <c r="E39" s="4" t="str">
        <f>VLOOKUP($A39,Vlookup!$A$2:$E$62,5,FALSE)</f>
        <v>Open</v>
      </c>
      <c r="F39" s="4">
        <f t="shared" si="0"/>
        <v>13</v>
      </c>
      <c r="G39">
        <f>IF('Pivot table values'!B42&gt;0,1,0)</f>
        <v>0</v>
      </c>
      <c r="H39">
        <f>IF('Pivot table values'!C42&gt;0,1,0)</f>
        <v>0</v>
      </c>
      <c r="I39">
        <f>IF('Pivot table values'!D42&gt;0,1,0)</f>
        <v>0</v>
      </c>
      <c r="J39">
        <f>IF('Pivot table values'!E42&gt;0,1,0)</f>
        <v>0</v>
      </c>
      <c r="K39">
        <f>IF('Pivot table values'!F42&gt;0,1,0)</f>
        <v>0</v>
      </c>
      <c r="L39">
        <f>IF('Pivot table values'!G42&gt;0,1,0)</f>
        <v>0</v>
      </c>
      <c r="M39">
        <f>IF('Pivot table values'!H42&gt;0,1,0)</f>
        <v>0</v>
      </c>
      <c r="N39">
        <f>IF('Pivot table values'!I42&gt;0,1,0)</f>
        <v>1</v>
      </c>
      <c r="O39">
        <f>IF('Pivot table values'!J42&gt;0,1,0)</f>
        <v>0</v>
      </c>
      <c r="P39">
        <f>IF('Pivot table values'!K42&gt;0,1,0)</f>
        <v>0</v>
      </c>
      <c r="Q39">
        <f>IF('Pivot table values'!L42&gt;0,1,0)</f>
        <v>0</v>
      </c>
      <c r="R39">
        <f>IF('Pivot table values'!M42&gt;0,1,0)</f>
        <v>0</v>
      </c>
      <c r="S39">
        <f>IF('Pivot table values'!N42&gt;0,1,0)</f>
        <v>1</v>
      </c>
      <c r="T39">
        <f>IF('Pivot table values'!O42&gt;0,1,0)</f>
        <v>0</v>
      </c>
      <c r="U39">
        <f>IF('Pivot table values'!P42&gt;0,1,0)</f>
        <v>0</v>
      </c>
      <c r="V39">
        <f>IF('Pivot table values'!Q42&gt;0,1,0)</f>
        <v>0</v>
      </c>
      <c r="W39">
        <f>IF('Pivot table values'!R42&gt;0,1,0)</f>
        <v>1</v>
      </c>
      <c r="X39">
        <f>IF('Pivot table values'!S42&gt;0,1,0)</f>
        <v>0</v>
      </c>
      <c r="Y39">
        <f>IF('Pivot table values'!T42&gt;0,1,0)</f>
        <v>0</v>
      </c>
      <c r="Z39">
        <f>IF('Pivot table values'!U42&gt;0,1,0)</f>
        <v>0</v>
      </c>
      <c r="AA39">
        <f>IF('Pivot table values'!V42&gt;0,1,0)</f>
        <v>1</v>
      </c>
      <c r="AB39">
        <f>IF('Pivot table values'!W42&gt;0,1,0)</f>
        <v>0</v>
      </c>
      <c r="AC39">
        <f>IF('Pivot table values'!X42&gt;0,1,0)</f>
        <v>1</v>
      </c>
      <c r="AD39">
        <f>IF('Pivot table values'!Y42&gt;0,1,0)</f>
        <v>0</v>
      </c>
      <c r="AE39">
        <f>IF('Pivot table values'!Z42&gt;0,1,0)</f>
        <v>0</v>
      </c>
      <c r="AF39">
        <f>IF('Pivot table values'!AA42&gt;0,1,0)</f>
        <v>0</v>
      </c>
      <c r="AG39">
        <f>IF('Pivot table values'!AB42&gt;0,1,0)</f>
        <v>0</v>
      </c>
      <c r="AH39">
        <f>IF('Pivot table values'!AC42&gt;0,1,0)</f>
        <v>0</v>
      </c>
      <c r="AI39">
        <f>IF('Pivot table values'!AD42&gt;0,1,0)</f>
        <v>0</v>
      </c>
      <c r="AJ39">
        <f>IF('Pivot table values'!AE42&gt;0,1,0)</f>
        <v>0</v>
      </c>
      <c r="AK39">
        <f>IF('Pivot table values'!AF42&gt;0,1,0)</f>
        <v>0</v>
      </c>
      <c r="AL39">
        <f>IF('Pivot table values'!AG42&gt;0,1,0)</f>
        <v>0</v>
      </c>
      <c r="AM39">
        <f>IF('Pivot table values'!AH42&gt;0,1,0)</f>
        <v>1</v>
      </c>
      <c r="AN39">
        <f>IF('Pivot table values'!AI42&gt;0,1,0)</f>
        <v>1</v>
      </c>
      <c r="AO39">
        <f>IF('Pivot table values'!AJ42&gt;0,1,0)</f>
        <v>0</v>
      </c>
      <c r="AP39">
        <f>IF('Pivot table values'!AK42&gt;0,1,0)</f>
        <v>0</v>
      </c>
      <c r="AQ39">
        <f>IF('Pivot table values'!AL42&gt;0,1,0)</f>
        <v>0</v>
      </c>
      <c r="AR39">
        <f>IF('Pivot table values'!AM42&gt;0,1,0)</f>
        <v>0</v>
      </c>
      <c r="AS39">
        <f>IF('Pivot table values'!AN42&gt;0,1,0)</f>
        <v>0</v>
      </c>
      <c r="AT39">
        <f>IF('Pivot table values'!AO42&gt;0,1,0)</f>
        <v>0</v>
      </c>
      <c r="AU39">
        <f>IF('Pivot table values'!AP42&gt;0,1,0)</f>
        <v>0</v>
      </c>
      <c r="AV39">
        <f>IF('Pivot table values'!AQ42&gt;0,1,0)</f>
        <v>0</v>
      </c>
      <c r="AW39">
        <f>IF('Pivot table values'!AR42&gt;0,1,0)</f>
        <v>0</v>
      </c>
      <c r="AX39">
        <f>IF('Pivot table values'!AS42&gt;0,1,0)</f>
        <v>0</v>
      </c>
      <c r="AY39">
        <f>IF('Pivot table values'!AT42&gt;0,1,0)</f>
        <v>0</v>
      </c>
      <c r="AZ39">
        <f>IF('Pivot table values'!AU42&gt;0,1,0)</f>
        <v>1</v>
      </c>
      <c r="BA39">
        <f>IF('Pivot table values'!AV42&gt;0,1,0)</f>
        <v>0</v>
      </c>
      <c r="BB39">
        <f>IF('Pivot table values'!AW42&gt;0,1,0)</f>
        <v>0</v>
      </c>
      <c r="BC39">
        <f>IF('Pivot table values'!AX42&gt;0,1,0)</f>
        <v>0</v>
      </c>
      <c r="BD39">
        <f>IF('Pivot table values'!AY42&gt;0,1,0)</f>
        <v>0</v>
      </c>
      <c r="BE39">
        <f>IF('Pivot table values'!AZ42&gt;0,1,0)</f>
        <v>0</v>
      </c>
      <c r="BF39">
        <f>IF('Pivot table values'!BA42&gt;0,1,0)</f>
        <v>0</v>
      </c>
      <c r="BG39">
        <f>IF('Pivot table values'!BB42&gt;0,1,0)</f>
        <v>0</v>
      </c>
      <c r="BH39">
        <f>IF('Pivot table values'!BC42&gt;0,1,0)</f>
        <v>0</v>
      </c>
      <c r="BI39">
        <f>IF('Pivot table values'!BD42&gt;0,1,0)</f>
        <v>1</v>
      </c>
      <c r="BJ39">
        <f>IF('Pivot table values'!BE42&gt;0,1,0)</f>
        <v>0</v>
      </c>
      <c r="BK39">
        <f>IF('Pivot table values'!BF42&gt;0,1,0)</f>
        <v>0</v>
      </c>
      <c r="BL39">
        <f>IF('Pivot table values'!BG42&gt;0,1,0)</f>
        <v>1</v>
      </c>
      <c r="BM39">
        <f>IF('Pivot table values'!BH42&gt;0,1,0)</f>
        <v>1</v>
      </c>
      <c r="BN39">
        <f>IF('Pivot table values'!BI42&gt;0,1,0)</f>
        <v>1</v>
      </c>
      <c r="BO39">
        <f>IF('Pivot table values'!BJ42&gt;0,1,0)</f>
        <v>0</v>
      </c>
      <c r="BP39">
        <f>IF('Pivot table values'!BK42&gt;0,1,0)</f>
        <v>0</v>
      </c>
      <c r="BQ39">
        <f>IF('Pivot table values'!BL42&gt;0,1,0)</f>
        <v>0</v>
      </c>
      <c r="BR39">
        <f>IF('Pivot table values'!BM42&gt;0,1,0)</f>
        <v>0</v>
      </c>
      <c r="BS39">
        <f>IF('Pivot table values'!BN42&gt;0,1,0)</f>
        <v>0</v>
      </c>
      <c r="BT39">
        <f>IF('Pivot table values'!BO42&gt;0,1,0)</f>
        <v>0</v>
      </c>
      <c r="BU39">
        <f>IF('Pivot table values'!BP42&gt;0,1,0)</f>
        <v>1</v>
      </c>
      <c r="BV39">
        <f>IF('Pivot table values'!BQ42&gt;0,1,0)</f>
        <v>0</v>
      </c>
      <c r="BW39">
        <f>IF('Pivot table values'!BR42&gt;0,1,0)</f>
        <v>0</v>
      </c>
      <c r="BX39">
        <f>IF('Pivot table values'!BS42&gt;0,1,0)</f>
        <v>0</v>
      </c>
      <c r="BY39">
        <f>IF('Pivot table values'!BT42&gt;0,1,0)</f>
        <v>0</v>
      </c>
      <c r="BZ39">
        <f>IF('Pivot table values'!BU42&gt;0,1,0)</f>
        <v>0</v>
      </c>
    </row>
    <row r="40" spans="1:78" x14ac:dyDescent="0.3">
      <c r="A40" s="4" t="s">
        <v>186</v>
      </c>
      <c r="B40" s="4" t="str">
        <f>VLOOKUP($A40,Vlookup!$A$2:$E$62,2,FALSE)</f>
        <v>Brussels Lace</v>
      </c>
      <c r="C40" s="4" t="str">
        <f>VLOOKUP($A40,Vlookup!$A$2:$E$62,3,FALSE)</f>
        <v>Hydrangea paniculata</v>
      </c>
      <c r="D40" s="4" t="str">
        <f>VLOOKUP($A40,Vlookup!$A$2:$E$62,4,FALSE)</f>
        <v>Lacy panicle</v>
      </c>
      <c r="E40" s="4" t="str">
        <f>VLOOKUP($A40,Vlookup!$A$2:$E$62,5,FALSE)</f>
        <v>Open</v>
      </c>
      <c r="F40" s="4">
        <f t="shared" si="0"/>
        <v>12</v>
      </c>
      <c r="G40">
        <f>IF('Pivot table values'!B43&gt;0,1,0)</f>
        <v>0</v>
      </c>
      <c r="H40">
        <f>IF('Pivot table values'!C43&gt;0,1,0)</f>
        <v>0</v>
      </c>
      <c r="I40">
        <f>IF('Pivot table values'!D43&gt;0,1,0)</f>
        <v>1</v>
      </c>
      <c r="J40">
        <f>IF('Pivot table values'!E43&gt;0,1,0)</f>
        <v>0</v>
      </c>
      <c r="K40">
        <f>IF('Pivot table values'!F43&gt;0,1,0)</f>
        <v>0</v>
      </c>
      <c r="L40">
        <f>IF('Pivot table values'!G43&gt;0,1,0)</f>
        <v>1</v>
      </c>
      <c r="M40">
        <f>IF('Pivot table values'!H43&gt;0,1,0)</f>
        <v>0</v>
      </c>
      <c r="N40">
        <f>IF('Pivot table values'!I43&gt;0,1,0)</f>
        <v>0</v>
      </c>
      <c r="O40">
        <f>IF('Pivot table values'!J43&gt;0,1,0)</f>
        <v>0</v>
      </c>
      <c r="P40">
        <f>IF('Pivot table values'!K43&gt;0,1,0)</f>
        <v>0</v>
      </c>
      <c r="Q40">
        <f>IF('Pivot table values'!L43&gt;0,1,0)</f>
        <v>0</v>
      </c>
      <c r="R40">
        <f>IF('Pivot table values'!M43&gt;0,1,0)</f>
        <v>0</v>
      </c>
      <c r="S40">
        <f>IF('Pivot table values'!N43&gt;0,1,0)</f>
        <v>1</v>
      </c>
      <c r="T40">
        <f>IF('Pivot table values'!O43&gt;0,1,0)</f>
        <v>0</v>
      </c>
      <c r="U40">
        <f>IF('Pivot table values'!P43&gt;0,1,0)</f>
        <v>0</v>
      </c>
      <c r="V40">
        <f>IF('Pivot table values'!Q43&gt;0,1,0)</f>
        <v>0</v>
      </c>
      <c r="W40">
        <f>IF('Pivot table values'!R43&gt;0,1,0)</f>
        <v>0</v>
      </c>
      <c r="X40">
        <f>IF('Pivot table values'!S43&gt;0,1,0)</f>
        <v>0</v>
      </c>
      <c r="Y40">
        <f>IF('Pivot table values'!T43&gt;0,1,0)</f>
        <v>0</v>
      </c>
      <c r="Z40">
        <f>IF('Pivot table values'!U43&gt;0,1,0)</f>
        <v>0</v>
      </c>
      <c r="AA40">
        <f>IF('Pivot table values'!V43&gt;0,1,0)</f>
        <v>1</v>
      </c>
      <c r="AB40">
        <f>IF('Pivot table values'!W43&gt;0,1,0)</f>
        <v>0</v>
      </c>
      <c r="AC40">
        <f>IF('Pivot table values'!X43&gt;0,1,0)</f>
        <v>1</v>
      </c>
      <c r="AD40">
        <f>IF('Pivot table values'!Y43&gt;0,1,0)</f>
        <v>0</v>
      </c>
      <c r="AE40">
        <f>IF('Pivot table values'!Z43&gt;0,1,0)</f>
        <v>0</v>
      </c>
      <c r="AF40">
        <f>IF('Pivot table values'!AA43&gt;0,1,0)</f>
        <v>0</v>
      </c>
      <c r="AG40">
        <f>IF('Pivot table values'!AB43&gt;0,1,0)</f>
        <v>0</v>
      </c>
      <c r="AH40">
        <f>IF('Pivot table values'!AC43&gt;0,1,0)</f>
        <v>0</v>
      </c>
      <c r="AI40">
        <f>IF('Pivot table values'!AD43&gt;0,1,0)</f>
        <v>0</v>
      </c>
      <c r="AJ40">
        <f>IF('Pivot table values'!AE43&gt;0,1,0)</f>
        <v>0</v>
      </c>
      <c r="AK40">
        <f>IF('Pivot table values'!AF43&gt;0,1,0)</f>
        <v>0</v>
      </c>
      <c r="AL40">
        <f>IF('Pivot table values'!AG43&gt;0,1,0)</f>
        <v>0</v>
      </c>
      <c r="AM40">
        <f>IF('Pivot table values'!AH43&gt;0,1,0)</f>
        <v>1</v>
      </c>
      <c r="AN40">
        <f>IF('Pivot table values'!AI43&gt;0,1,0)</f>
        <v>1</v>
      </c>
      <c r="AO40">
        <f>IF('Pivot table values'!AJ43&gt;0,1,0)</f>
        <v>0</v>
      </c>
      <c r="AP40">
        <f>IF('Pivot table values'!AK43&gt;0,1,0)</f>
        <v>0</v>
      </c>
      <c r="AQ40">
        <f>IF('Pivot table values'!AL43&gt;0,1,0)</f>
        <v>0</v>
      </c>
      <c r="AR40">
        <f>IF('Pivot table values'!AM43&gt;0,1,0)</f>
        <v>0</v>
      </c>
      <c r="AS40">
        <f>IF('Pivot table values'!AN43&gt;0,1,0)</f>
        <v>0</v>
      </c>
      <c r="AT40">
        <f>IF('Pivot table values'!AO43&gt;0,1,0)</f>
        <v>0</v>
      </c>
      <c r="AU40">
        <f>IF('Pivot table values'!AP43&gt;0,1,0)</f>
        <v>0</v>
      </c>
      <c r="AV40">
        <f>IF('Pivot table values'!AQ43&gt;0,1,0)</f>
        <v>0</v>
      </c>
      <c r="AW40">
        <f>IF('Pivot table values'!AR43&gt;0,1,0)</f>
        <v>0</v>
      </c>
      <c r="AX40">
        <f>IF('Pivot table values'!AS43&gt;0,1,0)</f>
        <v>0</v>
      </c>
      <c r="AY40">
        <f>IF('Pivot table values'!AT43&gt;0,1,0)</f>
        <v>0</v>
      </c>
      <c r="AZ40">
        <f>IF('Pivot table values'!AU43&gt;0,1,0)</f>
        <v>0</v>
      </c>
      <c r="BA40">
        <f>IF('Pivot table values'!AV43&gt;0,1,0)</f>
        <v>1</v>
      </c>
      <c r="BB40">
        <f>IF('Pivot table values'!AW43&gt;0,1,0)</f>
        <v>0</v>
      </c>
      <c r="BC40">
        <f>IF('Pivot table values'!AX43&gt;0,1,0)</f>
        <v>1</v>
      </c>
      <c r="BD40">
        <f>IF('Pivot table values'!AY43&gt;0,1,0)</f>
        <v>0</v>
      </c>
      <c r="BE40">
        <f>IF('Pivot table values'!AZ43&gt;0,1,0)</f>
        <v>1</v>
      </c>
      <c r="BF40">
        <f>IF('Pivot table values'!BA43&gt;0,1,0)</f>
        <v>0</v>
      </c>
      <c r="BG40">
        <f>IF('Pivot table values'!BB43&gt;0,1,0)</f>
        <v>0</v>
      </c>
      <c r="BH40">
        <f>IF('Pivot table values'!BC43&gt;0,1,0)</f>
        <v>0</v>
      </c>
      <c r="BI40">
        <f>IF('Pivot table values'!BD43&gt;0,1,0)</f>
        <v>0</v>
      </c>
      <c r="BJ40">
        <f>IF('Pivot table values'!BE43&gt;0,1,0)</f>
        <v>0</v>
      </c>
      <c r="BK40">
        <f>IF('Pivot table values'!BF43&gt;0,1,0)</f>
        <v>1</v>
      </c>
      <c r="BL40">
        <f>IF('Pivot table values'!BG43&gt;0,1,0)</f>
        <v>0</v>
      </c>
      <c r="BM40">
        <f>IF('Pivot table values'!BH43&gt;0,1,0)</f>
        <v>0</v>
      </c>
      <c r="BN40">
        <f>IF('Pivot table values'!BI43&gt;0,1,0)</f>
        <v>1</v>
      </c>
      <c r="BO40">
        <f>IF('Pivot table values'!BJ43&gt;0,1,0)</f>
        <v>0</v>
      </c>
      <c r="BP40">
        <f>IF('Pivot table values'!BK43&gt;0,1,0)</f>
        <v>0</v>
      </c>
      <c r="BQ40">
        <f>IF('Pivot table values'!BL43&gt;0,1,0)</f>
        <v>0</v>
      </c>
      <c r="BR40">
        <f>IF('Pivot table values'!BM43&gt;0,1,0)</f>
        <v>0</v>
      </c>
      <c r="BS40">
        <f>IF('Pivot table values'!BN43&gt;0,1,0)</f>
        <v>0</v>
      </c>
      <c r="BT40">
        <f>IF('Pivot table values'!BO43&gt;0,1,0)</f>
        <v>0</v>
      </c>
      <c r="BU40">
        <f>IF('Pivot table values'!BP43&gt;0,1,0)</f>
        <v>0</v>
      </c>
      <c r="BV40">
        <f>IF('Pivot table values'!BQ43&gt;0,1,0)</f>
        <v>0</v>
      </c>
      <c r="BW40">
        <f>IF('Pivot table values'!BR43&gt;0,1,0)</f>
        <v>0</v>
      </c>
      <c r="BX40">
        <f>IF('Pivot table values'!BS43&gt;0,1,0)</f>
        <v>0</v>
      </c>
      <c r="BY40">
        <f>IF('Pivot table values'!BT43&gt;0,1,0)</f>
        <v>0</v>
      </c>
      <c r="BZ40">
        <f>IF('Pivot table values'!BU43&gt;0,1,0)</f>
        <v>0</v>
      </c>
    </row>
    <row r="41" spans="1:78" x14ac:dyDescent="0.3">
      <c r="A41" s="4" t="s">
        <v>178</v>
      </c>
      <c r="B41" s="4" t="str">
        <f>VLOOKUP($A41,Vlookup!$A$2:$E$62,2,FALSE)</f>
        <v>Annabelle</v>
      </c>
      <c r="C41" s="4" t="str">
        <f>VLOOKUP($A41,Vlookup!$A$2:$E$62,3,FALSE)</f>
        <v>Hydrangea arborescens</v>
      </c>
      <c r="D41" s="4" t="str">
        <f>VLOOKUP($A41,Vlookup!$A$2:$E$62,4,FALSE)</f>
        <v>Mop</v>
      </c>
      <c r="E41" s="4" t="str">
        <f>VLOOKUP($A41,Vlookup!$A$2:$E$62,5,FALSE)</f>
        <v>Dense</v>
      </c>
      <c r="F41" s="4">
        <f t="shared" si="0"/>
        <v>3</v>
      </c>
      <c r="G41">
        <f>IF('Pivot table values'!B44&gt;0,1,0)</f>
        <v>0</v>
      </c>
      <c r="H41">
        <f>IF('Pivot table values'!C44&gt;0,1,0)</f>
        <v>0</v>
      </c>
      <c r="I41">
        <f>IF('Pivot table values'!D44&gt;0,1,0)</f>
        <v>0</v>
      </c>
      <c r="J41">
        <f>IF('Pivot table values'!E44&gt;0,1,0)</f>
        <v>0</v>
      </c>
      <c r="K41">
        <f>IF('Pivot table values'!F44&gt;0,1,0)</f>
        <v>0</v>
      </c>
      <c r="L41">
        <f>IF('Pivot table values'!G44&gt;0,1,0)</f>
        <v>0</v>
      </c>
      <c r="M41">
        <f>IF('Pivot table values'!H44&gt;0,1,0)</f>
        <v>0</v>
      </c>
      <c r="N41">
        <f>IF('Pivot table values'!I44&gt;0,1,0)</f>
        <v>0</v>
      </c>
      <c r="O41">
        <f>IF('Pivot table values'!J44&gt;0,1,0)</f>
        <v>0</v>
      </c>
      <c r="P41">
        <f>IF('Pivot table values'!K44&gt;0,1,0)</f>
        <v>0</v>
      </c>
      <c r="Q41">
        <f>IF('Pivot table values'!L44&gt;0,1,0)</f>
        <v>0</v>
      </c>
      <c r="R41">
        <f>IF('Pivot table values'!M44&gt;0,1,0)</f>
        <v>0</v>
      </c>
      <c r="S41">
        <f>IF('Pivot table values'!N44&gt;0,1,0)</f>
        <v>1</v>
      </c>
      <c r="T41">
        <f>IF('Pivot table values'!O44&gt;0,1,0)</f>
        <v>0</v>
      </c>
      <c r="U41">
        <f>IF('Pivot table values'!P44&gt;0,1,0)</f>
        <v>0</v>
      </c>
      <c r="V41">
        <f>IF('Pivot table values'!Q44&gt;0,1,0)</f>
        <v>0</v>
      </c>
      <c r="W41">
        <f>IF('Pivot table values'!R44&gt;0,1,0)</f>
        <v>1</v>
      </c>
      <c r="X41">
        <f>IF('Pivot table values'!S44&gt;0,1,0)</f>
        <v>0</v>
      </c>
      <c r="Y41">
        <f>IF('Pivot table values'!T44&gt;0,1,0)</f>
        <v>0</v>
      </c>
      <c r="Z41">
        <f>IF('Pivot table values'!U44&gt;0,1,0)</f>
        <v>0</v>
      </c>
      <c r="AA41">
        <f>IF('Pivot table values'!V44&gt;0,1,0)</f>
        <v>1</v>
      </c>
      <c r="AB41">
        <f>IF('Pivot table values'!W44&gt;0,1,0)</f>
        <v>0</v>
      </c>
      <c r="AC41">
        <f>IF('Pivot table values'!X44&gt;0,1,0)</f>
        <v>0</v>
      </c>
      <c r="AD41">
        <f>IF('Pivot table values'!Y44&gt;0,1,0)</f>
        <v>0</v>
      </c>
      <c r="AE41">
        <f>IF('Pivot table values'!Z44&gt;0,1,0)</f>
        <v>0</v>
      </c>
      <c r="AF41">
        <f>IF('Pivot table values'!AA44&gt;0,1,0)</f>
        <v>0</v>
      </c>
      <c r="AG41">
        <f>IF('Pivot table values'!AB44&gt;0,1,0)</f>
        <v>0</v>
      </c>
      <c r="AH41">
        <f>IF('Pivot table values'!AC44&gt;0,1,0)</f>
        <v>0</v>
      </c>
      <c r="AI41">
        <f>IF('Pivot table values'!AD44&gt;0,1,0)</f>
        <v>0</v>
      </c>
      <c r="AJ41">
        <f>IF('Pivot table values'!AE44&gt;0,1,0)</f>
        <v>0</v>
      </c>
      <c r="AK41">
        <f>IF('Pivot table values'!AF44&gt;0,1,0)</f>
        <v>0</v>
      </c>
      <c r="AL41">
        <f>IF('Pivot table values'!AG44&gt;0,1,0)</f>
        <v>0</v>
      </c>
      <c r="AM41">
        <f>IF('Pivot table values'!AH44&gt;0,1,0)</f>
        <v>0</v>
      </c>
      <c r="AN41">
        <f>IF('Pivot table values'!AI44&gt;0,1,0)</f>
        <v>0</v>
      </c>
      <c r="AO41">
        <f>IF('Pivot table values'!AJ44&gt;0,1,0)</f>
        <v>0</v>
      </c>
      <c r="AP41">
        <f>IF('Pivot table values'!AK44&gt;0,1,0)</f>
        <v>0</v>
      </c>
      <c r="AQ41">
        <f>IF('Pivot table values'!AL44&gt;0,1,0)</f>
        <v>0</v>
      </c>
      <c r="AR41">
        <f>IF('Pivot table values'!AM44&gt;0,1,0)</f>
        <v>0</v>
      </c>
      <c r="AS41">
        <f>IF('Pivot table values'!AN44&gt;0,1,0)</f>
        <v>0</v>
      </c>
      <c r="AT41">
        <f>IF('Pivot table values'!AO44&gt;0,1,0)</f>
        <v>0</v>
      </c>
      <c r="AU41">
        <f>IF('Pivot table values'!AP44&gt;0,1,0)</f>
        <v>0</v>
      </c>
      <c r="AV41">
        <f>IF('Pivot table values'!AQ44&gt;0,1,0)</f>
        <v>0</v>
      </c>
      <c r="AW41">
        <f>IF('Pivot table values'!AR44&gt;0,1,0)</f>
        <v>0</v>
      </c>
      <c r="AX41">
        <f>IF('Pivot table values'!AS44&gt;0,1,0)</f>
        <v>0</v>
      </c>
      <c r="AY41">
        <f>IF('Pivot table values'!AT44&gt;0,1,0)</f>
        <v>0</v>
      </c>
      <c r="AZ41">
        <f>IF('Pivot table values'!AU44&gt;0,1,0)</f>
        <v>0</v>
      </c>
      <c r="BA41">
        <f>IF('Pivot table values'!AV44&gt;0,1,0)</f>
        <v>0</v>
      </c>
      <c r="BB41">
        <f>IF('Pivot table values'!AW44&gt;0,1,0)</f>
        <v>0</v>
      </c>
      <c r="BC41">
        <f>IF('Pivot table values'!AX44&gt;0,1,0)</f>
        <v>0</v>
      </c>
      <c r="BD41">
        <f>IF('Pivot table values'!AY44&gt;0,1,0)</f>
        <v>0</v>
      </c>
      <c r="BE41">
        <f>IF('Pivot table values'!AZ44&gt;0,1,0)</f>
        <v>0</v>
      </c>
      <c r="BF41">
        <f>IF('Pivot table values'!BA44&gt;0,1,0)</f>
        <v>0</v>
      </c>
      <c r="BG41">
        <f>IF('Pivot table values'!BB44&gt;0,1,0)</f>
        <v>0</v>
      </c>
      <c r="BH41">
        <f>IF('Pivot table values'!BC44&gt;0,1,0)</f>
        <v>0</v>
      </c>
      <c r="BI41">
        <f>IF('Pivot table values'!BD44&gt;0,1,0)</f>
        <v>0</v>
      </c>
      <c r="BJ41">
        <f>IF('Pivot table values'!BE44&gt;0,1,0)</f>
        <v>0</v>
      </c>
      <c r="BK41">
        <f>IF('Pivot table values'!BF44&gt;0,1,0)</f>
        <v>0</v>
      </c>
      <c r="BL41">
        <f>IF('Pivot table values'!BG44&gt;0,1,0)</f>
        <v>0</v>
      </c>
      <c r="BM41">
        <f>IF('Pivot table values'!BH44&gt;0,1,0)</f>
        <v>0</v>
      </c>
      <c r="BN41">
        <f>IF('Pivot table values'!BI44&gt;0,1,0)</f>
        <v>0</v>
      </c>
      <c r="BO41">
        <f>IF('Pivot table values'!BJ44&gt;0,1,0)</f>
        <v>0</v>
      </c>
      <c r="BP41">
        <f>IF('Pivot table values'!BK44&gt;0,1,0)</f>
        <v>0</v>
      </c>
      <c r="BQ41">
        <f>IF('Pivot table values'!BL44&gt;0,1,0)</f>
        <v>0</v>
      </c>
      <c r="BR41">
        <f>IF('Pivot table values'!BM44&gt;0,1,0)</f>
        <v>0</v>
      </c>
      <c r="BS41">
        <f>IF('Pivot table values'!BN44&gt;0,1,0)</f>
        <v>0</v>
      </c>
      <c r="BT41">
        <f>IF('Pivot table values'!BO44&gt;0,1,0)</f>
        <v>0</v>
      </c>
      <c r="BU41">
        <f>IF('Pivot table values'!BP44&gt;0,1,0)</f>
        <v>0</v>
      </c>
      <c r="BV41">
        <f>IF('Pivot table values'!BQ44&gt;0,1,0)</f>
        <v>0</v>
      </c>
      <c r="BW41">
        <f>IF('Pivot table values'!BR44&gt;0,1,0)</f>
        <v>0</v>
      </c>
      <c r="BX41">
        <f>IF('Pivot table values'!BS44&gt;0,1,0)</f>
        <v>0</v>
      </c>
      <c r="BY41">
        <f>IF('Pivot table values'!BT44&gt;0,1,0)</f>
        <v>0</v>
      </c>
      <c r="BZ41">
        <f>IF('Pivot table values'!BU44&gt;0,1,0)</f>
        <v>0</v>
      </c>
    </row>
    <row r="42" spans="1:78" x14ac:dyDescent="0.3">
      <c r="A42" s="4" t="s">
        <v>163</v>
      </c>
      <c r="B42" s="4" t="str">
        <f>VLOOKUP($A42,Vlookup!$A$2:$E$62,2,FALSE)</f>
        <v>Bella Anna</v>
      </c>
      <c r="C42" s="4" t="str">
        <f>VLOOKUP($A42,Vlookup!$A$2:$E$62,3,FALSE)</f>
        <v>Hydrangea arborescens</v>
      </c>
      <c r="D42" s="4" t="str">
        <f>VLOOKUP($A42,Vlookup!$A$2:$E$62,4,FALSE)</f>
        <v>Mop</v>
      </c>
      <c r="E42" s="4" t="str">
        <f>VLOOKUP($A42,Vlookup!$A$2:$E$62,5,FALSE)</f>
        <v>Half-open</v>
      </c>
      <c r="F42" s="4">
        <f t="shared" si="0"/>
        <v>3</v>
      </c>
      <c r="G42">
        <f>IF('Pivot table values'!B45&gt;0,1,0)</f>
        <v>0</v>
      </c>
      <c r="H42">
        <f>IF('Pivot table values'!C45&gt;0,1,0)</f>
        <v>0</v>
      </c>
      <c r="I42">
        <f>IF('Pivot table values'!D45&gt;0,1,0)</f>
        <v>0</v>
      </c>
      <c r="J42">
        <f>IF('Pivot table values'!E45&gt;0,1,0)</f>
        <v>0</v>
      </c>
      <c r="K42">
        <f>IF('Pivot table values'!F45&gt;0,1,0)</f>
        <v>0</v>
      </c>
      <c r="L42">
        <f>IF('Pivot table values'!G45&gt;0,1,0)</f>
        <v>0</v>
      </c>
      <c r="M42">
        <f>IF('Pivot table values'!H45&gt;0,1,0)</f>
        <v>0</v>
      </c>
      <c r="N42">
        <f>IF('Pivot table values'!I45&gt;0,1,0)</f>
        <v>0</v>
      </c>
      <c r="O42">
        <f>IF('Pivot table values'!J45&gt;0,1,0)</f>
        <v>0</v>
      </c>
      <c r="P42">
        <f>IF('Pivot table values'!K45&gt;0,1,0)</f>
        <v>0</v>
      </c>
      <c r="Q42">
        <f>IF('Pivot table values'!L45&gt;0,1,0)</f>
        <v>0</v>
      </c>
      <c r="R42">
        <f>IF('Pivot table values'!M45&gt;0,1,0)</f>
        <v>0</v>
      </c>
      <c r="S42">
        <f>IF('Pivot table values'!N45&gt;0,1,0)</f>
        <v>0</v>
      </c>
      <c r="T42">
        <f>IF('Pivot table values'!O45&gt;0,1,0)</f>
        <v>0</v>
      </c>
      <c r="U42">
        <f>IF('Pivot table values'!P45&gt;0,1,0)</f>
        <v>0</v>
      </c>
      <c r="V42">
        <f>IF('Pivot table values'!Q45&gt;0,1,0)</f>
        <v>0</v>
      </c>
      <c r="W42">
        <f>IF('Pivot table values'!R45&gt;0,1,0)</f>
        <v>1</v>
      </c>
      <c r="X42">
        <f>IF('Pivot table values'!S45&gt;0,1,0)</f>
        <v>0</v>
      </c>
      <c r="Y42">
        <f>IF('Pivot table values'!T45&gt;0,1,0)</f>
        <v>0</v>
      </c>
      <c r="Z42">
        <f>IF('Pivot table values'!U45&gt;0,1,0)</f>
        <v>0</v>
      </c>
      <c r="AA42">
        <f>IF('Pivot table values'!V45&gt;0,1,0)</f>
        <v>0</v>
      </c>
      <c r="AB42">
        <f>IF('Pivot table values'!W45&gt;0,1,0)</f>
        <v>0</v>
      </c>
      <c r="AC42">
        <f>IF('Pivot table values'!X45&gt;0,1,0)</f>
        <v>1</v>
      </c>
      <c r="AD42">
        <f>IF('Pivot table values'!Y45&gt;0,1,0)</f>
        <v>0</v>
      </c>
      <c r="AE42">
        <f>IF('Pivot table values'!Z45&gt;0,1,0)</f>
        <v>1</v>
      </c>
      <c r="AF42">
        <f>IF('Pivot table values'!AA45&gt;0,1,0)</f>
        <v>0</v>
      </c>
      <c r="AG42">
        <f>IF('Pivot table values'!AB45&gt;0,1,0)</f>
        <v>0</v>
      </c>
      <c r="AH42">
        <f>IF('Pivot table values'!AC45&gt;0,1,0)</f>
        <v>0</v>
      </c>
      <c r="AI42">
        <f>IF('Pivot table values'!AD45&gt;0,1,0)</f>
        <v>0</v>
      </c>
      <c r="AJ42">
        <f>IF('Pivot table values'!AE45&gt;0,1,0)</f>
        <v>0</v>
      </c>
      <c r="AK42">
        <f>IF('Pivot table values'!AF45&gt;0,1,0)</f>
        <v>0</v>
      </c>
      <c r="AL42">
        <f>IF('Pivot table values'!AG45&gt;0,1,0)</f>
        <v>0</v>
      </c>
      <c r="AM42">
        <f>IF('Pivot table values'!AH45&gt;0,1,0)</f>
        <v>0</v>
      </c>
      <c r="AN42">
        <f>IF('Pivot table values'!AI45&gt;0,1,0)</f>
        <v>0</v>
      </c>
      <c r="AO42">
        <f>IF('Pivot table values'!AJ45&gt;0,1,0)</f>
        <v>0</v>
      </c>
      <c r="AP42">
        <f>IF('Pivot table values'!AK45&gt;0,1,0)</f>
        <v>0</v>
      </c>
      <c r="AQ42">
        <f>IF('Pivot table values'!AL45&gt;0,1,0)</f>
        <v>0</v>
      </c>
      <c r="AR42">
        <f>IF('Pivot table values'!AM45&gt;0,1,0)</f>
        <v>0</v>
      </c>
      <c r="AS42">
        <f>IF('Pivot table values'!AN45&gt;0,1,0)</f>
        <v>0</v>
      </c>
      <c r="AT42">
        <f>IF('Pivot table values'!AO45&gt;0,1,0)</f>
        <v>0</v>
      </c>
      <c r="AU42">
        <f>IF('Pivot table values'!AP45&gt;0,1,0)</f>
        <v>0</v>
      </c>
      <c r="AV42">
        <f>IF('Pivot table values'!AQ45&gt;0,1,0)</f>
        <v>0</v>
      </c>
      <c r="AW42">
        <f>IF('Pivot table values'!AR45&gt;0,1,0)</f>
        <v>0</v>
      </c>
      <c r="AX42">
        <f>IF('Pivot table values'!AS45&gt;0,1,0)</f>
        <v>0</v>
      </c>
      <c r="AY42">
        <f>IF('Pivot table values'!AT45&gt;0,1,0)</f>
        <v>0</v>
      </c>
      <c r="AZ42">
        <f>IF('Pivot table values'!AU45&gt;0,1,0)</f>
        <v>0</v>
      </c>
      <c r="BA42">
        <f>IF('Pivot table values'!AV45&gt;0,1,0)</f>
        <v>0</v>
      </c>
      <c r="BB42">
        <f>IF('Pivot table values'!AW45&gt;0,1,0)</f>
        <v>0</v>
      </c>
      <c r="BC42">
        <f>IF('Pivot table values'!AX45&gt;0,1,0)</f>
        <v>0</v>
      </c>
      <c r="BD42">
        <f>IF('Pivot table values'!AY45&gt;0,1,0)</f>
        <v>0</v>
      </c>
      <c r="BE42">
        <f>IF('Pivot table values'!AZ45&gt;0,1,0)</f>
        <v>0</v>
      </c>
      <c r="BF42">
        <f>IF('Pivot table values'!BA45&gt;0,1,0)</f>
        <v>0</v>
      </c>
      <c r="BG42">
        <f>IF('Pivot table values'!BB45&gt;0,1,0)</f>
        <v>0</v>
      </c>
      <c r="BH42">
        <f>IF('Pivot table values'!BC45&gt;0,1,0)</f>
        <v>0</v>
      </c>
      <c r="BI42">
        <f>IF('Pivot table values'!BD45&gt;0,1,0)</f>
        <v>0</v>
      </c>
      <c r="BJ42">
        <f>IF('Pivot table values'!BE45&gt;0,1,0)</f>
        <v>0</v>
      </c>
      <c r="BK42">
        <f>IF('Pivot table values'!BF45&gt;0,1,0)</f>
        <v>0</v>
      </c>
      <c r="BL42">
        <f>IF('Pivot table values'!BG45&gt;0,1,0)</f>
        <v>0</v>
      </c>
      <c r="BM42">
        <f>IF('Pivot table values'!BH45&gt;0,1,0)</f>
        <v>0</v>
      </c>
      <c r="BN42">
        <f>IF('Pivot table values'!BI45&gt;0,1,0)</f>
        <v>0</v>
      </c>
      <c r="BO42">
        <f>IF('Pivot table values'!BJ45&gt;0,1,0)</f>
        <v>0</v>
      </c>
      <c r="BP42">
        <f>IF('Pivot table values'!BK45&gt;0,1,0)</f>
        <v>0</v>
      </c>
      <c r="BQ42">
        <f>IF('Pivot table values'!BL45&gt;0,1,0)</f>
        <v>0</v>
      </c>
      <c r="BR42">
        <f>IF('Pivot table values'!BM45&gt;0,1,0)</f>
        <v>0</v>
      </c>
      <c r="BS42">
        <f>IF('Pivot table values'!BN45&gt;0,1,0)</f>
        <v>0</v>
      </c>
      <c r="BT42">
        <f>IF('Pivot table values'!BO45&gt;0,1,0)</f>
        <v>0</v>
      </c>
      <c r="BU42">
        <f>IF('Pivot table values'!BP45&gt;0,1,0)</f>
        <v>0</v>
      </c>
      <c r="BV42">
        <f>IF('Pivot table values'!BQ45&gt;0,1,0)</f>
        <v>0</v>
      </c>
      <c r="BW42">
        <f>IF('Pivot table values'!BR45&gt;0,1,0)</f>
        <v>0</v>
      </c>
      <c r="BX42">
        <f>IF('Pivot table values'!BS45&gt;0,1,0)</f>
        <v>0</v>
      </c>
      <c r="BY42">
        <f>IF('Pivot table values'!BT45&gt;0,1,0)</f>
        <v>0</v>
      </c>
      <c r="BZ42">
        <f>IF('Pivot table values'!BU45&gt;0,1,0)</f>
        <v>0</v>
      </c>
    </row>
    <row r="43" spans="1:78" x14ac:dyDescent="0.3">
      <c r="A43" s="4" t="s">
        <v>181</v>
      </c>
      <c r="B43" s="4" t="str">
        <f>VLOOKUP($A43,Vlookup!$A$2:$E$62,2,FALSE)</f>
        <v>Honey Comb</v>
      </c>
      <c r="C43" s="4" t="str">
        <f>VLOOKUP($A43,Vlookup!$A$2:$E$62,3,FALSE)</f>
        <v>Hydrangea paniculata</v>
      </c>
      <c r="D43" s="4" t="str">
        <f>VLOOKUP($A43,Vlookup!$A$2:$E$62,4,FALSE)</f>
        <v>Lacy panicle</v>
      </c>
      <c r="E43" s="4" t="str">
        <f>VLOOKUP($A43,Vlookup!$A$2:$E$62,5,FALSE)</f>
        <v>Open</v>
      </c>
      <c r="F43" s="4">
        <f t="shared" si="0"/>
        <v>5</v>
      </c>
      <c r="G43">
        <f>IF('Pivot table values'!B46&gt;0,1,0)</f>
        <v>0</v>
      </c>
      <c r="H43">
        <f>IF('Pivot table values'!C46&gt;0,1,0)</f>
        <v>0</v>
      </c>
      <c r="I43">
        <f>IF('Pivot table values'!D46&gt;0,1,0)</f>
        <v>0</v>
      </c>
      <c r="J43">
        <f>IF('Pivot table values'!E46&gt;0,1,0)</f>
        <v>0</v>
      </c>
      <c r="K43">
        <f>IF('Pivot table values'!F46&gt;0,1,0)</f>
        <v>0</v>
      </c>
      <c r="L43">
        <f>IF('Pivot table values'!G46&gt;0,1,0)</f>
        <v>0</v>
      </c>
      <c r="M43">
        <f>IF('Pivot table values'!H46&gt;0,1,0)</f>
        <v>0</v>
      </c>
      <c r="N43">
        <f>IF('Pivot table values'!I46&gt;0,1,0)</f>
        <v>0</v>
      </c>
      <c r="O43">
        <f>IF('Pivot table values'!J46&gt;0,1,0)</f>
        <v>0</v>
      </c>
      <c r="P43">
        <f>IF('Pivot table values'!K46&gt;0,1,0)</f>
        <v>0</v>
      </c>
      <c r="Q43">
        <f>IF('Pivot table values'!L46&gt;0,1,0)</f>
        <v>0</v>
      </c>
      <c r="R43">
        <f>IF('Pivot table values'!M46&gt;0,1,0)</f>
        <v>0</v>
      </c>
      <c r="S43">
        <f>IF('Pivot table values'!N46&gt;0,1,0)</f>
        <v>1</v>
      </c>
      <c r="T43">
        <f>IF('Pivot table values'!O46&gt;0,1,0)</f>
        <v>0</v>
      </c>
      <c r="U43">
        <f>IF('Pivot table values'!P46&gt;0,1,0)</f>
        <v>0</v>
      </c>
      <c r="V43">
        <f>IF('Pivot table values'!Q46&gt;0,1,0)</f>
        <v>0</v>
      </c>
      <c r="W43">
        <f>IF('Pivot table values'!R46&gt;0,1,0)</f>
        <v>0</v>
      </c>
      <c r="X43">
        <f>IF('Pivot table values'!S46&gt;0,1,0)</f>
        <v>0</v>
      </c>
      <c r="Y43">
        <f>IF('Pivot table values'!T46&gt;0,1,0)</f>
        <v>0</v>
      </c>
      <c r="Z43">
        <f>IF('Pivot table values'!U46&gt;0,1,0)</f>
        <v>0</v>
      </c>
      <c r="AA43">
        <f>IF('Pivot table values'!V46&gt;0,1,0)</f>
        <v>0</v>
      </c>
      <c r="AB43">
        <f>IF('Pivot table values'!W46&gt;0,1,0)</f>
        <v>0</v>
      </c>
      <c r="AC43">
        <f>IF('Pivot table values'!X46&gt;0,1,0)</f>
        <v>0</v>
      </c>
      <c r="AD43">
        <f>IF('Pivot table values'!Y46&gt;0,1,0)</f>
        <v>0</v>
      </c>
      <c r="AE43">
        <f>IF('Pivot table values'!Z46&gt;0,1,0)</f>
        <v>0</v>
      </c>
      <c r="AF43">
        <f>IF('Pivot table values'!AA46&gt;0,1,0)</f>
        <v>0</v>
      </c>
      <c r="AG43">
        <f>IF('Pivot table values'!AB46&gt;0,1,0)</f>
        <v>0</v>
      </c>
      <c r="AH43">
        <f>IF('Pivot table values'!AC46&gt;0,1,0)</f>
        <v>0</v>
      </c>
      <c r="AI43">
        <f>IF('Pivot table values'!AD46&gt;0,1,0)</f>
        <v>0</v>
      </c>
      <c r="AJ43">
        <f>IF('Pivot table values'!AE46&gt;0,1,0)</f>
        <v>0</v>
      </c>
      <c r="AK43">
        <f>IF('Pivot table values'!AF46&gt;0,1,0)</f>
        <v>0</v>
      </c>
      <c r="AL43">
        <f>IF('Pivot table values'!AG46&gt;0,1,0)</f>
        <v>0</v>
      </c>
      <c r="AM43">
        <f>IF('Pivot table values'!AH46&gt;0,1,0)</f>
        <v>0</v>
      </c>
      <c r="AN43">
        <f>IF('Pivot table values'!AI46&gt;0,1,0)</f>
        <v>1</v>
      </c>
      <c r="AO43">
        <f>IF('Pivot table values'!AJ46&gt;0,1,0)</f>
        <v>0</v>
      </c>
      <c r="AP43">
        <f>IF('Pivot table values'!AK46&gt;0,1,0)</f>
        <v>0</v>
      </c>
      <c r="AQ43">
        <f>IF('Pivot table values'!AL46&gt;0,1,0)</f>
        <v>0</v>
      </c>
      <c r="AR43">
        <f>IF('Pivot table values'!AM46&gt;0,1,0)</f>
        <v>0</v>
      </c>
      <c r="AS43">
        <f>IF('Pivot table values'!AN46&gt;0,1,0)</f>
        <v>0</v>
      </c>
      <c r="AT43">
        <f>IF('Pivot table values'!AO46&gt;0,1,0)</f>
        <v>0</v>
      </c>
      <c r="AU43">
        <f>IF('Pivot table values'!AP46&gt;0,1,0)</f>
        <v>0</v>
      </c>
      <c r="AV43">
        <f>IF('Pivot table values'!AQ46&gt;0,1,0)</f>
        <v>0</v>
      </c>
      <c r="AW43">
        <f>IF('Pivot table values'!AR46&gt;0,1,0)</f>
        <v>0</v>
      </c>
      <c r="AX43">
        <f>IF('Pivot table values'!AS46&gt;0,1,0)</f>
        <v>0</v>
      </c>
      <c r="AY43">
        <f>IF('Pivot table values'!AT46&gt;0,1,0)</f>
        <v>0</v>
      </c>
      <c r="AZ43">
        <f>IF('Pivot table values'!AU46&gt;0,1,0)</f>
        <v>0</v>
      </c>
      <c r="BA43">
        <f>IF('Pivot table values'!AV46&gt;0,1,0)</f>
        <v>0</v>
      </c>
      <c r="BB43">
        <f>IF('Pivot table values'!AW46&gt;0,1,0)</f>
        <v>0</v>
      </c>
      <c r="BC43">
        <f>IF('Pivot table values'!AX46&gt;0,1,0)</f>
        <v>0</v>
      </c>
      <c r="BD43">
        <f>IF('Pivot table values'!AY46&gt;0,1,0)</f>
        <v>0</v>
      </c>
      <c r="BE43">
        <f>IF('Pivot table values'!AZ46&gt;0,1,0)</f>
        <v>0</v>
      </c>
      <c r="BF43">
        <f>IF('Pivot table values'!BA46&gt;0,1,0)</f>
        <v>0</v>
      </c>
      <c r="BG43">
        <f>IF('Pivot table values'!BB46&gt;0,1,0)</f>
        <v>0</v>
      </c>
      <c r="BH43">
        <f>IF('Pivot table values'!BC46&gt;0,1,0)</f>
        <v>0</v>
      </c>
      <c r="BI43">
        <f>IF('Pivot table values'!BD46&gt;0,1,0)</f>
        <v>0</v>
      </c>
      <c r="BJ43">
        <f>IF('Pivot table values'!BE46&gt;0,1,0)</f>
        <v>0</v>
      </c>
      <c r="BK43">
        <f>IF('Pivot table values'!BF46&gt;0,1,0)</f>
        <v>0</v>
      </c>
      <c r="BL43">
        <f>IF('Pivot table values'!BG46&gt;0,1,0)</f>
        <v>0</v>
      </c>
      <c r="BM43">
        <f>IF('Pivot table values'!BH46&gt;0,1,0)</f>
        <v>1</v>
      </c>
      <c r="BN43">
        <f>IF('Pivot table values'!BI46&gt;0,1,0)</f>
        <v>1</v>
      </c>
      <c r="BO43">
        <f>IF('Pivot table values'!BJ46&gt;0,1,0)</f>
        <v>0</v>
      </c>
      <c r="BP43">
        <f>IF('Pivot table values'!BK46&gt;0,1,0)</f>
        <v>0</v>
      </c>
      <c r="BQ43">
        <f>IF('Pivot table values'!BL46&gt;0,1,0)</f>
        <v>1</v>
      </c>
      <c r="BR43">
        <f>IF('Pivot table values'!BM46&gt;0,1,0)</f>
        <v>0</v>
      </c>
      <c r="BS43">
        <f>IF('Pivot table values'!BN46&gt;0,1,0)</f>
        <v>0</v>
      </c>
      <c r="BT43">
        <f>IF('Pivot table values'!BO46&gt;0,1,0)</f>
        <v>0</v>
      </c>
      <c r="BU43">
        <f>IF('Pivot table values'!BP46&gt;0,1,0)</f>
        <v>0</v>
      </c>
      <c r="BV43">
        <f>IF('Pivot table values'!BQ46&gt;0,1,0)</f>
        <v>0</v>
      </c>
      <c r="BW43">
        <f>IF('Pivot table values'!BR46&gt;0,1,0)</f>
        <v>0</v>
      </c>
      <c r="BX43">
        <f>IF('Pivot table values'!BS46&gt;0,1,0)</f>
        <v>0</v>
      </c>
      <c r="BY43">
        <f>IF('Pivot table values'!BT46&gt;0,1,0)</f>
        <v>0</v>
      </c>
      <c r="BZ43">
        <f>IF('Pivot table values'!BU46&gt;0,1,0)</f>
        <v>0</v>
      </c>
    </row>
    <row r="44" spans="1:78" x14ac:dyDescent="0.3">
      <c r="A44" s="4" t="s">
        <v>174</v>
      </c>
      <c r="B44" s="4" t="str">
        <f>VLOOKUP($A44,Vlookup!$A$2:$E$62,2,FALSE)</f>
        <v>Strawberry Sundae</v>
      </c>
      <c r="C44" s="4" t="str">
        <f>VLOOKUP($A44,Vlookup!$A$2:$E$62,3,FALSE)</f>
        <v>Hydrangea paniculata</v>
      </c>
      <c r="D44" s="4" t="str">
        <f>VLOOKUP($A44,Vlookup!$A$2:$E$62,4,FALSE)</f>
        <v>Mop-like panicle</v>
      </c>
      <c r="E44" s="4" t="str">
        <f>VLOOKUP($A44,Vlookup!$A$2:$E$62,5,FALSE)</f>
        <v>Open</v>
      </c>
      <c r="F44" s="4">
        <f t="shared" si="0"/>
        <v>18</v>
      </c>
      <c r="G44">
        <f>IF('Pivot table values'!B47&gt;0,1,0)</f>
        <v>0</v>
      </c>
      <c r="H44">
        <f>IF('Pivot table values'!C47&gt;0,1,0)</f>
        <v>0</v>
      </c>
      <c r="I44">
        <f>IF('Pivot table values'!D47&gt;0,1,0)</f>
        <v>1</v>
      </c>
      <c r="J44">
        <f>IF('Pivot table values'!E47&gt;0,1,0)</f>
        <v>0</v>
      </c>
      <c r="K44">
        <f>IF('Pivot table values'!F47&gt;0,1,0)</f>
        <v>1</v>
      </c>
      <c r="L44">
        <f>IF('Pivot table values'!G47&gt;0,1,0)</f>
        <v>1</v>
      </c>
      <c r="M44">
        <f>IF('Pivot table values'!H47&gt;0,1,0)</f>
        <v>0</v>
      </c>
      <c r="N44">
        <f>IF('Pivot table values'!I47&gt;0,1,0)</f>
        <v>0</v>
      </c>
      <c r="O44">
        <f>IF('Pivot table values'!J47&gt;0,1,0)</f>
        <v>0</v>
      </c>
      <c r="P44">
        <f>IF('Pivot table values'!K47&gt;0,1,0)</f>
        <v>1</v>
      </c>
      <c r="Q44">
        <f>IF('Pivot table values'!L47&gt;0,1,0)</f>
        <v>0</v>
      </c>
      <c r="R44">
        <f>IF('Pivot table values'!M47&gt;0,1,0)</f>
        <v>0</v>
      </c>
      <c r="S44">
        <f>IF('Pivot table values'!N47&gt;0,1,0)</f>
        <v>0</v>
      </c>
      <c r="T44">
        <f>IF('Pivot table values'!O47&gt;0,1,0)</f>
        <v>0</v>
      </c>
      <c r="U44">
        <f>IF('Pivot table values'!P47&gt;0,1,0)</f>
        <v>0</v>
      </c>
      <c r="V44">
        <f>IF('Pivot table values'!Q47&gt;0,1,0)</f>
        <v>1</v>
      </c>
      <c r="W44">
        <f>IF('Pivot table values'!R47&gt;0,1,0)</f>
        <v>1</v>
      </c>
      <c r="X44">
        <f>IF('Pivot table values'!S47&gt;0,1,0)</f>
        <v>1</v>
      </c>
      <c r="Y44">
        <f>IF('Pivot table values'!T47&gt;0,1,0)</f>
        <v>0</v>
      </c>
      <c r="Z44">
        <f>IF('Pivot table values'!U47&gt;0,1,0)</f>
        <v>0</v>
      </c>
      <c r="AA44">
        <f>IF('Pivot table values'!V47&gt;0,1,0)</f>
        <v>1</v>
      </c>
      <c r="AB44">
        <f>IF('Pivot table values'!W47&gt;0,1,0)</f>
        <v>0</v>
      </c>
      <c r="AC44">
        <f>IF('Pivot table values'!X47&gt;0,1,0)</f>
        <v>1</v>
      </c>
      <c r="AD44">
        <f>IF('Pivot table values'!Y47&gt;0,1,0)</f>
        <v>1</v>
      </c>
      <c r="AE44">
        <f>IF('Pivot table values'!Z47&gt;0,1,0)</f>
        <v>0</v>
      </c>
      <c r="AF44">
        <f>IF('Pivot table values'!AA47&gt;0,1,0)</f>
        <v>0</v>
      </c>
      <c r="AG44">
        <f>IF('Pivot table values'!AB47&gt;0,1,0)</f>
        <v>0</v>
      </c>
      <c r="AH44">
        <f>IF('Pivot table values'!AC47&gt;0,1,0)</f>
        <v>0</v>
      </c>
      <c r="AI44">
        <f>IF('Pivot table values'!AD47&gt;0,1,0)</f>
        <v>0</v>
      </c>
      <c r="AJ44">
        <f>IF('Pivot table values'!AE47&gt;0,1,0)</f>
        <v>1</v>
      </c>
      <c r="AK44">
        <f>IF('Pivot table values'!AF47&gt;0,1,0)</f>
        <v>0</v>
      </c>
      <c r="AL44">
        <f>IF('Pivot table values'!AG47&gt;0,1,0)</f>
        <v>1</v>
      </c>
      <c r="AM44">
        <f>IF('Pivot table values'!AH47&gt;0,1,0)</f>
        <v>1</v>
      </c>
      <c r="AN44">
        <f>IF('Pivot table values'!AI47&gt;0,1,0)</f>
        <v>1</v>
      </c>
      <c r="AO44">
        <f>IF('Pivot table values'!AJ47&gt;0,1,0)</f>
        <v>0</v>
      </c>
      <c r="AP44">
        <f>IF('Pivot table values'!AK47&gt;0,1,0)</f>
        <v>0</v>
      </c>
      <c r="AQ44">
        <f>IF('Pivot table values'!AL47&gt;0,1,0)</f>
        <v>0</v>
      </c>
      <c r="AR44">
        <f>IF('Pivot table values'!AM47&gt;0,1,0)</f>
        <v>0</v>
      </c>
      <c r="AS44">
        <f>IF('Pivot table values'!AN47&gt;0,1,0)</f>
        <v>1</v>
      </c>
      <c r="AT44">
        <f>IF('Pivot table values'!AO47&gt;0,1,0)</f>
        <v>0</v>
      </c>
      <c r="AU44">
        <f>IF('Pivot table values'!AP47&gt;0,1,0)</f>
        <v>0</v>
      </c>
      <c r="AV44">
        <f>IF('Pivot table values'!AQ47&gt;0,1,0)</f>
        <v>0</v>
      </c>
      <c r="AW44">
        <f>IF('Pivot table values'!AR47&gt;0,1,0)</f>
        <v>0</v>
      </c>
      <c r="AX44">
        <f>IF('Pivot table values'!AS47&gt;0,1,0)</f>
        <v>0</v>
      </c>
      <c r="AY44">
        <f>IF('Pivot table values'!AT47&gt;0,1,0)</f>
        <v>0</v>
      </c>
      <c r="AZ44">
        <f>IF('Pivot table values'!AU47&gt;0,1,0)</f>
        <v>0</v>
      </c>
      <c r="BA44">
        <f>IF('Pivot table values'!AV47&gt;0,1,0)</f>
        <v>0</v>
      </c>
      <c r="BB44">
        <f>IF('Pivot table values'!AW47&gt;0,1,0)</f>
        <v>0</v>
      </c>
      <c r="BC44">
        <f>IF('Pivot table values'!AX47&gt;0,1,0)</f>
        <v>0</v>
      </c>
      <c r="BD44">
        <f>IF('Pivot table values'!AY47&gt;0,1,0)</f>
        <v>0</v>
      </c>
      <c r="BE44">
        <f>IF('Pivot table values'!AZ47&gt;0,1,0)</f>
        <v>0</v>
      </c>
      <c r="BF44">
        <f>IF('Pivot table values'!BA47&gt;0,1,0)</f>
        <v>0</v>
      </c>
      <c r="BG44">
        <f>IF('Pivot table values'!BB47&gt;0,1,0)</f>
        <v>0</v>
      </c>
      <c r="BH44">
        <f>IF('Pivot table values'!BC47&gt;0,1,0)</f>
        <v>1</v>
      </c>
      <c r="BI44">
        <f>IF('Pivot table values'!BD47&gt;0,1,0)</f>
        <v>0</v>
      </c>
      <c r="BJ44">
        <f>IF('Pivot table values'!BE47&gt;0,1,0)</f>
        <v>0</v>
      </c>
      <c r="BK44">
        <f>IF('Pivot table values'!BF47&gt;0,1,0)</f>
        <v>1</v>
      </c>
      <c r="BL44">
        <f>IF('Pivot table values'!BG47&gt;0,1,0)</f>
        <v>0</v>
      </c>
      <c r="BM44">
        <f>IF('Pivot table values'!BH47&gt;0,1,0)</f>
        <v>0</v>
      </c>
      <c r="BN44">
        <f>IF('Pivot table values'!BI47&gt;0,1,0)</f>
        <v>1</v>
      </c>
      <c r="BO44">
        <f>IF('Pivot table values'!BJ47&gt;0,1,0)</f>
        <v>0</v>
      </c>
      <c r="BP44">
        <f>IF('Pivot table values'!BK47&gt;0,1,0)</f>
        <v>0</v>
      </c>
      <c r="BQ44">
        <f>IF('Pivot table values'!BL47&gt;0,1,0)</f>
        <v>0</v>
      </c>
      <c r="BR44">
        <f>IF('Pivot table values'!BM47&gt;0,1,0)</f>
        <v>0</v>
      </c>
      <c r="BS44">
        <f>IF('Pivot table values'!BN47&gt;0,1,0)</f>
        <v>0</v>
      </c>
      <c r="BT44">
        <f>IF('Pivot table values'!BO47&gt;0,1,0)</f>
        <v>0</v>
      </c>
      <c r="BU44">
        <f>IF('Pivot table values'!BP47&gt;0,1,0)</f>
        <v>0</v>
      </c>
      <c r="BV44">
        <f>IF('Pivot table values'!BQ47&gt;0,1,0)</f>
        <v>0</v>
      </c>
      <c r="BW44">
        <f>IF('Pivot table values'!BR47&gt;0,1,0)</f>
        <v>0</v>
      </c>
      <c r="BX44">
        <f>IF('Pivot table values'!BS47&gt;0,1,0)</f>
        <v>0</v>
      </c>
      <c r="BY44">
        <f>IF('Pivot table values'!BT47&gt;0,1,0)</f>
        <v>0</v>
      </c>
      <c r="BZ44">
        <f>IF('Pivot table values'!BU47&gt;0,1,0)</f>
        <v>0</v>
      </c>
    </row>
    <row r="45" spans="1:78" x14ac:dyDescent="0.3">
      <c r="A45" s="4" t="s">
        <v>176</v>
      </c>
      <c r="B45" s="4" t="str">
        <f>VLOOKUP($A45,Vlookup!$A$2:$E$62,2,FALSE)</f>
        <v>Riven Lace</v>
      </c>
      <c r="C45" s="4" t="str">
        <f>VLOOKUP($A45,Vlookup!$A$2:$E$62,3,FALSE)</f>
        <v>Hydrangea arborescens</v>
      </c>
      <c r="D45" s="4" t="str">
        <f>VLOOKUP($A45,Vlookup!$A$2:$E$62,4,FALSE)</f>
        <v>Lacy</v>
      </c>
      <c r="E45" s="4" t="str">
        <f>VLOOKUP($A45,Vlookup!$A$2:$E$62,5,FALSE)</f>
        <v>Half-open</v>
      </c>
      <c r="F45" s="4">
        <f t="shared" si="0"/>
        <v>4</v>
      </c>
      <c r="G45">
        <f>IF('Pivot table values'!B48&gt;0,1,0)</f>
        <v>0</v>
      </c>
      <c r="H45">
        <f>IF('Pivot table values'!C48&gt;0,1,0)</f>
        <v>0</v>
      </c>
      <c r="I45">
        <f>IF('Pivot table values'!D48&gt;0,1,0)</f>
        <v>0</v>
      </c>
      <c r="J45">
        <f>IF('Pivot table values'!E48&gt;0,1,0)</f>
        <v>0</v>
      </c>
      <c r="K45">
        <f>IF('Pivot table values'!F48&gt;0,1,0)</f>
        <v>0</v>
      </c>
      <c r="L45">
        <f>IF('Pivot table values'!G48&gt;0,1,0)</f>
        <v>0</v>
      </c>
      <c r="M45">
        <f>IF('Pivot table values'!H48&gt;0,1,0)</f>
        <v>0</v>
      </c>
      <c r="N45">
        <f>IF('Pivot table values'!I48&gt;0,1,0)</f>
        <v>0</v>
      </c>
      <c r="O45">
        <f>IF('Pivot table values'!J48&gt;0,1,0)</f>
        <v>0</v>
      </c>
      <c r="P45">
        <f>IF('Pivot table values'!K48&gt;0,1,0)</f>
        <v>0</v>
      </c>
      <c r="Q45">
        <f>IF('Pivot table values'!L48&gt;0,1,0)</f>
        <v>0</v>
      </c>
      <c r="R45">
        <f>IF('Pivot table values'!M48&gt;0,1,0)</f>
        <v>0</v>
      </c>
      <c r="S45">
        <f>IF('Pivot table values'!N48&gt;0,1,0)</f>
        <v>0</v>
      </c>
      <c r="T45">
        <f>IF('Pivot table values'!O48&gt;0,1,0)</f>
        <v>0</v>
      </c>
      <c r="U45">
        <f>IF('Pivot table values'!P48&gt;0,1,0)</f>
        <v>0</v>
      </c>
      <c r="V45">
        <f>IF('Pivot table values'!Q48&gt;0,1,0)</f>
        <v>0</v>
      </c>
      <c r="W45">
        <f>IF('Pivot table values'!R48&gt;0,1,0)</f>
        <v>1</v>
      </c>
      <c r="X45">
        <f>IF('Pivot table values'!S48&gt;0,1,0)</f>
        <v>1</v>
      </c>
      <c r="Y45">
        <f>IF('Pivot table values'!T48&gt;0,1,0)</f>
        <v>0</v>
      </c>
      <c r="Z45">
        <f>IF('Pivot table values'!U48&gt;0,1,0)</f>
        <v>0</v>
      </c>
      <c r="AA45">
        <f>IF('Pivot table values'!V48&gt;0,1,0)</f>
        <v>1</v>
      </c>
      <c r="AB45">
        <f>IF('Pivot table values'!W48&gt;0,1,0)</f>
        <v>0</v>
      </c>
      <c r="AC45">
        <f>IF('Pivot table values'!X48&gt;0,1,0)</f>
        <v>0</v>
      </c>
      <c r="AD45">
        <f>IF('Pivot table values'!Y48&gt;0,1,0)</f>
        <v>0</v>
      </c>
      <c r="AE45">
        <f>IF('Pivot table values'!Z48&gt;0,1,0)</f>
        <v>0</v>
      </c>
      <c r="AF45">
        <f>IF('Pivot table values'!AA48&gt;0,1,0)</f>
        <v>0</v>
      </c>
      <c r="AG45">
        <f>IF('Pivot table values'!AB48&gt;0,1,0)</f>
        <v>0</v>
      </c>
      <c r="AH45">
        <f>IF('Pivot table values'!AC48&gt;0,1,0)</f>
        <v>0</v>
      </c>
      <c r="AI45">
        <f>IF('Pivot table values'!AD48&gt;0,1,0)</f>
        <v>0</v>
      </c>
      <c r="AJ45">
        <f>IF('Pivot table values'!AE48&gt;0,1,0)</f>
        <v>0</v>
      </c>
      <c r="AK45">
        <f>IF('Pivot table values'!AF48&gt;0,1,0)</f>
        <v>0</v>
      </c>
      <c r="AL45">
        <f>IF('Pivot table values'!AG48&gt;0,1,0)</f>
        <v>0</v>
      </c>
      <c r="AM45">
        <f>IF('Pivot table values'!AH48&gt;0,1,0)</f>
        <v>0</v>
      </c>
      <c r="AN45">
        <f>IF('Pivot table values'!AI48&gt;0,1,0)</f>
        <v>0</v>
      </c>
      <c r="AO45">
        <f>IF('Pivot table values'!AJ48&gt;0,1,0)</f>
        <v>0</v>
      </c>
      <c r="AP45">
        <f>IF('Pivot table values'!AK48&gt;0,1,0)</f>
        <v>0</v>
      </c>
      <c r="AQ45">
        <f>IF('Pivot table values'!AL48&gt;0,1,0)</f>
        <v>0</v>
      </c>
      <c r="AR45">
        <f>IF('Pivot table values'!AM48&gt;0,1,0)</f>
        <v>0</v>
      </c>
      <c r="AS45">
        <f>IF('Pivot table values'!AN48&gt;0,1,0)</f>
        <v>0</v>
      </c>
      <c r="AT45">
        <f>IF('Pivot table values'!AO48&gt;0,1,0)</f>
        <v>1</v>
      </c>
      <c r="AU45">
        <f>IF('Pivot table values'!AP48&gt;0,1,0)</f>
        <v>0</v>
      </c>
      <c r="AV45">
        <f>IF('Pivot table values'!AQ48&gt;0,1,0)</f>
        <v>0</v>
      </c>
      <c r="AW45">
        <f>IF('Pivot table values'!AR48&gt;0,1,0)</f>
        <v>0</v>
      </c>
      <c r="AX45">
        <f>IF('Pivot table values'!AS48&gt;0,1,0)</f>
        <v>0</v>
      </c>
      <c r="AY45">
        <f>IF('Pivot table values'!AT48&gt;0,1,0)</f>
        <v>0</v>
      </c>
      <c r="AZ45">
        <f>IF('Pivot table values'!AU48&gt;0,1,0)</f>
        <v>0</v>
      </c>
      <c r="BA45">
        <f>IF('Pivot table values'!AV48&gt;0,1,0)</f>
        <v>0</v>
      </c>
      <c r="BB45">
        <f>IF('Pivot table values'!AW48&gt;0,1,0)</f>
        <v>0</v>
      </c>
      <c r="BC45">
        <f>IF('Pivot table values'!AX48&gt;0,1,0)</f>
        <v>0</v>
      </c>
      <c r="BD45">
        <f>IF('Pivot table values'!AY48&gt;0,1,0)</f>
        <v>0</v>
      </c>
      <c r="BE45">
        <f>IF('Pivot table values'!AZ48&gt;0,1,0)</f>
        <v>0</v>
      </c>
      <c r="BF45">
        <f>IF('Pivot table values'!BA48&gt;0,1,0)</f>
        <v>0</v>
      </c>
      <c r="BG45">
        <f>IF('Pivot table values'!BB48&gt;0,1,0)</f>
        <v>0</v>
      </c>
      <c r="BH45">
        <f>IF('Pivot table values'!BC48&gt;0,1,0)</f>
        <v>0</v>
      </c>
      <c r="BI45">
        <f>IF('Pivot table values'!BD48&gt;0,1,0)</f>
        <v>0</v>
      </c>
      <c r="BJ45">
        <f>IF('Pivot table values'!BE48&gt;0,1,0)</f>
        <v>0</v>
      </c>
      <c r="BK45">
        <f>IF('Pivot table values'!BF48&gt;0,1,0)</f>
        <v>0</v>
      </c>
      <c r="BL45">
        <f>IF('Pivot table values'!BG48&gt;0,1,0)</f>
        <v>0</v>
      </c>
      <c r="BM45">
        <f>IF('Pivot table values'!BH48&gt;0,1,0)</f>
        <v>0</v>
      </c>
      <c r="BN45">
        <f>IF('Pivot table values'!BI48&gt;0,1,0)</f>
        <v>0</v>
      </c>
      <c r="BO45">
        <f>IF('Pivot table values'!BJ48&gt;0,1,0)</f>
        <v>0</v>
      </c>
      <c r="BP45">
        <f>IF('Pivot table values'!BK48&gt;0,1,0)</f>
        <v>0</v>
      </c>
      <c r="BQ45">
        <f>IF('Pivot table values'!BL48&gt;0,1,0)</f>
        <v>0</v>
      </c>
      <c r="BR45">
        <f>IF('Pivot table values'!BM48&gt;0,1,0)</f>
        <v>0</v>
      </c>
      <c r="BS45">
        <f>IF('Pivot table values'!BN48&gt;0,1,0)</f>
        <v>0</v>
      </c>
      <c r="BT45">
        <f>IF('Pivot table values'!BO48&gt;0,1,0)</f>
        <v>0</v>
      </c>
      <c r="BU45">
        <f>IF('Pivot table values'!BP48&gt;0,1,0)</f>
        <v>0</v>
      </c>
      <c r="BV45">
        <f>IF('Pivot table values'!BQ48&gt;0,1,0)</f>
        <v>0</v>
      </c>
      <c r="BW45">
        <f>IF('Pivot table values'!BR48&gt;0,1,0)</f>
        <v>0</v>
      </c>
      <c r="BX45">
        <f>IF('Pivot table values'!BS48&gt;0,1,0)</f>
        <v>0</v>
      </c>
      <c r="BY45">
        <f>IF('Pivot table values'!BT48&gt;0,1,0)</f>
        <v>0</v>
      </c>
      <c r="BZ45">
        <f>IF('Pivot table values'!BU48&gt;0,1,0)</f>
        <v>0</v>
      </c>
    </row>
    <row r="46" spans="1:78" x14ac:dyDescent="0.3">
      <c r="A46" s="4" t="s">
        <v>200</v>
      </c>
      <c r="B46" s="4" t="str">
        <f>VLOOKUP($A46,Vlookup!$A$2:$E$62,2,FALSE)</f>
        <v>Invincibelle Spirit II</v>
      </c>
      <c r="C46" s="4" t="str">
        <f>VLOOKUP($A46,Vlookup!$A$2:$E$62,3,FALSE)</f>
        <v>Hydrangea arborescens</v>
      </c>
      <c r="D46" s="4" t="str">
        <f>VLOOKUP($A46,Vlookup!$A$2:$E$62,4,FALSE)</f>
        <v>Mop</v>
      </c>
      <c r="E46" s="4" t="str">
        <f>VLOOKUP($A46,Vlookup!$A$2:$E$62,5,FALSE)</f>
        <v>Dense</v>
      </c>
      <c r="F46" s="4">
        <f t="shared" si="0"/>
        <v>3</v>
      </c>
      <c r="G46">
        <f>IF('Pivot table values'!B49&gt;0,1,0)</f>
        <v>0</v>
      </c>
      <c r="H46">
        <f>IF('Pivot table values'!C49&gt;0,1,0)</f>
        <v>0</v>
      </c>
      <c r="I46">
        <f>IF('Pivot table values'!D49&gt;0,1,0)</f>
        <v>0</v>
      </c>
      <c r="J46">
        <f>IF('Pivot table values'!E49&gt;0,1,0)</f>
        <v>0</v>
      </c>
      <c r="K46">
        <f>IF('Pivot table values'!F49&gt;0,1,0)</f>
        <v>0</v>
      </c>
      <c r="L46">
        <f>IF('Pivot table values'!G49&gt;0,1,0)</f>
        <v>0</v>
      </c>
      <c r="M46">
        <f>IF('Pivot table values'!H49&gt;0,1,0)</f>
        <v>0</v>
      </c>
      <c r="N46">
        <f>IF('Pivot table values'!I49&gt;0,1,0)</f>
        <v>0</v>
      </c>
      <c r="O46">
        <f>IF('Pivot table values'!J49&gt;0,1,0)</f>
        <v>0</v>
      </c>
      <c r="P46">
        <f>IF('Pivot table values'!K49&gt;0,1,0)</f>
        <v>0</v>
      </c>
      <c r="Q46">
        <f>IF('Pivot table values'!L49&gt;0,1,0)</f>
        <v>0</v>
      </c>
      <c r="R46">
        <f>IF('Pivot table values'!M49&gt;0,1,0)</f>
        <v>0</v>
      </c>
      <c r="S46">
        <f>IF('Pivot table values'!N49&gt;0,1,0)</f>
        <v>0</v>
      </c>
      <c r="T46">
        <f>IF('Pivot table values'!O49&gt;0,1,0)</f>
        <v>0</v>
      </c>
      <c r="U46">
        <f>IF('Pivot table values'!P49&gt;0,1,0)</f>
        <v>0</v>
      </c>
      <c r="V46">
        <f>IF('Pivot table values'!Q49&gt;0,1,0)</f>
        <v>0</v>
      </c>
      <c r="W46">
        <f>IF('Pivot table values'!R49&gt;0,1,0)</f>
        <v>0</v>
      </c>
      <c r="X46">
        <f>IF('Pivot table values'!S49&gt;0,1,0)</f>
        <v>0</v>
      </c>
      <c r="Y46">
        <f>IF('Pivot table values'!T49&gt;0,1,0)</f>
        <v>0</v>
      </c>
      <c r="Z46">
        <f>IF('Pivot table values'!U49&gt;0,1,0)</f>
        <v>0</v>
      </c>
      <c r="AA46">
        <f>IF('Pivot table values'!V49&gt;0,1,0)</f>
        <v>0</v>
      </c>
      <c r="AB46">
        <f>IF('Pivot table values'!W49&gt;0,1,0)</f>
        <v>0</v>
      </c>
      <c r="AC46">
        <f>IF('Pivot table values'!X49&gt;0,1,0)</f>
        <v>1</v>
      </c>
      <c r="AD46">
        <f>IF('Pivot table values'!Y49&gt;0,1,0)</f>
        <v>0</v>
      </c>
      <c r="AE46">
        <f>IF('Pivot table values'!Z49&gt;0,1,0)</f>
        <v>0</v>
      </c>
      <c r="AF46">
        <f>IF('Pivot table values'!AA49&gt;0,1,0)</f>
        <v>0</v>
      </c>
      <c r="AG46">
        <f>IF('Pivot table values'!AB49&gt;0,1,0)</f>
        <v>1</v>
      </c>
      <c r="AH46">
        <f>IF('Pivot table values'!AC49&gt;0,1,0)</f>
        <v>0</v>
      </c>
      <c r="AI46">
        <f>IF('Pivot table values'!AD49&gt;0,1,0)</f>
        <v>0</v>
      </c>
      <c r="AJ46">
        <f>IF('Pivot table values'!AE49&gt;0,1,0)</f>
        <v>0</v>
      </c>
      <c r="AK46">
        <f>IF('Pivot table values'!AF49&gt;0,1,0)</f>
        <v>0</v>
      </c>
      <c r="AL46">
        <f>IF('Pivot table values'!AG49&gt;0,1,0)</f>
        <v>0</v>
      </c>
      <c r="AM46">
        <f>IF('Pivot table values'!AH49&gt;0,1,0)</f>
        <v>1</v>
      </c>
      <c r="AN46">
        <f>IF('Pivot table values'!AI49&gt;0,1,0)</f>
        <v>0</v>
      </c>
      <c r="AO46">
        <f>IF('Pivot table values'!AJ49&gt;0,1,0)</f>
        <v>0</v>
      </c>
      <c r="AP46">
        <f>IF('Pivot table values'!AK49&gt;0,1,0)</f>
        <v>0</v>
      </c>
      <c r="AQ46">
        <f>IF('Pivot table values'!AL49&gt;0,1,0)</f>
        <v>0</v>
      </c>
      <c r="AR46">
        <f>IF('Pivot table values'!AM49&gt;0,1,0)</f>
        <v>0</v>
      </c>
      <c r="AS46">
        <f>IF('Pivot table values'!AN49&gt;0,1,0)</f>
        <v>0</v>
      </c>
      <c r="AT46">
        <f>IF('Pivot table values'!AO49&gt;0,1,0)</f>
        <v>0</v>
      </c>
      <c r="AU46">
        <f>IF('Pivot table values'!AP49&gt;0,1,0)</f>
        <v>0</v>
      </c>
      <c r="AV46">
        <f>IF('Pivot table values'!AQ49&gt;0,1,0)</f>
        <v>0</v>
      </c>
      <c r="AW46">
        <f>IF('Pivot table values'!AR49&gt;0,1,0)</f>
        <v>0</v>
      </c>
      <c r="AX46">
        <f>IF('Pivot table values'!AS49&gt;0,1,0)</f>
        <v>0</v>
      </c>
      <c r="AY46">
        <f>IF('Pivot table values'!AT49&gt;0,1,0)</f>
        <v>0</v>
      </c>
      <c r="AZ46">
        <f>IF('Pivot table values'!AU49&gt;0,1,0)</f>
        <v>0</v>
      </c>
      <c r="BA46">
        <f>IF('Pivot table values'!AV49&gt;0,1,0)</f>
        <v>0</v>
      </c>
      <c r="BB46">
        <f>IF('Pivot table values'!AW49&gt;0,1,0)</f>
        <v>0</v>
      </c>
      <c r="BC46">
        <f>IF('Pivot table values'!AX49&gt;0,1,0)</f>
        <v>0</v>
      </c>
      <c r="BD46">
        <f>IF('Pivot table values'!AY49&gt;0,1,0)</f>
        <v>0</v>
      </c>
      <c r="BE46">
        <f>IF('Pivot table values'!AZ49&gt;0,1,0)</f>
        <v>0</v>
      </c>
      <c r="BF46">
        <f>IF('Pivot table values'!BA49&gt;0,1,0)</f>
        <v>0</v>
      </c>
      <c r="BG46">
        <f>IF('Pivot table values'!BB49&gt;0,1,0)</f>
        <v>0</v>
      </c>
      <c r="BH46">
        <f>IF('Pivot table values'!BC49&gt;0,1,0)</f>
        <v>0</v>
      </c>
      <c r="BI46">
        <f>IF('Pivot table values'!BD49&gt;0,1,0)</f>
        <v>0</v>
      </c>
      <c r="BJ46">
        <f>IF('Pivot table values'!BE49&gt;0,1,0)</f>
        <v>0</v>
      </c>
      <c r="BK46">
        <f>IF('Pivot table values'!BF49&gt;0,1,0)</f>
        <v>0</v>
      </c>
      <c r="BL46">
        <f>IF('Pivot table values'!BG49&gt;0,1,0)</f>
        <v>0</v>
      </c>
      <c r="BM46">
        <f>IF('Pivot table values'!BH49&gt;0,1,0)</f>
        <v>0</v>
      </c>
      <c r="BN46">
        <f>IF('Pivot table values'!BI49&gt;0,1,0)</f>
        <v>0</v>
      </c>
      <c r="BO46">
        <f>IF('Pivot table values'!BJ49&gt;0,1,0)</f>
        <v>0</v>
      </c>
      <c r="BP46">
        <f>IF('Pivot table values'!BK49&gt;0,1,0)</f>
        <v>0</v>
      </c>
      <c r="BQ46">
        <f>IF('Pivot table values'!BL49&gt;0,1,0)</f>
        <v>0</v>
      </c>
      <c r="BR46">
        <f>IF('Pivot table values'!BM49&gt;0,1,0)</f>
        <v>0</v>
      </c>
      <c r="BS46">
        <f>IF('Pivot table values'!BN49&gt;0,1,0)</f>
        <v>0</v>
      </c>
      <c r="BT46">
        <f>IF('Pivot table values'!BO49&gt;0,1,0)</f>
        <v>0</v>
      </c>
      <c r="BU46">
        <f>IF('Pivot table values'!BP49&gt;0,1,0)</f>
        <v>0</v>
      </c>
      <c r="BV46">
        <f>IF('Pivot table values'!BQ49&gt;0,1,0)</f>
        <v>0</v>
      </c>
      <c r="BW46">
        <f>IF('Pivot table values'!BR49&gt;0,1,0)</f>
        <v>0</v>
      </c>
      <c r="BX46">
        <f>IF('Pivot table values'!BS49&gt;0,1,0)</f>
        <v>0</v>
      </c>
      <c r="BY46">
        <f>IF('Pivot table values'!BT49&gt;0,1,0)</f>
        <v>0</v>
      </c>
      <c r="BZ46">
        <f>IF('Pivot table values'!BU49&gt;0,1,0)</f>
        <v>0</v>
      </c>
    </row>
    <row r="47" spans="1:78" x14ac:dyDescent="0.3">
      <c r="A47" s="4" t="s">
        <v>199</v>
      </c>
      <c r="B47" s="4" t="str">
        <f>VLOOKUP($A47,Vlookup!$A$2:$E$62,2,FALSE)</f>
        <v>Tickled Pink</v>
      </c>
      <c r="C47" s="4" t="str">
        <f>VLOOKUP($A47,Vlookup!$A$2:$E$62,3,FALSE)</f>
        <v>Hydrangea paniculata</v>
      </c>
      <c r="D47" s="4" t="str">
        <f>VLOOKUP($A47,Vlookup!$A$2:$E$62,4,FALSE)</f>
        <v>Lacy panicle</v>
      </c>
      <c r="E47" s="4" t="str">
        <f>VLOOKUP($A47,Vlookup!$A$2:$E$62,5,FALSE)</f>
        <v>Half-open</v>
      </c>
      <c r="F47" s="4">
        <f t="shared" si="0"/>
        <v>6</v>
      </c>
      <c r="G47">
        <f>IF('Pivot table values'!B50&gt;0,1,0)</f>
        <v>0</v>
      </c>
      <c r="H47">
        <f>IF('Pivot table values'!C50&gt;0,1,0)</f>
        <v>0</v>
      </c>
      <c r="I47">
        <f>IF('Pivot table values'!D50&gt;0,1,0)</f>
        <v>0</v>
      </c>
      <c r="J47">
        <f>IF('Pivot table values'!E50&gt;0,1,0)</f>
        <v>0</v>
      </c>
      <c r="K47">
        <f>IF('Pivot table values'!F50&gt;0,1,0)</f>
        <v>0</v>
      </c>
      <c r="L47">
        <f>IF('Pivot table values'!G50&gt;0,1,0)</f>
        <v>0</v>
      </c>
      <c r="M47">
        <f>IF('Pivot table values'!H50&gt;0,1,0)</f>
        <v>0</v>
      </c>
      <c r="N47">
        <f>IF('Pivot table values'!I50&gt;0,1,0)</f>
        <v>1</v>
      </c>
      <c r="O47">
        <f>IF('Pivot table values'!J50&gt;0,1,0)</f>
        <v>0</v>
      </c>
      <c r="P47">
        <f>IF('Pivot table values'!K50&gt;0,1,0)</f>
        <v>0</v>
      </c>
      <c r="Q47">
        <f>IF('Pivot table values'!L50&gt;0,1,0)</f>
        <v>0</v>
      </c>
      <c r="R47">
        <f>IF('Pivot table values'!M50&gt;0,1,0)</f>
        <v>0</v>
      </c>
      <c r="S47">
        <f>IF('Pivot table values'!N50&gt;0,1,0)</f>
        <v>1</v>
      </c>
      <c r="T47">
        <f>IF('Pivot table values'!O50&gt;0,1,0)</f>
        <v>0</v>
      </c>
      <c r="U47">
        <f>IF('Pivot table values'!P50&gt;0,1,0)</f>
        <v>0</v>
      </c>
      <c r="V47">
        <f>IF('Pivot table values'!Q50&gt;0,1,0)</f>
        <v>0</v>
      </c>
      <c r="W47">
        <f>IF('Pivot table values'!R50&gt;0,1,0)</f>
        <v>0</v>
      </c>
      <c r="X47">
        <f>IF('Pivot table values'!S50&gt;0,1,0)</f>
        <v>0</v>
      </c>
      <c r="Y47">
        <f>IF('Pivot table values'!T50&gt;0,1,0)</f>
        <v>0</v>
      </c>
      <c r="Z47">
        <f>IF('Pivot table values'!U50&gt;0,1,0)</f>
        <v>0</v>
      </c>
      <c r="AA47">
        <f>IF('Pivot table values'!V50&gt;0,1,0)</f>
        <v>0</v>
      </c>
      <c r="AB47">
        <f>IF('Pivot table values'!W50&gt;0,1,0)</f>
        <v>0</v>
      </c>
      <c r="AC47">
        <f>IF('Pivot table values'!X50&gt;0,1,0)</f>
        <v>0</v>
      </c>
      <c r="AD47">
        <f>IF('Pivot table values'!Y50&gt;0,1,0)</f>
        <v>0</v>
      </c>
      <c r="AE47">
        <f>IF('Pivot table values'!Z50&gt;0,1,0)</f>
        <v>0</v>
      </c>
      <c r="AF47">
        <f>IF('Pivot table values'!AA50&gt;0,1,0)</f>
        <v>0</v>
      </c>
      <c r="AG47">
        <f>IF('Pivot table values'!AB50&gt;0,1,0)</f>
        <v>0</v>
      </c>
      <c r="AH47">
        <f>IF('Pivot table values'!AC50&gt;0,1,0)</f>
        <v>0</v>
      </c>
      <c r="AI47">
        <f>IF('Pivot table values'!AD50&gt;0,1,0)</f>
        <v>0</v>
      </c>
      <c r="AJ47">
        <f>IF('Pivot table values'!AE50&gt;0,1,0)</f>
        <v>0</v>
      </c>
      <c r="AK47">
        <f>IF('Pivot table values'!AF50&gt;0,1,0)</f>
        <v>0</v>
      </c>
      <c r="AL47">
        <f>IF('Pivot table values'!AG50&gt;0,1,0)</f>
        <v>0</v>
      </c>
      <c r="AM47">
        <f>IF('Pivot table values'!AH50&gt;0,1,0)</f>
        <v>0</v>
      </c>
      <c r="AN47">
        <f>IF('Pivot table values'!AI50&gt;0,1,0)</f>
        <v>0</v>
      </c>
      <c r="AO47">
        <f>IF('Pivot table values'!AJ50&gt;0,1,0)</f>
        <v>0</v>
      </c>
      <c r="AP47">
        <f>IF('Pivot table values'!AK50&gt;0,1,0)</f>
        <v>0</v>
      </c>
      <c r="AQ47">
        <f>IF('Pivot table values'!AL50&gt;0,1,0)</f>
        <v>0</v>
      </c>
      <c r="AR47">
        <f>IF('Pivot table values'!AM50&gt;0,1,0)</f>
        <v>0</v>
      </c>
      <c r="AS47">
        <f>IF('Pivot table values'!AN50&gt;0,1,0)</f>
        <v>0</v>
      </c>
      <c r="AT47">
        <f>IF('Pivot table values'!AO50&gt;0,1,0)</f>
        <v>0</v>
      </c>
      <c r="AU47">
        <f>IF('Pivot table values'!AP50&gt;0,1,0)</f>
        <v>0</v>
      </c>
      <c r="AV47">
        <f>IF('Pivot table values'!AQ50&gt;0,1,0)</f>
        <v>0</v>
      </c>
      <c r="AW47">
        <f>IF('Pivot table values'!AR50&gt;0,1,0)</f>
        <v>0</v>
      </c>
      <c r="AX47">
        <f>IF('Pivot table values'!AS50&gt;0,1,0)</f>
        <v>0</v>
      </c>
      <c r="AY47">
        <f>IF('Pivot table values'!AT50&gt;0,1,0)</f>
        <v>0</v>
      </c>
      <c r="AZ47">
        <f>IF('Pivot table values'!AU50&gt;0,1,0)</f>
        <v>0</v>
      </c>
      <c r="BA47">
        <f>IF('Pivot table values'!AV50&gt;0,1,0)</f>
        <v>0</v>
      </c>
      <c r="BB47">
        <f>IF('Pivot table values'!AW50&gt;0,1,0)</f>
        <v>0</v>
      </c>
      <c r="BC47">
        <f>IF('Pivot table values'!AX50&gt;0,1,0)</f>
        <v>0</v>
      </c>
      <c r="BD47">
        <f>IF('Pivot table values'!AY50&gt;0,1,0)</f>
        <v>0</v>
      </c>
      <c r="BE47">
        <f>IF('Pivot table values'!AZ50&gt;0,1,0)</f>
        <v>0</v>
      </c>
      <c r="BF47">
        <f>IF('Pivot table values'!BA50&gt;0,1,0)</f>
        <v>0</v>
      </c>
      <c r="BG47">
        <f>IF('Pivot table values'!BB50&gt;0,1,0)</f>
        <v>0</v>
      </c>
      <c r="BH47">
        <f>IF('Pivot table values'!BC50&gt;0,1,0)</f>
        <v>0</v>
      </c>
      <c r="BI47">
        <f>IF('Pivot table values'!BD50&gt;0,1,0)</f>
        <v>1</v>
      </c>
      <c r="BJ47">
        <f>IF('Pivot table values'!BE50&gt;0,1,0)</f>
        <v>0</v>
      </c>
      <c r="BK47">
        <f>IF('Pivot table values'!BF50&gt;0,1,0)</f>
        <v>1</v>
      </c>
      <c r="BL47">
        <f>IF('Pivot table values'!BG50&gt;0,1,0)</f>
        <v>0</v>
      </c>
      <c r="BM47">
        <f>IF('Pivot table values'!BH50&gt;0,1,0)</f>
        <v>1</v>
      </c>
      <c r="BN47">
        <f>IF('Pivot table values'!BI50&gt;0,1,0)</f>
        <v>1</v>
      </c>
      <c r="BO47">
        <f>IF('Pivot table values'!BJ50&gt;0,1,0)</f>
        <v>0</v>
      </c>
      <c r="BP47">
        <f>IF('Pivot table values'!BK50&gt;0,1,0)</f>
        <v>0</v>
      </c>
      <c r="BQ47">
        <f>IF('Pivot table values'!BL50&gt;0,1,0)</f>
        <v>0</v>
      </c>
      <c r="BR47">
        <f>IF('Pivot table values'!BM50&gt;0,1,0)</f>
        <v>0</v>
      </c>
      <c r="BS47">
        <f>IF('Pivot table values'!BN50&gt;0,1,0)</f>
        <v>0</v>
      </c>
      <c r="BT47">
        <f>IF('Pivot table values'!BO50&gt;0,1,0)</f>
        <v>0</v>
      </c>
      <c r="BU47">
        <f>IF('Pivot table values'!BP50&gt;0,1,0)</f>
        <v>0</v>
      </c>
      <c r="BV47">
        <f>IF('Pivot table values'!BQ50&gt;0,1,0)</f>
        <v>0</v>
      </c>
      <c r="BW47">
        <f>IF('Pivot table values'!BR50&gt;0,1,0)</f>
        <v>0</v>
      </c>
      <c r="BX47">
        <f>IF('Pivot table values'!BS50&gt;0,1,0)</f>
        <v>0</v>
      </c>
      <c r="BY47">
        <f>IF('Pivot table values'!BT50&gt;0,1,0)</f>
        <v>0</v>
      </c>
      <c r="BZ47">
        <f>IF('Pivot table values'!BU50&gt;0,1,0)</f>
        <v>0</v>
      </c>
    </row>
    <row r="48" spans="1:78" x14ac:dyDescent="0.3">
      <c r="A48" s="4" t="s">
        <v>206</v>
      </c>
      <c r="B48" s="4" t="str">
        <f>VLOOKUP($A48,Vlookup!$A$2:$E$62,2,FALSE)</f>
        <v>Pink Diamond</v>
      </c>
      <c r="C48" s="4" t="str">
        <f>VLOOKUP($A48,Vlookup!$A$2:$E$62,3,FALSE)</f>
        <v>Hydrangea paniculata</v>
      </c>
      <c r="D48" s="4" t="str">
        <f>VLOOKUP($A48,Vlookup!$A$2:$E$62,4,FALSE)</f>
        <v>Lacy panicle</v>
      </c>
      <c r="E48" s="4" t="str">
        <f>VLOOKUP($A48,Vlookup!$A$2:$E$62,5,FALSE)</f>
        <v>Half-open</v>
      </c>
      <c r="F48" s="4">
        <f t="shared" si="0"/>
        <v>11</v>
      </c>
      <c r="G48">
        <f>IF('Pivot table values'!B51&gt;0,1,0)</f>
        <v>0</v>
      </c>
      <c r="H48">
        <f>IF('Pivot table values'!C51&gt;0,1,0)</f>
        <v>1</v>
      </c>
      <c r="I48">
        <f>IF('Pivot table values'!D51&gt;0,1,0)</f>
        <v>1</v>
      </c>
      <c r="J48">
        <f>IF('Pivot table values'!E51&gt;0,1,0)</f>
        <v>0</v>
      </c>
      <c r="K48">
        <f>IF('Pivot table values'!F51&gt;0,1,0)</f>
        <v>0</v>
      </c>
      <c r="L48">
        <f>IF('Pivot table values'!G51&gt;0,1,0)</f>
        <v>1</v>
      </c>
      <c r="M48">
        <f>IF('Pivot table values'!H51&gt;0,1,0)</f>
        <v>0</v>
      </c>
      <c r="N48">
        <f>IF('Pivot table values'!I51&gt;0,1,0)</f>
        <v>0</v>
      </c>
      <c r="O48">
        <f>IF('Pivot table values'!J51&gt;0,1,0)</f>
        <v>0</v>
      </c>
      <c r="P48">
        <f>IF('Pivot table values'!K51&gt;0,1,0)</f>
        <v>0</v>
      </c>
      <c r="Q48">
        <f>IF('Pivot table values'!L51&gt;0,1,0)</f>
        <v>0</v>
      </c>
      <c r="R48">
        <f>IF('Pivot table values'!M51&gt;0,1,0)</f>
        <v>0</v>
      </c>
      <c r="S48">
        <f>IF('Pivot table values'!N51&gt;0,1,0)</f>
        <v>0</v>
      </c>
      <c r="T48">
        <f>IF('Pivot table values'!O51&gt;0,1,0)</f>
        <v>1</v>
      </c>
      <c r="U48">
        <f>IF('Pivot table values'!P51&gt;0,1,0)</f>
        <v>0</v>
      </c>
      <c r="V48">
        <f>IF('Pivot table values'!Q51&gt;0,1,0)</f>
        <v>0</v>
      </c>
      <c r="W48">
        <f>IF('Pivot table values'!R51&gt;0,1,0)</f>
        <v>0</v>
      </c>
      <c r="X48">
        <f>IF('Pivot table values'!S51&gt;0,1,0)</f>
        <v>1</v>
      </c>
      <c r="Y48">
        <f>IF('Pivot table values'!T51&gt;0,1,0)</f>
        <v>0</v>
      </c>
      <c r="Z48">
        <f>IF('Pivot table values'!U51&gt;0,1,0)</f>
        <v>0</v>
      </c>
      <c r="AA48">
        <f>IF('Pivot table values'!V51&gt;0,1,0)</f>
        <v>1</v>
      </c>
      <c r="AB48">
        <f>IF('Pivot table values'!W51&gt;0,1,0)</f>
        <v>0</v>
      </c>
      <c r="AC48">
        <f>IF('Pivot table values'!X51&gt;0,1,0)</f>
        <v>0</v>
      </c>
      <c r="AD48">
        <f>IF('Pivot table values'!Y51&gt;0,1,0)</f>
        <v>0</v>
      </c>
      <c r="AE48">
        <f>IF('Pivot table values'!Z51&gt;0,1,0)</f>
        <v>0</v>
      </c>
      <c r="AF48">
        <f>IF('Pivot table values'!AA51&gt;0,1,0)</f>
        <v>0</v>
      </c>
      <c r="AG48">
        <f>IF('Pivot table values'!AB51&gt;0,1,0)</f>
        <v>0</v>
      </c>
      <c r="AH48">
        <f>IF('Pivot table values'!AC51&gt;0,1,0)</f>
        <v>0</v>
      </c>
      <c r="AI48">
        <f>IF('Pivot table values'!AD51&gt;0,1,0)</f>
        <v>0</v>
      </c>
      <c r="AJ48">
        <f>IF('Pivot table values'!AE51&gt;0,1,0)</f>
        <v>0</v>
      </c>
      <c r="AK48">
        <f>IF('Pivot table values'!AF51&gt;0,1,0)</f>
        <v>0</v>
      </c>
      <c r="AL48">
        <f>IF('Pivot table values'!AG51&gt;0,1,0)</f>
        <v>0</v>
      </c>
      <c r="AM48">
        <f>IF('Pivot table values'!AH51&gt;0,1,0)</f>
        <v>0</v>
      </c>
      <c r="AN48">
        <f>IF('Pivot table values'!AI51&gt;0,1,0)</f>
        <v>0</v>
      </c>
      <c r="AO48">
        <f>IF('Pivot table values'!AJ51&gt;0,1,0)</f>
        <v>0</v>
      </c>
      <c r="AP48">
        <f>IF('Pivot table values'!AK51&gt;0,1,0)</f>
        <v>0</v>
      </c>
      <c r="AQ48">
        <f>IF('Pivot table values'!AL51&gt;0,1,0)</f>
        <v>0</v>
      </c>
      <c r="AR48">
        <f>IF('Pivot table values'!AM51&gt;0,1,0)</f>
        <v>0</v>
      </c>
      <c r="AS48">
        <f>IF('Pivot table values'!AN51&gt;0,1,0)</f>
        <v>0</v>
      </c>
      <c r="AT48">
        <f>IF('Pivot table values'!AO51&gt;0,1,0)</f>
        <v>0</v>
      </c>
      <c r="AU48">
        <f>IF('Pivot table values'!AP51&gt;0,1,0)</f>
        <v>1</v>
      </c>
      <c r="AV48">
        <f>IF('Pivot table values'!AQ51&gt;0,1,0)</f>
        <v>0</v>
      </c>
      <c r="AW48">
        <f>IF('Pivot table values'!AR51&gt;0,1,0)</f>
        <v>0</v>
      </c>
      <c r="AX48">
        <f>IF('Pivot table values'!AS51&gt;0,1,0)</f>
        <v>0</v>
      </c>
      <c r="AY48">
        <f>IF('Pivot table values'!AT51&gt;0,1,0)</f>
        <v>0</v>
      </c>
      <c r="AZ48">
        <f>IF('Pivot table values'!AU51&gt;0,1,0)</f>
        <v>0</v>
      </c>
      <c r="BA48">
        <f>IF('Pivot table values'!AV51&gt;0,1,0)</f>
        <v>0</v>
      </c>
      <c r="BB48">
        <f>IF('Pivot table values'!AW51&gt;0,1,0)</f>
        <v>0</v>
      </c>
      <c r="BC48">
        <f>IF('Pivot table values'!AX51&gt;0,1,0)</f>
        <v>0</v>
      </c>
      <c r="BD48">
        <f>IF('Pivot table values'!AY51&gt;0,1,0)</f>
        <v>0</v>
      </c>
      <c r="BE48">
        <f>IF('Pivot table values'!AZ51&gt;0,1,0)</f>
        <v>0</v>
      </c>
      <c r="BF48">
        <f>IF('Pivot table values'!BA51&gt;0,1,0)</f>
        <v>0</v>
      </c>
      <c r="BG48">
        <f>IF('Pivot table values'!BB51&gt;0,1,0)</f>
        <v>0</v>
      </c>
      <c r="BH48">
        <f>IF('Pivot table values'!BC51&gt;0,1,0)</f>
        <v>1</v>
      </c>
      <c r="BI48">
        <f>IF('Pivot table values'!BD51&gt;0,1,0)</f>
        <v>0</v>
      </c>
      <c r="BJ48">
        <f>IF('Pivot table values'!BE51&gt;0,1,0)</f>
        <v>0</v>
      </c>
      <c r="BK48">
        <f>IF('Pivot table values'!BF51&gt;0,1,0)</f>
        <v>1</v>
      </c>
      <c r="BL48">
        <f>IF('Pivot table values'!BG51&gt;0,1,0)</f>
        <v>0</v>
      </c>
      <c r="BM48">
        <f>IF('Pivot table values'!BH51&gt;0,1,0)</f>
        <v>0</v>
      </c>
      <c r="BN48">
        <f>IF('Pivot table values'!BI51&gt;0,1,0)</f>
        <v>1</v>
      </c>
      <c r="BO48">
        <f>IF('Pivot table values'!BJ51&gt;0,1,0)</f>
        <v>0</v>
      </c>
      <c r="BP48">
        <f>IF('Pivot table values'!BK51&gt;0,1,0)</f>
        <v>0</v>
      </c>
      <c r="BQ48">
        <f>IF('Pivot table values'!BL51&gt;0,1,0)</f>
        <v>0</v>
      </c>
      <c r="BR48">
        <f>IF('Pivot table values'!BM51&gt;0,1,0)</f>
        <v>0</v>
      </c>
      <c r="BS48">
        <f>IF('Pivot table values'!BN51&gt;0,1,0)</f>
        <v>0</v>
      </c>
      <c r="BT48">
        <f>IF('Pivot table values'!BO51&gt;0,1,0)</f>
        <v>1</v>
      </c>
      <c r="BU48">
        <f>IF('Pivot table values'!BP51&gt;0,1,0)</f>
        <v>0</v>
      </c>
      <c r="BV48">
        <f>IF('Pivot table values'!BQ51&gt;0,1,0)</f>
        <v>0</v>
      </c>
      <c r="BW48">
        <f>IF('Pivot table values'!BR51&gt;0,1,0)</f>
        <v>0</v>
      </c>
      <c r="BX48">
        <f>IF('Pivot table values'!BS51&gt;0,1,0)</f>
        <v>0</v>
      </c>
      <c r="BY48">
        <f>IF('Pivot table values'!BT51&gt;0,1,0)</f>
        <v>0</v>
      </c>
      <c r="BZ48">
        <f>IF('Pivot table values'!BU51&gt;0,1,0)</f>
        <v>0</v>
      </c>
    </row>
    <row r="49" spans="1:78" x14ac:dyDescent="0.3">
      <c r="A49" s="4" t="s">
        <v>158</v>
      </c>
      <c r="B49" s="4" t="str">
        <f>VLOOKUP($A49,Vlookup!$A$2:$E$62,2,FALSE)</f>
        <v>Mega Pearl</v>
      </c>
      <c r="C49" s="4" t="str">
        <f>VLOOKUP($A49,Vlookup!$A$2:$E$62,3,FALSE)</f>
        <v>Hydrangea paniculata</v>
      </c>
      <c r="D49" s="4" t="str">
        <f>VLOOKUP($A49,Vlookup!$A$2:$E$62,4,FALSE)</f>
        <v>Mop-like panicle</v>
      </c>
      <c r="E49" s="4" t="str">
        <f>VLOOKUP($A49,Vlookup!$A$2:$E$62,5,FALSE)</f>
        <v>Dense</v>
      </c>
      <c r="F49" s="4">
        <f t="shared" si="0"/>
        <v>9</v>
      </c>
      <c r="G49">
        <f>IF('Pivot table values'!B52&gt;0,1,0)</f>
        <v>0</v>
      </c>
      <c r="H49">
        <f>IF('Pivot table values'!C52&gt;0,1,0)</f>
        <v>1</v>
      </c>
      <c r="I49">
        <f>IF('Pivot table values'!D52&gt;0,1,0)</f>
        <v>0</v>
      </c>
      <c r="J49">
        <f>IF('Pivot table values'!E52&gt;0,1,0)</f>
        <v>0</v>
      </c>
      <c r="K49">
        <f>IF('Pivot table values'!F52&gt;0,1,0)</f>
        <v>0</v>
      </c>
      <c r="L49">
        <f>IF('Pivot table values'!G52&gt;0,1,0)</f>
        <v>0</v>
      </c>
      <c r="M49">
        <f>IF('Pivot table values'!H52&gt;0,1,0)</f>
        <v>0</v>
      </c>
      <c r="N49">
        <f>IF('Pivot table values'!I52&gt;0,1,0)</f>
        <v>0</v>
      </c>
      <c r="O49">
        <f>IF('Pivot table values'!J52&gt;0,1,0)</f>
        <v>0</v>
      </c>
      <c r="P49">
        <f>IF('Pivot table values'!K52&gt;0,1,0)</f>
        <v>0</v>
      </c>
      <c r="Q49">
        <f>IF('Pivot table values'!L52&gt;0,1,0)</f>
        <v>0</v>
      </c>
      <c r="R49">
        <f>IF('Pivot table values'!M52&gt;0,1,0)</f>
        <v>0</v>
      </c>
      <c r="S49">
        <f>IF('Pivot table values'!N52&gt;0,1,0)</f>
        <v>1</v>
      </c>
      <c r="T49">
        <f>IF('Pivot table values'!O52&gt;0,1,0)</f>
        <v>0</v>
      </c>
      <c r="U49">
        <f>IF('Pivot table values'!P52&gt;0,1,0)</f>
        <v>0</v>
      </c>
      <c r="V49">
        <f>IF('Pivot table values'!Q52&gt;0,1,0)</f>
        <v>0</v>
      </c>
      <c r="W49">
        <f>IF('Pivot table values'!R52&gt;0,1,0)</f>
        <v>1</v>
      </c>
      <c r="X49">
        <f>IF('Pivot table values'!S52&gt;0,1,0)</f>
        <v>0</v>
      </c>
      <c r="Y49">
        <f>IF('Pivot table values'!T52&gt;0,1,0)</f>
        <v>0</v>
      </c>
      <c r="Z49">
        <f>IF('Pivot table values'!U52&gt;0,1,0)</f>
        <v>0</v>
      </c>
      <c r="AA49">
        <f>IF('Pivot table values'!V52&gt;0,1,0)</f>
        <v>0</v>
      </c>
      <c r="AB49">
        <f>IF('Pivot table values'!W52&gt;0,1,0)</f>
        <v>0</v>
      </c>
      <c r="AC49">
        <f>IF('Pivot table values'!X52&gt;0,1,0)</f>
        <v>1</v>
      </c>
      <c r="AD49">
        <f>IF('Pivot table values'!Y52&gt;0,1,0)</f>
        <v>0</v>
      </c>
      <c r="AE49">
        <f>IF('Pivot table values'!Z52&gt;0,1,0)</f>
        <v>0</v>
      </c>
      <c r="AF49">
        <f>IF('Pivot table values'!AA52&gt;0,1,0)</f>
        <v>0</v>
      </c>
      <c r="AG49">
        <f>IF('Pivot table values'!AB52&gt;0,1,0)</f>
        <v>0</v>
      </c>
      <c r="AH49">
        <f>IF('Pivot table values'!AC52&gt;0,1,0)</f>
        <v>0</v>
      </c>
      <c r="AI49">
        <f>IF('Pivot table values'!AD52&gt;0,1,0)</f>
        <v>0</v>
      </c>
      <c r="AJ49">
        <f>IF('Pivot table values'!AE52&gt;0,1,0)</f>
        <v>1</v>
      </c>
      <c r="AK49">
        <f>IF('Pivot table values'!AF52&gt;0,1,0)</f>
        <v>0</v>
      </c>
      <c r="AL49">
        <f>IF('Pivot table values'!AG52&gt;0,1,0)</f>
        <v>0</v>
      </c>
      <c r="AM49">
        <f>IF('Pivot table values'!AH52&gt;0,1,0)</f>
        <v>0</v>
      </c>
      <c r="AN49">
        <f>IF('Pivot table values'!AI52&gt;0,1,0)</f>
        <v>1</v>
      </c>
      <c r="AO49">
        <f>IF('Pivot table values'!AJ52&gt;0,1,0)</f>
        <v>0</v>
      </c>
      <c r="AP49">
        <f>IF('Pivot table values'!AK52&gt;0,1,0)</f>
        <v>0</v>
      </c>
      <c r="AQ49">
        <f>IF('Pivot table values'!AL52&gt;0,1,0)</f>
        <v>0</v>
      </c>
      <c r="AR49">
        <f>IF('Pivot table values'!AM52&gt;0,1,0)</f>
        <v>0</v>
      </c>
      <c r="AS49">
        <f>IF('Pivot table values'!AN52&gt;0,1,0)</f>
        <v>0</v>
      </c>
      <c r="AT49">
        <f>IF('Pivot table values'!AO52&gt;0,1,0)</f>
        <v>0</v>
      </c>
      <c r="AU49">
        <f>IF('Pivot table values'!AP52&gt;0,1,0)</f>
        <v>0</v>
      </c>
      <c r="AV49">
        <f>IF('Pivot table values'!AQ52&gt;0,1,0)</f>
        <v>0</v>
      </c>
      <c r="AW49">
        <f>IF('Pivot table values'!AR52&gt;0,1,0)</f>
        <v>0</v>
      </c>
      <c r="AX49">
        <f>IF('Pivot table values'!AS52&gt;0,1,0)</f>
        <v>0</v>
      </c>
      <c r="AY49">
        <f>IF('Pivot table values'!AT52&gt;0,1,0)</f>
        <v>0</v>
      </c>
      <c r="AZ49">
        <f>IF('Pivot table values'!AU52&gt;0,1,0)</f>
        <v>0</v>
      </c>
      <c r="BA49">
        <f>IF('Pivot table values'!AV52&gt;0,1,0)</f>
        <v>0</v>
      </c>
      <c r="BB49">
        <f>IF('Pivot table values'!AW52&gt;0,1,0)</f>
        <v>0</v>
      </c>
      <c r="BC49">
        <f>IF('Pivot table values'!AX52&gt;0,1,0)</f>
        <v>0</v>
      </c>
      <c r="BD49">
        <f>IF('Pivot table values'!AY52&gt;0,1,0)</f>
        <v>0</v>
      </c>
      <c r="BE49">
        <f>IF('Pivot table values'!AZ52&gt;0,1,0)</f>
        <v>0</v>
      </c>
      <c r="BF49">
        <f>IF('Pivot table values'!BA52&gt;0,1,0)</f>
        <v>0</v>
      </c>
      <c r="BG49">
        <f>IF('Pivot table values'!BB52&gt;0,1,0)</f>
        <v>0</v>
      </c>
      <c r="BH49">
        <f>IF('Pivot table values'!BC52&gt;0,1,0)</f>
        <v>1</v>
      </c>
      <c r="BI49">
        <f>IF('Pivot table values'!BD52&gt;0,1,0)</f>
        <v>0</v>
      </c>
      <c r="BJ49">
        <f>IF('Pivot table values'!BE52&gt;0,1,0)</f>
        <v>0</v>
      </c>
      <c r="BK49">
        <f>IF('Pivot table values'!BF52&gt;0,1,0)</f>
        <v>0</v>
      </c>
      <c r="BL49">
        <f>IF('Pivot table values'!BG52&gt;0,1,0)</f>
        <v>0</v>
      </c>
      <c r="BM49">
        <f>IF('Pivot table values'!BH52&gt;0,1,0)</f>
        <v>1</v>
      </c>
      <c r="BN49">
        <f>IF('Pivot table values'!BI52&gt;0,1,0)</f>
        <v>1</v>
      </c>
      <c r="BO49">
        <f>IF('Pivot table values'!BJ52&gt;0,1,0)</f>
        <v>0</v>
      </c>
      <c r="BP49">
        <f>IF('Pivot table values'!BK52&gt;0,1,0)</f>
        <v>0</v>
      </c>
      <c r="BQ49">
        <f>IF('Pivot table values'!BL52&gt;0,1,0)</f>
        <v>0</v>
      </c>
      <c r="BR49">
        <f>IF('Pivot table values'!BM52&gt;0,1,0)</f>
        <v>0</v>
      </c>
      <c r="BS49">
        <f>IF('Pivot table values'!BN52&gt;0,1,0)</f>
        <v>0</v>
      </c>
      <c r="BT49">
        <f>IF('Pivot table values'!BO52&gt;0,1,0)</f>
        <v>0</v>
      </c>
      <c r="BU49">
        <f>IF('Pivot table values'!BP52&gt;0,1,0)</f>
        <v>0</v>
      </c>
      <c r="BV49">
        <f>IF('Pivot table values'!BQ52&gt;0,1,0)</f>
        <v>0</v>
      </c>
      <c r="BW49">
        <f>IF('Pivot table values'!BR52&gt;0,1,0)</f>
        <v>0</v>
      </c>
      <c r="BX49">
        <f>IF('Pivot table values'!BS52&gt;0,1,0)</f>
        <v>0</v>
      </c>
      <c r="BY49">
        <f>IF('Pivot table values'!BT52&gt;0,1,0)</f>
        <v>0</v>
      </c>
      <c r="BZ49">
        <f>IF('Pivot table values'!BU52&gt;0,1,0)</f>
        <v>0</v>
      </c>
    </row>
    <row r="50" spans="1:78" x14ac:dyDescent="0.3">
      <c r="A50" s="4" t="s">
        <v>210</v>
      </c>
      <c r="B50" s="4" t="str">
        <f>VLOOKUP($A50,Vlookup!$A$2:$E$62,2,FALSE)</f>
        <v>Lime Light</v>
      </c>
      <c r="C50" s="4" t="str">
        <f>VLOOKUP($A50,Vlookup!$A$2:$E$62,3,FALSE)</f>
        <v>Hydrangea paniculata</v>
      </c>
      <c r="D50" s="4" t="str">
        <f>VLOOKUP($A50,Vlookup!$A$2:$E$62,4,FALSE)</f>
        <v>Mop-like panicle</v>
      </c>
      <c r="E50" s="4" t="str">
        <f>VLOOKUP($A50,Vlookup!$A$2:$E$62,5,FALSE)</f>
        <v>Unknown</v>
      </c>
      <c r="F50" s="4">
        <f t="shared" si="0"/>
        <v>9</v>
      </c>
      <c r="G50">
        <f>IF('Pivot table values'!B53&gt;0,1,0)</f>
        <v>0</v>
      </c>
      <c r="H50">
        <f>IF('Pivot table values'!C53&gt;0,1,0)</f>
        <v>0</v>
      </c>
      <c r="I50">
        <f>IF('Pivot table values'!D53&gt;0,1,0)</f>
        <v>0</v>
      </c>
      <c r="J50">
        <f>IF('Pivot table values'!E53&gt;0,1,0)</f>
        <v>0</v>
      </c>
      <c r="K50">
        <f>IF('Pivot table values'!F53&gt;0,1,0)</f>
        <v>0</v>
      </c>
      <c r="L50">
        <f>IF('Pivot table values'!G53&gt;0,1,0)</f>
        <v>0</v>
      </c>
      <c r="M50">
        <f>IF('Pivot table values'!H53&gt;0,1,0)</f>
        <v>0</v>
      </c>
      <c r="N50">
        <f>IF('Pivot table values'!I53&gt;0,1,0)</f>
        <v>0</v>
      </c>
      <c r="O50">
        <f>IF('Pivot table values'!J53&gt;0,1,0)</f>
        <v>0</v>
      </c>
      <c r="P50">
        <f>IF('Pivot table values'!K53&gt;0,1,0)</f>
        <v>0</v>
      </c>
      <c r="Q50">
        <f>IF('Pivot table values'!L53&gt;0,1,0)</f>
        <v>0</v>
      </c>
      <c r="R50">
        <f>IF('Pivot table values'!M53&gt;0,1,0)</f>
        <v>0</v>
      </c>
      <c r="S50">
        <f>IF('Pivot table values'!N53&gt;0,1,0)</f>
        <v>1</v>
      </c>
      <c r="T50">
        <f>IF('Pivot table values'!O53&gt;0,1,0)</f>
        <v>1</v>
      </c>
      <c r="U50">
        <f>IF('Pivot table values'!P53&gt;0,1,0)</f>
        <v>0</v>
      </c>
      <c r="V50">
        <f>IF('Pivot table values'!Q53&gt;0,1,0)</f>
        <v>0</v>
      </c>
      <c r="W50">
        <f>IF('Pivot table values'!R53&gt;0,1,0)</f>
        <v>1</v>
      </c>
      <c r="X50">
        <f>IF('Pivot table values'!S53&gt;0,1,0)</f>
        <v>0</v>
      </c>
      <c r="Y50">
        <f>IF('Pivot table values'!T53&gt;0,1,0)</f>
        <v>0</v>
      </c>
      <c r="Z50">
        <f>IF('Pivot table values'!U53&gt;0,1,0)</f>
        <v>0</v>
      </c>
      <c r="AA50">
        <f>IF('Pivot table values'!V53&gt;0,1,0)</f>
        <v>1</v>
      </c>
      <c r="AB50">
        <f>IF('Pivot table values'!W53&gt;0,1,0)</f>
        <v>0</v>
      </c>
      <c r="AC50">
        <f>IF('Pivot table values'!X53&gt;0,1,0)</f>
        <v>1</v>
      </c>
      <c r="AD50">
        <f>IF('Pivot table values'!Y53&gt;0,1,0)</f>
        <v>0</v>
      </c>
      <c r="AE50">
        <f>IF('Pivot table values'!Z53&gt;0,1,0)</f>
        <v>0</v>
      </c>
      <c r="AF50">
        <f>IF('Pivot table values'!AA53&gt;0,1,0)</f>
        <v>0</v>
      </c>
      <c r="AG50">
        <f>IF('Pivot table values'!AB53&gt;0,1,0)</f>
        <v>0</v>
      </c>
      <c r="AH50">
        <f>IF('Pivot table values'!AC53&gt;0,1,0)</f>
        <v>1</v>
      </c>
      <c r="AI50">
        <f>IF('Pivot table values'!AD53&gt;0,1,0)</f>
        <v>0</v>
      </c>
      <c r="AJ50">
        <f>IF('Pivot table values'!AE53&gt;0,1,0)</f>
        <v>0</v>
      </c>
      <c r="AK50">
        <f>IF('Pivot table values'!AF53&gt;0,1,0)</f>
        <v>0</v>
      </c>
      <c r="AL50">
        <f>IF('Pivot table values'!AG53&gt;0,1,0)</f>
        <v>0</v>
      </c>
      <c r="AM50">
        <f>IF('Pivot table values'!AH53&gt;0,1,0)</f>
        <v>1</v>
      </c>
      <c r="AN50">
        <f>IF('Pivot table values'!AI53&gt;0,1,0)</f>
        <v>0</v>
      </c>
      <c r="AO50">
        <f>IF('Pivot table values'!AJ53&gt;0,1,0)</f>
        <v>0</v>
      </c>
      <c r="AP50">
        <f>IF('Pivot table values'!AK53&gt;0,1,0)</f>
        <v>0</v>
      </c>
      <c r="AQ50">
        <f>IF('Pivot table values'!AL53&gt;0,1,0)</f>
        <v>0</v>
      </c>
      <c r="AR50">
        <f>IF('Pivot table values'!AM53&gt;0,1,0)</f>
        <v>0</v>
      </c>
      <c r="AS50">
        <f>IF('Pivot table values'!AN53&gt;0,1,0)</f>
        <v>0</v>
      </c>
      <c r="AT50">
        <f>IF('Pivot table values'!AO53&gt;0,1,0)</f>
        <v>0</v>
      </c>
      <c r="AU50">
        <f>IF('Pivot table values'!AP53&gt;0,1,0)</f>
        <v>0</v>
      </c>
      <c r="AV50">
        <f>IF('Pivot table values'!AQ53&gt;0,1,0)</f>
        <v>0</v>
      </c>
      <c r="AW50">
        <f>IF('Pivot table values'!AR53&gt;0,1,0)</f>
        <v>0</v>
      </c>
      <c r="AX50">
        <f>IF('Pivot table values'!AS53&gt;0,1,0)</f>
        <v>0</v>
      </c>
      <c r="AY50">
        <f>IF('Pivot table values'!AT53&gt;0,1,0)</f>
        <v>0</v>
      </c>
      <c r="AZ50">
        <f>IF('Pivot table values'!AU53&gt;0,1,0)</f>
        <v>0</v>
      </c>
      <c r="BA50">
        <f>IF('Pivot table values'!AV53&gt;0,1,0)</f>
        <v>0</v>
      </c>
      <c r="BB50">
        <f>IF('Pivot table values'!AW53&gt;0,1,0)</f>
        <v>0</v>
      </c>
      <c r="BC50">
        <f>IF('Pivot table values'!AX53&gt;0,1,0)</f>
        <v>0</v>
      </c>
      <c r="BD50">
        <f>IF('Pivot table values'!AY53&gt;0,1,0)</f>
        <v>0</v>
      </c>
      <c r="BE50">
        <f>IF('Pivot table values'!AZ53&gt;0,1,0)</f>
        <v>0</v>
      </c>
      <c r="BF50">
        <f>IF('Pivot table values'!BA53&gt;0,1,0)</f>
        <v>0</v>
      </c>
      <c r="BG50">
        <f>IF('Pivot table values'!BB53&gt;0,1,0)</f>
        <v>0</v>
      </c>
      <c r="BH50">
        <f>IF('Pivot table values'!BC53&gt;0,1,0)</f>
        <v>0</v>
      </c>
      <c r="BI50">
        <f>IF('Pivot table values'!BD53&gt;0,1,0)</f>
        <v>0</v>
      </c>
      <c r="BJ50">
        <f>IF('Pivot table values'!BE53&gt;0,1,0)</f>
        <v>0</v>
      </c>
      <c r="BK50">
        <f>IF('Pivot table values'!BF53&gt;0,1,0)</f>
        <v>0</v>
      </c>
      <c r="BL50">
        <f>IF('Pivot table values'!BG53&gt;0,1,0)</f>
        <v>1</v>
      </c>
      <c r="BM50">
        <f>IF('Pivot table values'!BH53&gt;0,1,0)</f>
        <v>0</v>
      </c>
      <c r="BN50">
        <f>IF('Pivot table values'!BI53&gt;0,1,0)</f>
        <v>1</v>
      </c>
      <c r="BO50">
        <f>IF('Pivot table values'!BJ53&gt;0,1,0)</f>
        <v>0</v>
      </c>
      <c r="BP50">
        <f>IF('Pivot table values'!BK53&gt;0,1,0)</f>
        <v>0</v>
      </c>
      <c r="BQ50">
        <f>IF('Pivot table values'!BL53&gt;0,1,0)</f>
        <v>0</v>
      </c>
      <c r="BR50">
        <f>IF('Pivot table values'!BM53&gt;0,1,0)</f>
        <v>0</v>
      </c>
      <c r="BS50">
        <f>IF('Pivot table values'!BN53&gt;0,1,0)</f>
        <v>0</v>
      </c>
      <c r="BT50">
        <f>IF('Pivot table values'!BO53&gt;0,1,0)</f>
        <v>0</v>
      </c>
      <c r="BU50">
        <f>IF('Pivot table values'!BP53&gt;0,1,0)</f>
        <v>0</v>
      </c>
      <c r="BV50">
        <f>IF('Pivot table values'!BQ53&gt;0,1,0)</f>
        <v>0</v>
      </c>
      <c r="BW50">
        <f>IF('Pivot table values'!BR53&gt;0,1,0)</f>
        <v>0</v>
      </c>
      <c r="BX50">
        <f>IF('Pivot table values'!BS53&gt;0,1,0)</f>
        <v>0</v>
      </c>
      <c r="BY50">
        <f>IF('Pivot table values'!BT53&gt;0,1,0)</f>
        <v>0</v>
      </c>
      <c r="BZ50">
        <f>IF('Pivot table values'!BU53&gt;0,1,0)</f>
        <v>0</v>
      </c>
    </row>
    <row r="51" spans="1:78" x14ac:dyDescent="0.3">
      <c r="A51" s="4" t="s">
        <v>155</v>
      </c>
      <c r="B51" s="4" t="str">
        <f>VLOOKUP($A51,Vlookup!$A$2:$E$62,2,FALSE)</f>
        <v>Fire &amp; Ice</v>
      </c>
      <c r="C51" s="4" t="str">
        <f>VLOOKUP($A51,Vlookup!$A$2:$E$62,3,FALSE)</f>
        <v>Hydrangea paniculata</v>
      </c>
      <c r="D51" s="4" t="str">
        <f>VLOOKUP($A51,Vlookup!$A$2:$E$62,4,FALSE)</f>
        <v>Lacy panicle</v>
      </c>
      <c r="E51" s="4" t="str">
        <f>VLOOKUP($A51,Vlookup!$A$2:$E$62,5,FALSE)</f>
        <v>Open</v>
      </c>
      <c r="F51" s="4">
        <f t="shared" si="0"/>
        <v>15</v>
      </c>
      <c r="G51">
        <f>IF('Pivot table values'!B54&gt;0,1,0)</f>
        <v>0</v>
      </c>
      <c r="H51">
        <f>IF('Pivot table values'!C54&gt;0,1,0)</f>
        <v>0</v>
      </c>
      <c r="I51">
        <f>IF('Pivot table values'!D54&gt;0,1,0)</f>
        <v>0</v>
      </c>
      <c r="J51">
        <f>IF('Pivot table values'!E54&gt;0,1,0)</f>
        <v>0</v>
      </c>
      <c r="K51">
        <f>IF('Pivot table values'!F54&gt;0,1,0)</f>
        <v>0</v>
      </c>
      <c r="L51">
        <f>IF('Pivot table values'!G54&gt;0,1,0)</f>
        <v>0</v>
      </c>
      <c r="M51">
        <f>IF('Pivot table values'!H54&gt;0,1,0)</f>
        <v>0</v>
      </c>
      <c r="N51">
        <f>IF('Pivot table values'!I54&gt;0,1,0)</f>
        <v>1</v>
      </c>
      <c r="O51">
        <f>IF('Pivot table values'!J54&gt;0,1,0)</f>
        <v>0</v>
      </c>
      <c r="P51">
        <f>IF('Pivot table values'!K54&gt;0,1,0)</f>
        <v>0</v>
      </c>
      <c r="Q51">
        <f>IF('Pivot table values'!L54&gt;0,1,0)</f>
        <v>0</v>
      </c>
      <c r="R51">
        <f>IF('Pivot table values'!M54&gt;0,1,0)</f>
        <v>0</v>
      </c>
      <c r="S51">
        <f>IF('Pivot table values'!N54&gt;0,1,0)</f>
        <v>1</v>
      </c>
      <c r="T51">
        <f>IF('Pivot table values'!O54&gt;0,1,0)</f>
        <v>0</v>
      </c>
      <c r="U51">
        <f>IF('Pivot table values'!P54&gt;0,1,0)</f>
        <v>0</v>
      </c>
      <c r="V51">
        <f>IF('Pivot table values'!Q54&gt;0,1,0)</f>
        <v>0</v>
      </c>
      <c r="W51">
        <f>IF('Pivot table values'!R54&gt;0,1,0)</f>
        <v>0</v>
      </c>
      <c r="X51">
        <f>IF('Pivot table values'!S54&gt;0,1,0)</f>
        <v>1</v>
      </c>
      <c r="Y51">
        <f>IF('Pivot table values'!T54&gt;0,1,0)</f>
        <v>0</v>
      </c>
      <c r="Z51">
        <f>IF('Pivot table values'!U54&gt;0,1,0)</f>
        <v>0</v>
      </c>
      <c r="AA51">
        <f>IF('Pivot table values'!V54&gt;0,1,0)</f>
        <v>1</v>
      </c>
      <c r="AB51">
        <f>IF('Pivot table values'!W54&gt;0,1,0)</f>
        <v>0</v>
      </c>
      <c r="AC51">
        <f>IF('Pivot table values'!X54&gt;0,1,0)</f>
        <v>1</v>
      </c>
      <c r="AD51">
        <f>IF('Pivot table values'!Y54&gt;0,1,0)</f>
        <v>0</v>
      </c>
      <c r="AE51">
        <f>IF('Pivot table values'!Z54&gt;0,1,0)</f>
        <v>0</v>
      </c>
      <c r="AF51">
        <f>IF('Pivot table values'!AA54&gt;0,1,0)</f>
        <v>0</v>
      </c>
      <c r="AG51">
        <f>IF('Pivot table values'!AB54&gt;0,1,0)</f>
        <v>0</v>
      </c>
      <c r="AH51">
        <f>IF('Pivot table values'!AC54&gt;0,1,0)</f>
        <v>0</v>
      </c>
      <c r="AI51">
        <f>IF('Pivot table values'!AD54&gt;0,1,0)</f>
        <v>1</v>
      </c>
      <c r="AJ51">
        <f>IF('Pivot table values'!AE54&gt;0,1,0)</f>
        <v>1</v>
      </c>
      <c r="AK51">
        <f>IF('Pivot table values'!AF54&gt;0,1,0)</f>
        <v>0</v>
      </c>
      <c r="AL51">
        <f>IF('Pivot table values'!AG54&gt;0,1,0)</f>
        <v>0</v>
      </c>
      <c r="AM51">
        <f>IF('Pivot table values'!AH54&gt;0,1,0)</f>
        <v>0</v>
      </c>
      <c r="AN51">
        <f>IF('Pivot table values'!AI54&gt;0,1,0)</f>
        <v>1</v>
      </c>
      <c r="AO51">
        <f>IF('Pivot table values'!AJ54&gt;0,1,0)</f>
        <v>0</v>
      </c>
      <c r="AP51">
        <f>IF('Pivot table values'!AK54&gt;0,1,0)</f>
        <v>0</v>
      </c>
      <c r="AQ51">
        <f>IF('Pivot table values'!AL54&gt;0,1,0)</f>
        <v>0</v>
      </c>
      <c r="AR51">
        <f>IF('Pivot table values'!AM54&gt;0,1,0)</f>
        <v>0</v>
      </c>
      <c r="AS51">
        <f>IF('Pivot table values'!AN54&gt;0,1,0)</f>
        <v>0</v>
      </c>
      <c r="AT51">
        <f>IF('Pivot table values'!AO54&gt;0,1,0)</f>
        <v>0</v>
      </c>
      <c r="AU51">
        <f>IF('Pivot table values'!AP54&gt;0,1,0)</f>
        <v>0</v>
      </c>
      <c r="AV51">
        <f>IF('Pivot table values'!AQ54&gt;0,1,0)</f>
        <v>0</v>
      </c>
      <c r="AW51">
        <f>IF('Pivot table values'!AR54&gt;0,1,0)</f>
        <v>0</v>
      </c>
      <c r="AX51">
        <f>IF('Pivot table values'!AS54&gt;0,1,0)</f>
        <v>0</v>
      </c>
      <c r="AY51">
        <f>IF('Pivot table values'!AT54&gt;0,1,0)</f>
        <v>0</v>
      </c>
      <c r="AZ51">
        <f>IF('Pivot table values'!AU54&gt;0,1,0)</f>
        <v>1</v>
      </c>
      <c r="BA51">
        <f>IF('Pivot table values'!AV54&gt;0,1,0)</f>
        <v>0</v>
      </c>
      <c r="BB51">
        <f>IF('Pivot table values'!AW54&gt;0,1,0)</f>
        <v>0</v>
      </c>
      <c r="BC51">
        <f>IF('Pivot table values'!AX54&gt;0,1,0)</f>
        <v>0</v>
      </c>
      <c r="BD51">
        <f>IF('Pivot table values'!AY54&gt;0,1,0)</f>
        <v>0</v>
      </c>
      <c r="BE51">
        <f>IF('Pivot table values'!AZ54&gt;0,1,0)</f>
        <v>1</v>
      </c>
      <c r="BF51">
        <f>IF('Pivot table values'!BA54&gt;0,1,0)</f>
        <v>0</v>
      </c>
      <c r="BG51">
        <f>IF('Pivot table values'!BB54&gt;0,1,0)</f>
        <v>0</v>
      </c>
      <c r="BH51">
        <f>IF('Pivot table values'!BC54&gt;0,1,0)</f>
        <v>0</v>
      </c>
      <c r="BI51">
        <f>IF('Pivot table values'!BD54&gt;0,1,0)</f>
        <v>0</v>
      </c>
      <c r="BJ51">
        <f>IF('Pivot table values'!BE54&gt;0,1,0)</f>
        <v>0</v>
      </c>
      <c r="BK51">
        <f>IF('Pivot table values'!BF54&gt;0,1,0)</f>
        <v>1</v>
      </c>
      <c r="BL51">
        <f>IF('Pivot table values'!BG54&gt;0,1,0)</f>
        <v>0</v>
      </c>
      <c r="BM51">
        <f>IF('Pivot table values'!BH54&gt;0,1,0)</f>
        <v>1</v>
      </c>
      <c r="BN51">
        <f>IF('Pivot table values'!BI54&gt;0,1,0)</f>
        <v>1</v>
      </c>
      <c r="BO51">
        <f>IF('Pivot table values'!BJ54&gt;0,1,0)</f>
        <v>0</v>
      </c>
      <c r="BP51">
        <f>IF('Pivot table values'!BK54&gt;0,1,0)</f>
        <v>0</v>
      </c>
      <c r="BQ51">
        <f>IF('Pivot table values'!BL54&gt;0,1,0)</f>
        <v>0</v>
      </c>
      <c r="BR51">
        <f>IF('Pivot table values'!BM54&gt;0,1,0)</f>
        <v>1</v>
      </c>
      <c r="BS51">
        <f>IF('Pivot table values'!BN54&gt;0,1,0)</f>
        <v>0</v>
      </c>
      <c r="BT51">
        <f>IF('Pivot table values'!BO54&gt;0,1,0)</f>
        <v>0</v>
      </c>
      <c r="BU51">
        <f>IF('Pivot table values'!BP54&gt;0,1,0)</f>
        <v>1</v>
      </c>
      <c r="BV51">
        <f>IF('Pivot table values'!BQ54&gt;0,1,0)</f>
        <v>0</v>
      </c>
      <c r="BW51">
        <f>IF('Pivot table values'!BR54&gt;0,1,0)</f>
        <v>0</v>
      </c>
      <c r="BX51">
        <f>IF('Pivot table values'!BS54&gt;0,1,0)</f>
        <v>0</v>
      </c>
      <c r="BY51">
        <f>IF('Pivot table values'!BT54&gt;0,1,0)</f>
        <v>0</v>
      </c>
      <c r="BZ51">
        <f>IF('Pivot table values'!BU54&gt;0,1,0)</f>
        <v>0</v>
      </c>
    </row>
    <row r="52" spans="1:78" x14ac:dyDescent="0.3">
      <c r="A52" s="4" t="s">
        <v>194</v>
      </c>
      <c r="B52" s="4" t="str">
        <f>VLOOKUP($A52,Vlookup!$A$2:$E$62,2,FALSE)</f>
        <v>Silver Dollar</v>
      </c>
      <c r="C52" s="4" t="str">
        <f>VLOOKUP($A52,Vlookup!$A$2:$E$62,3,FALSE)</f>
        <v>Hydrangea paniculata</v>
      </c>
      <c r="D52" s="4" t="str">
        <f>VLOOKUP($A52,Vlookup!$A$2:$E$62,4,FALSE)</f>
        <v>Mop-like panicle</v>
      </c>
      <c r="E52" s="4" t="str">
        <f>VLOOKUP($A52,Vlookup!$A$2:$E$62,5,FALSE)</f>
        <v>Dense</v>
      </c>
      <c r="F52" s="4">
        <f t="shared" si="0"/>
        <v>7</v>
      </c>
      <c r="G52">
        <f>IF('Pivot table values'!B55&gt;0,1,0)</f>
        <v>0</v>
      </c>
      <c r="H52">
        <f>IF('Pivot table values'!C55&gt;0,1,0)</f>
        <v>0</v>
      </c>
      <c r="I52">
        <f>IF('Pivot table values'!D55&gt;0,1,0)</f>
        <v>0</v>
      </c>
      <c r="J52">
        <f>IF('Pivot table values'!E55&gt;0,1,0)</f>
        <v>0</v>
      </c>
      <c r="K52">
        <f>IF('Pivot table values'!F55&gt;0,1,0)</f>
        <v>0</v>
      </c>
      <c r="L52">
        <f>IF('Pivot table values'!G55&gt;0,1,0)</f>
        <v>0</v>
      </c>
      <c r="M52">
        <f>IF('Pivot table values'!H55&gt;0,1,0)</f>
        <v>0</v>
      </c>
      <c r="N52">
        <f>IF('Pivot table values'!I55&gt;0,1,0)</f>
        <v>0</v>
      </c>
      <c r="O52">
        <f>IF('Pivot table values'!J55&gt;0,1,0)</f>
        <v>0</v>
      </c>
      <c r="P52">
        <f>IF('Pivot table values'!K55&gt;0,1,0)</f>
        <v>0</v>
      </c>
      <c r="Q52">
        <f>IF('Pivot table values'!L55&gt;0,1,0)</f>
        <v>0</v>
      </c>
      <c r="R52">
        <f>IF('Pivot table values'!M55&gt;0,1,0)</f>
        <v>0</v>
      </c>
      <c r="S52">
        <f>IF('Pivot table values'!N55&gt;0,1,0)</f>
        <v>0</v>
      </c>
      <c r="T52">
        <f>IF('Pivot table values'!O55&gt;0,1,0)</f>
        <v>1</v>
      </c>
      <c r="U52">
        <f>IF('Pivot table values'!P55&gt;0,1,0)</f>
        <v>0</v>
      </c>
      <c r="V52">
        <f>IF('Pivot table values'!Q55&gt;0,1,0)</f>
        <v>0</v>
      </c>
      <c r="W52">
        <f>IF('Pivot table values'!R55&gt;0,1,0)</f>
        <v>0</v>
      </c>
      <c r="X52">
        <f>IF('Pivot table values'!S55&gt;0,1,0)</f>
        <v>1</v>
      </c>
      <c r="Y52">
        <f>IF('Pivot table values'!T55&gt;0,1,0)</f>
        <v>0</v>
      </c>
      <c r="Z52">
        <f>IF('Pivot table values'!U55&gt;0,1,0)</f>
        <v>0</v>
      </c>
      <c r="AA52">
        <f>IF('Pivot table values'!V55&gt;0,1,0)</f>
        <v>0</v>
      </c>
      <c r="AB52">
        <f>IF('Pivot table values'!W55&gt;0,1,0)</f>
        <v>0</v>
      </c>
      <c r="AC52">
        <f>IF('Pivot table values'!X55&gt;0,1,0)</f>
        <v>0</v>
      </c>
      <c r="AD52">
        <f>IF('Pivot table values'!Y55&gt;0,1,0)</f>
        <v>0</v>
      </c>
      <c r="AE52">
        <f>IF('Pivot table values'!Z55&gt;0,1,0)</f>
        <v>0</v>
      </c>
      <c r="AF52">
        <f>IF('Pivot table values'!AA55&gt;0,1,0)</f>
        <v>0</v>
      </c>
      <c r="AG52">
        <f>IF('Pivot table values'!AB55&gt;0,1,0)</f>
        <v>0</v>
      </c>
      <c r="AH52">
        <f>IF('Pivot table values'!AC55&gt;0,1,0)</f>
        <v>0</v>
      </c>
      <c r="AI52">
        <f>IF('Pivot table values'!AD55&gt;0,1,0)</f>
        <v>0</v>
      </c>
      <c r="AJ52">
        <f>IF('Pivot table values'!AE55&gt;0,1,0)</f>
        <v>0</v>
      </c>
      <c r="AK52">
        <f>IF('Pivot table values'!AF55&gt;0,1,0)</f>
        <v>0</v>
      </c>
      <c r="AL52">
        <f>IF('Pivot table values'!AG55&gt;0,1,0)</f>
        <v>0</v>
      </c>
      <c r="AM52">
        <f>IF('Pivot table values'!AH55&gt;0,1,0)</f>
        <v>0</v>
      </c>
      <c r="AN52">
        <f>IF('Pivot table values'!AI55&gt;0,1,0)</f>
        <v>1</v>
      </c>
      <c r="AO52">
        <f>IF('Pivot table values'!AJ55&gt;0,1,0)</f>
        <v>1</v>
      </c>
      <c r="AP52">
        <f>IF('Pivot table values'!AK55&gt;0,1,0)</f>
        <v>0</v>
      </c>
      <c r="AQ52">
        <f>IF('Pivot table values'!AL55&gt;0,1,0)</f>
        <v>0</v>
      </c>
      <c r="AR52">
        <f>IF('Pivot table values'!AM55&gt;0,1,0)</f>
        <v>0</v>
      </c>
      <c r="AS52">
        <f>IF('Pivot table values'!AN55&gt;0,1,0)</f>
        <v>0</v>
      </c>
      <c r="AT52">
        <f>IF('Pivot table values'!AO55&gt;0,1,0)</f>
        <v>0</v>
      </c>
      <c r="AU52">
        <f>IF('Pivot table values'!AP55&gt;0,1,0)</f>
        <v>0</v>
      </c>
      <c r="AV52">
        <f>IF('Pivot table values'!AQ55&gt;0,1,0)</f>
        <v>0</v>
      </c>
      <c r="AW52">
        <f>IF('Pivot table values'!AR55&gt;0,1,0)</f>
        <v>0</v>
      </c>
      <c r="AX52">
        <f>IF('Pivot table values'!AS55&gt;0,1,0)</f>
        <v>0</v>
      </c>
      <c r="AY52">
        <f>IF('Pivot table values'!AT55&gt;0,1,0)</f>
        <v>0</v>
      </c>
      <c r="AZ52">
        <f>IF('Pivot table values'!AU55&gt;0,1,0)</f>
        <v>0</v>
      </c>
      <c r="BA52">
        <f>IF('Pivot table values'!AV55&gt;0,1,0)</f>
        <v>0</v>
      </c>
      <c r="BB52">
        <f>IF('Pivot table values'!AW55&gt;0,1,0)</f>
        <v>0</v>
      </c>
      <c r="BC52">
        <f>IF('Pivot table values'!AX55&gt;0,1,0)</f>
        <v>0</v>
      </c>
      <c r="BD52">
        <f>IF('Pivot table values'!AY55&gt;0,1,0)</f>
        <v>0</v>
      </c>
      <c r="BE52">
        <f>IF('Pivot table values'!AZ55&gt;0,1,0)</f>
        <v>0</v>
      </c>
      <c r="BF52">
        <f>IF('Pivot table values'!BA55&gt;0,1,0)</f>
        <v>0</v>
      </c>
      <c r="BG52">
        <f>IF('Pivot table values'!BB55&gt;0,1,0)</f>
        <v>0</v>
      </c>
      <c r="BH52">
        <f>IF('Pivot table values'!BC55&gt;0,1,0)</f>
        <v>0</v>
      </c>
      <c r="BI52">
        <f>IF('Pivot table values'!BD55&gt;0,1,0)</f>
        <v>1</v>
      </c>
      <c r="BJ52">
        <f>IF('Pivot table values'!BE55&gt;0,1,0)</f>
        <v>0</v>
      </c>
      <c r="BK52">
        <f>IF('Pivot table values'!BF55&gt;0,1,0)</f>
        <v>1</v>
      </c>
      <c r="BL52">
        <f>IF('Pivot table values'!BG55&gt;0,1,0)</f>
        <v>0</v>
      </c>
      <c r="BM52">
        <f>IF('Pivot table values'!BH55&gt;0,1,0)</f>
        <v>0</v>
      </c>
      <c r="BN52">
        <f>IF('Pivot table values'!BI55&gt;0,1,0)</f>
        <v>1</v>
      </c>
      <c r="BO52">
        <f>IF('Pivot table values'!BJ55&gt;0,1,0)</f>
        <v>0</v>
      </c>
      <c r="BP52">
        <f>IF('Pivot table values'!BK55&gt;0,1,0)</f>
        <v>0</v>
      </c>
      <c r="BQ52">
        <f>IF('Pivot table values'!BL55&gt;0,1,0)</f>
        <v>0</v>
      </c>
      <c r="BR52">
        <f>IF('Pivot table values'!BM55&gt;0,1,0)</f>
        <v>0</v>
      </c>
      <c r="BS52">
        <f>IF('Pivot table values'!BN55&gt;0,1,0)</f>
        <v>0</v>
      </c>
      <c r="BT52">
        <f>IF('Pivot table values'!BO55&gt;0,1,0)</f>
        <v>0</v>
      </c>
      <c r="BU52">
        <f>IF('Pivot table values'!BP55&gt;0,1,0)</f>
        <v>0</v>
      </c>
      <c r="BV52">
        <f>IF('Pivot table values'!BQ55&gt;0,1,0)</f>
        <v>0</v>
      </c>
      <c r="BW52">
        <f>IF('Pivot table values'!BR55&gt;0,1,0)</f>
        <v>0</v>
      </c>
      <c r="BX52">
        <f>IF('Pivot table values'!BS55&gt;0,1,0)</f>
        <v>0</v>
      </c>
      <c r="BY52">
        <f>IF('Pivot table values'!BT55&gt;0,1,0)</f>
        <v>0</v>
      </c>
      <c r="BZ52">
        <f>IF('Pivot table values'!BU55&gt;0,1,0)</f>
        <v>0</v>
      </c>
    </row>
    <row r="53" spans="1:78" x14ac:dyDescent="0.3">
      <c r="A53" s="4" t="s">
        <v>196</v>
      </c>
      <c r="B53" s="4" t="str">
        <f>VLOOKUP($A53,Vlookup!$A$2:$E$62,2,FALSE)</f>
        <v>Pillow Talk</v>
      </c>
      <c r="C53" s="4" t="str">
        <f>VLOOKUP($A53,Vlookup!$A$2:$E$62,3,FALSE)</f>
        <v>Hydrangea paniculata</v>
      </c>
      <c r="D53" s="4" t="str">
        <f>VLOOKUP($A53,Vlookup!$A$2:$E$62,4,FALSE)</f>
        <v>Mop-like panicle</v>
      </c>
      <c r="E53" s="4" t="str">
        <f>VLOOKUP($A53,Vlookup!$A$2:$E$62,5,FALSE)</f>
        <v>Very dense</v>
      </c>
      <c r="F53" s="4">
        <f t="shared" si="0"/>
        <v>4</v>
      </c>
      <c r="G53">
        <f>IF('Pivot table values'!B56&gt;0,1,0)</f>
        <v>0</v>
      </c>
      <c r="H53">
        <f>IF('Pivot table values'!C56&gt;0,1,0)</f>
        <v>0</v>
      </c>
      <c r="I53">
        <f>IF('Pivot table values'!D56&gt;0,1,0)</f>
        <v>0</v>
      </c>
      <c r="J53">
        <f>IF('Pivot table values'!E56&gt;0,1,0)</f>
        <v>0</v>
      </c>
      <c r="K53">
        <f>IF('Pivot table values'!F56&gt;0,1,0)</f>
        <v>0</v>
      </c>
      <c r="L53">
        <f>IF('Pivot table values'!G56&gt;0,1,0)</f>
        <v>0</v>
      </c>
      <c r="M53">
        <f>IF('Pivot table values'!H56&gt;0,1,0)</f>
        <v>0</v>
      </c>
      <c r="N53">
        <f>IF('Pivot table values'!I56&gt;0,1,0)</f>
        <v>0</v>
      </c>
      <c r="O53">
        <f>IF('Pivot table values'!J56&gt;0,1,0)</f>
        <v>0</v>
      </c>
      <c r="P53">
        <f>IF('Pivot table values'!K56&gt;0,1,0)</f>
        <v>0</v>
      </c>
      <c r="Q53">
        <f>IF('Pivot table values'!L56&gt;0,1,0)</f>
        <v>0</v>
      </c>
      <c r="R53">
        <f>IF('Pivot table values'!M56&gt;0,1,0)</f>
        <v>0</v>
      </c>
      <c r="S53">
        <f>IF('Pivot table values'!N56&gt;0,1,0)</f>
        <v>0</v>
      </c>
      <c r="T53">
        <f>IF('Pivot table values'!O56&gt;0,1,0)</f>
        <v>0</v>
      </c>
      <c r="U53">
        <f>IF('Pivot table values'!P56&gt;0,1,0)</f>
        <v>0</v>
      </c>
      <c r="V53">
        <f>IF('Pivot table values'!Q56&gt;0,1,0)</f>
        <v>0</v>
      </c>
      <c r="W53">
        <f>IF('Pivot table values'!R56&gt;0,1,0)</f>
        <v>1</v>
      </c>
      <c r="X53">
        <f>IF('Pivot table values'!S56&gt;0,1,0)</f>
        <v>0</v>
      </c>
      <c r="Y53">
        <f>IF('Pivot table values'!T56&gt;0,1,0)</f>
        <v>0</v>
      </c>
      <c r="Z53">
        <f>IF('Pivot table values'!U56&gt;0,1,0)</f>
        <v>0</v>
      </c>
      <c r="AA53">
        <f>IF('Pivot table values'!V56&gt;0,1,0)</f>
        <v>0</v>
      </c>
      <c r="AB53">
        <f>IF('Pivot table values'!W56&gt;0,1,0)</f>
        <v>0</v>
      </c>
      <c r="AC53">
        <f>IF('Pivot table values'!X56&gt;0,1,0)</f>
        <v>1</v>
      </c>
      <c r="AD53">
        <f>IF('Pivot table values'!Y56&gt;0,1,0)</f>
        <v>0</v>
      </c>
      <c r="AE53">
        <f>IF('Pivot table values'!Z56&gt;0,1,0)</f>
        <v>0</v>
      </c>
      <c r="AF53">
        <f>IF('Pivot table values'!AA56&gt;0,1,0)</f>
        <v>0</v>
      </c>
      <c r="AG53">
        <f>IF('Pivot table values'!AB56&gt;0,1,0)</f>
        <v>0</v>
      </c>
      <c r="AH53">
        <f>IF('Pivot table values'!AC56&gt;0,1,0)</f>
        <v>0</v>
      </c>
      <c r="AI53">
        <f>IF('Pivot table values'!AD56&gt;0,1,0)</f>
        <v>0</v>
      </c>
      <c r="AJ53">
        <f>IF('Pivot table values'!AE56&gt;0,1,0)</f>
        <v>0</v>
      </c>
      <c r="AK53">
        <f>IF('Pivot table values'!AF56&gt;0,1,0)</f>
        <v>0</v>
      </c>
      <c r="AL53">
        <f>IF('Pivot table values'!AG56&gt;0,1,0)</f>
        <v>0</v>
      </c>
      <c r="AM53">
        <f>IF('Pivot table values'!AH56&gt;0,1,0)</f>
        <v>1</v>
      </c>
      <c r="AN53">
        <f>IF('Pivot table values'!AI56&gt;0,1,0)</f>
        <v>1</v>
      </c>
      <c r="AO53">
        <f>IF('Pivot table values'!AJ56&gt;0,1,0)</f>
        <v>0</v>
      </c>
      <c r="AP53">
        <f>IF('Pivot table values'!AK56&gt;0,1,0)</f>
        <v>0</v>
      </c>
      <c r="AQ53">
        <f>IF('Pivot table values'!AL56&gt;0,1,0)</f>
        <v>0</v>
      </c>
      <c r="AR53">
        <f>IF('Pivot table values'!AM56&gt;0,1,0)</f>
        <v>0</v>
      </c>
      <c r="AS53">
        <f>IF('Pivot table values'!AN56&gt;0,1,0)</f>
        <v>0</v>
      </c>
      <c r="AT53">
        <f>IF('Pivot table values'!AO56&gt;0,1,0)</f>
        <v>0</v>
      </c>
      <c r="AU53">
        <f>IF('Pivot table values'!AP56&gt;0,1,0)</f>
        <v>0</v>
      </c>
      <c r="AV53">
        <f>IF('Pivot table values'!AQ56&gt;0,1,0)</f>
        <v>0</v>
      </c>
      <c r="AW53">
        <f>IF('Pivot table values'!AR56&gt;0,1,0)</f>
        <v>0</v>
      </c>
      <c r="AX53">
        <f>IF('Pivot table values'!AS56&gt;0,1,0)</f>
        <v>0</v>
      </c>
      <c r="AY53">
        <f>IF('Pivot table values'!AT56&gt;0,1,0)</f>
        <v>0</v>
      </c>
      <c r="AZ53">
        <f>IF('Pivot table values'!AU56&gt;0,1,0)</f>
        <v>0</v>
      </c>
      <c r="BA53">
        <f>IF('Pivot table values'!AV56&gt;0,1,0)</f>
        <v>0</v>
      </c>
      <c r="BB53">
        <f>IF('Pivot table values'!AW56&gt;0,1,0)</f>
        <v>0</v>
      </c>
      <c r="BC53">
        <f>IF('Pivot table values'!AX56&gt;0,1,0)</f>
        <v>0</v>
      </c>
      <c r="BD53">
        <f>IF('Pivot table values'!AY56&gt;0,1,0)</f>
        <v>0</v>
      </c>
      <c r="BE53">
        <f>IF('Pivot table values'!AZ56&gt;0,1,0)</f>
        <v>0</v>
      </c>
      <c r="BF53">
        <f>IF('Pivot table values'!BA56&gt;0,1,0)</f>
        <v>0</v>
      </c>
      <c r="BG53">
        <f>IF('Pivot table values'!BB56&gt;0,1,0)</f>
        <v>0</v>
      </c>
      <c r="BH53">
        <f>IF('Pivot table values'!BC56&gt;0,1,0)</f>
        <v>0</v>
      </c>
      <c r="BI53">
        <f>IF('Pivot table values'!BD56&gt;0,1,0)</f>
        <v>0</v>
      </c>
      <c r="BJ53">
        <f>IF('Pivot table values'!BE56&gt;0,1,0)</f>
        <v>0</v>
      </c>
      <c r="BK53">
        <f>IF('Pivot table values'!BF56&gt;0,1,0)</f>
        <v>0</v>
      </c>
      <c r="BL53">
        <f>IF('Pivot table values'!BG56&gt;0,1,0)</f>
        <v>0</v>
      </c>
      <c r="BM53">
        <f>IF('Pivot table values'!BH56&gt;0,1,0)</f>
        <v>0</v>
      </c>
      <c r="BN53">
        <f>IF('Pivot table values'!BI56&gt;0,1,0)</f>
        <v>0</v>
      </c>
      <c r="BO53">
        <f>IF('Pivot table values'!BJ56&gt;0,1,0)</f>
        <v>0</v>
      </c>
      <c r="BP53">
        <f>IF('Pivot table values'!BK56&gt;0,1,0)</f>
        <v>0</v>
      </c>
      <c r="BQ53">
        <f>IF('Pivot table values'!BL56&gt;0,1,0)</f>
        <v>0</v>
      </c>
      <c r="BR53">
        <f>IF('Pivot table values'!BM56&gt;0,1,0)</f>
        <v>0</v>
      </c>
      <c r="BS53">
        <f>IF('Pivot table values'!BN56&gt;0,1,0)</f>
        <v>0</v>
      </c>
      <c r="BT53">
        <f>IF('Pivot table values'!BO56&gt;0,1,0)</f>
        <v>0</v>
      </c>
      <c r="BU53">
        <f>IF('Pivot table values'!BP56&gt;0,1,0)</f>
        <v>0</v>
      </c>
      <c r="BV53">
        <f>IF('Pivot table values'!BQ56&gt;0,1,0)</f>
        <v>0</v>
      </c>
      <c r="BW53">
        <f>IF('Pivot table values'!BR56&gt;0,1,0)</f>
        <v>0</v>
      </c>
      <c r="BX53">
        <f>IF('Pivot table values'!BS56&gt;0,1,0)</f>
        <v>0</v>
      </c>
      <c r="BY53">
        <f>IF('Pivot table values'!BT56&gt;0,1,0)</f>
        <v>0</v>
      </c>
      <c r="BZ53">
        <f>IF('Pivot table values'!BU56&gt;0,1,0)</f>
        <v>0</v>
      </c>
    </row>
    <row r="54" spans="1:78" x14ac:dyDescent="0.3">
      <c r="A54" s="4" t="s">
        <v>165</v>
      </c>
      <c r="B54" s="4" t="str">
        <f>VLOOKUP($A54,Vlookup!$A$2:$E$62,2,FALSE)</f>
        <v>Incrediball</v>
      </c>
      <c r="C54" s="4" t="str">
        <f>VLOOKUP($A54,Vlookup!$A$2:$E$62,3,FALSE)</f>
        <v>Hydrangea arborescens</v>
      </c>
      <c r="D54" s="4" t="str">
        <f>VLOOKUP($A54,Vlookup!$A$2:$E$62,4,FALSE)</f>
        <v>Mop</v>
      </c>
      <c r="E54" s="4" t="str">
        <f>VLOOKUP($A54,Vlookup!$A$2:$E$62,5,FALSE)</f>
        <v>Dense</v>
      </c>
      <c r="F54" s="4">
        <f t="shared" si="0"/>
        <v>5</v>
      </c>
      <c r="G54">
        <f>IF('Pivot table values'!B57&gt;0,1,0)</f>
        <v>0</v>
      </c>
      <c r="H54">
        <f>IF('Pivot table values'!C57&gt;0,1,0)</f>
        <v>0</v>
      </c>
      <c r="I54">
        <f>IF('Pivot table values'!D57&gt;0,1,0)</f>
        <v>0</v>
      </c>
      <c r="J54">
        <f>IF('Pivot table values'!E57&gt;0,1,0)</f>
        <v>0</v>
      </c>
      <c r="K54">
        <f>IF('Pivot table values'!F57&gt;0,1,0)</f>
        <v>0</v>
      </c>
      <c r="L54">
        <f>IF('Pivot table values'!G57&gt;0,1,0)</f>
        <v>0</v>
      </c>
      <c r="M54">
        <f>IF('Pivot table values'!H57&gt;0,1,0)</f>
        <v>0</v>
      </c>
      <c r="N54">
        <f>IF('Pivot table values'!I57&gt;0,1,0)</f>
        <v>0</v>
      </c>
      <c r="O54">
        <f>IF('Pivot table values'!J57&gt;0,1,0)</f>
        <v>0</v>
      </c>
      <c r="P54">
        <f>IF('Pivot table values'!K57&gt;0,1,0)</f>
        <v>0</v>
      </c>
      <c r="Q54">
        <f>IF('Pivot table values'!L57&gt;0,1,0)</f>
        <v>0</v>
      </c>
      <c r="R54">
        <f>IF('Pivot table values'!M57&gt;0,1,0)</f>
        <v>0</v>
      </c>
      <c r="S54">
        <f>IF('Pivot table values'!N57&gt;0,1,0)</f>
        <v>0</v>
      </c>
      <c r="T54">
        <f>IF('Pivot table values'!O57&gt;0,1,0)</f>
        <v>0</v>
      </c>
      <c r="U54">
        <f>IF('Pivot table values'!P57&gt;0,1,0)</f>
        <v>0</v>
      </c>
      <c r="V54">
        <f>IF('Pivot table values'!Q57&gt;0,1,0)</f>
        <v>0</v>
      </c>
      <c r="W54">
        <f>IF('Pivot table values'!R57&gt;0,1,0)</f>
        <v>0</v>
      </c>
      <c r="X54">
        <f>IF('Pivot table values'!S57&gt;0,1,0)</f>
        <v>0</v>
      </c>
      <c r="Y54">
        <f>IF('Pivot table values'!T57&gt;0,1,0)</f>
        <v>0</v>
      </c>
      <c r="Z54">
        <f>IF('Pivot table values'!U57&gt;0,1,0)</f>
        <v>0</v>
      </c>
      <c r="AA54">
        <f>IF('Pivot table values'!V57&gt;0,1,0)</f>
        <v>1</v>
      </c>
      <c r="AB54">
        <f>IF('Pivot table values'!W57&gt;0,1,0)</f>
        <v>0</v>
      </c>
      <c r="AC54">
        <f>IF('Pivot table values'!X57&gt;0,1,0)</f>
        <v>1</v>
      </c>
      <c r="AD54">
        <f>IF('Pivot table values'!Y57&gt;0,1,0)</f>
        <v>0</v>
      </c>
      <c r="AE54">
        <f>IF('Pivot table values'!Z57&gt;0,1,0)</f>
        <v>1</v>
      </c>
      <c r="AF54">
        <f>IF('Pivot table values'!AA57&gt;0,1,0)</f>
        <v>0</v>
      </c>
      <c r="AG54">
        <f>IF('Pivot table values'!AB57&gt;0,1,0)</f>
        <v>0</v>
      </c>
      <c r="AH54">
        <f>IF('Pivot table values'!AC57&gt;0,1,0)</f>
        <v>0</v>
      </c>
      <c r="AI54">
        <f>IF('Pivot table values'!AD57&gt;0,1,0)</f>
        <v>0</v>
      </c>
      <c r="AJ54">
        <f>IF('Pivot table values'!AE57&gt;0,1,0)</f>
        <v>0</v>
      </c>
      <c r="AK54">
        <f>IF('Pivot table values'!AF57&gt;0,1,0)</f>
        <v>0</v>
      </c>
      <c r="AL54">
        <f>IF('Pivot table values'!AG57&gt;0,1,0)</f>
        <v>0</v>
      </c>
      <c r="AM54">
        <f>IF('Pivot table values'!AH57&gt;0,1,0)</f>
        <v>1</v>
      </c>
      <c r="AN54">
        <f>IF('Pivot table values'!AI57&gt;0,1,0)</f>
        <v>0</v>
      </c>
      <c r="AO54">
        <f>IF('Pivot table values'!AJ57&gt;0,1,0)</f>
        <v>0</v>
      </c>
      <c r="AP54">
        <f>IF('Pivot table values'!AK57&gt;0,1,0)</f>
        <v>0</v>
      </c>
      <c r="AQ54">
        <f>IF('Pivot table values'!AL57&gt;0,1,0)</f>
        <v>0</v>
      </c>
      <c r="AR54">
        <f>IF('Pivot table values'!AM57&gt;0,1,0)</f>
        <v>0</v>
      </c>
      <c r="AS54">
        <f>IF('Pivot table values'!AN57&gt;0,1,0)</f>
        <v>0</v>
      </c>
      <c r="AT54">
        <f>IF('Pivot table values'!AO57&gt;0,1,0)</f>
        <v>0</v>
      </c>
      <c r="AU54">
        <f>IF('Pivot table values'!AP57&gt;0,1,0)</f>
        <v>0</v>
      </c>
      <c r="AV54">
        <f>IF('Pivot table values'!AQ57&gt;0,1,0)</f>
        <v>0</v>
      </c>
      <c r="AW54">
        <f>IF('Pivot table values'!AR57&gt;0,1,0)</f>
        <v>0</v>
      </c>
      <c r="AX54">
        <f>IF('Pivot table values'!AS57&gt;0,1,0)</f>
        <v>0</v>
      </c>
      <c r="AY54">
        <f>IF('Pivot table values'!AT57&gt;0,1,0)</f>
        <v>0</v>
      </c>
      <c r="AZ54">
        <f>IF('Pivot table values'!AU57&gt;0,1,0)</f>
        <v>0</v>
      </c>
      <c r="BA54">
        <f>IF('Pivot table values'!AV57&gt;0,1,0)</f>
        <v>0</v>
      </c>
      <c r="BB54">
        <f>IF('Pivot table values'!AW57&gt;0,1,0)</f>
        <v>0</v>
      </c>
      <c r="BC54">
        <f>IF('Pivot table values'!AX57&gt;0,1,0)</f>
        <v>0</v>
      </c>
      <c r="BD54">
        <f>IF('Pivot table values'!AY57&gt;0,1,0)</f>
        <v>0</v>
      </c>
      <c r="BE54">
        <f>IF('Pivot table values'!AZ57&gt;0,1,0)</f>
        <v>0</v>
      </c>
      <c r="BF54">
        <f>IF('Pivot table values'!BA57&gt;0,1,0)</f>
        <v>0</v>
      </c>
      <c r="BG54">
        <f>IF('Pivot table values'!BB57&gt;0,1,0)</f>
        <v>0</v>
      </c>
      <c r="BH54">
        <f>IF('Pivot table values'!BC57&gt;0,1,0)</f>
        <v>0</v>
      </c>
      <c r="BI54">
        <f>IF('Pivot table values'!BD57&gt;0,1,0)</f>
        <v>0</v>
      </c>
      <c r="BJ54">
        <f>IF('Pivot table values'!BE57&gt;0,1,0)</f>
        <v>0</v>
      </c>
      <c r="BK54">
        <f>IF('Pivot table values'!BF57&gt;0,1,0)</f>
        <v>0</v>
      </c>
      <c r="BL54">
        <f>IF('Pivot table values'!BG57&gt;0,1,0)</f>
        <v>0</v>
      </c>
      <c r="BM54">
        <f>IF('Pivot table values'!BH57&gt;0,1,0)</f>
        <v>0</v>
      </c>
      <c r="BN54">
        <f>IF('Pivot table values'!BI57&gt;0,1,0)</f>
        <v>1</v>
      </c>
      <c r="BO54">
        <f>IF('Pivot table values'!BJ57&gt;0,1,0)</f>
        <v>0</v>
      </c>
      <c r="BP54">
        <f>IF('Pivot table values'!BK57&gt;0,1,0)</f>
        <v>0</v>
      </c>
      <c r="BQ54">
        <f>IF('Pivot table values'!BL57&gt;0,1,0)</f>
        <v>0</v>
      </c>
      <c r="BR54">
        <f>IF('Pivot table values'!BM57&gt;0,1,0)</f>
        <v>0</v>
      </c>
      <c r="BS54">
        <f>IF('Pivot table values'!BN57&gt;0,1,0)</f>
        <v>0</v>
      </c>
      <c r="BT54">
        <f>IF('Pivot table values'!BO57&gt;0,1,0)</f>
        <v>0</v>
      </c>
      <c r="BU54">
        <f>IF('Pivot table values'!BP57&gt;0,1,0)</f>
        <v>0</v>
      </c>
      <c r="BV54">
        <f>IF('Pivot table values'!BQ57&gt;0,1,0)</f>
        <v>0</v>
      </c>
      <c r="BW54">
        <f>IF('Pivot table values'!BR57&gt;0,1,0)</f>
        <v>0</v>
      </c>
      <c r="BX54">
        <f>IF('Pivot table values'!BS57&gt;0,1,0)</f>
        <v>0</v>
      </c>
      <c r="BY54">
        <f>IF('Pivot table values'!BT57&gt;0,1,0)</f>
        <v>0</v>
      </c>
      <c r="BZ54">
        <f>IF('Pivot table values'!BU57&gt;0,1,0)</f>
        <v>0</v>
      </c>
    </row>
    <row r="55" spans="1:78" x14ac:dyDescent="0.3">
      <c r="A55" s="4" t="s">
        <v>213</v>
      </c>
      <c r="B55" s="4"/>
      <c r="C55" s="4"/>
      <c r="D55" s="4"/>
      <c r="E55" s="4"/>
      <c r="F55" s="4">
        <f t="shared" si="0"/>
        <v>0</v>
      </c>
      <c r="G55">
        <f>IF('Pivot table values'!B59&gt;0,1,0)</f>
        <v>0</v>
      </c>
      <c r="H55">
        <f>IF('Pivot table values'!C59&gt;0,1,0)</f>
        <v>0</v>
      </c>
      <c r="I55">
        <f>IF('Pivot table values'!D59&gt;0,1,0)</f>
        <v>0</v>
      </c>
      <c r="J55">
        <f>IF('Pivot table values'!E59&gt;0,1,0)</f>
        <v>0</v>
      </c>
      <c r="K55">
        <f>IF('Pivot table values'!F59&gt;0,1,0)</f>
        <v>0</v>
      </c>
      <c r="L55">
        <f>IF('Pivot table values'!G59&gt;0,1,0)</f>
        <v>0</v>
      </c>
      <c r="M55">
        <f>IF('Pivot table values'!H59&gt;0,1,0)</f>
        <v>0</v>
      </c>
      <c r="N55">
        <f>IF('Pivot table values'!I59&gt;0,1,0)</f>
        <v>0</v>
      </c>
      <c r="O55">
        <f>IF('Pivot table values'!J59&gt;0,1,0)</f>
        <v>0</v>
      </c>
      <c r="P55">
        <f>IF('Pivot table values'!K59&gt;0,1,0)</f>
        <v>0</v>
      </c>
      <c r="Q55">
        <f>IF('Pivot table values'!L59&gt;0,1,0)</f>
        <v>0</v>
      </c>
      <c r="R55">
        <f>IF('Pivot table values'!M59&gt;0,1,0)</f>
        <v>0</v>
      </c>
      <c r="S55">
        <f>IF('Pivot table values'!N59&gt;0,1,0)</f>
        <v>0</v>
      </c>
      <c r="T55">
        <f>IF('Pivot table values'!O59&gt;0,1,0)</f>
        <v>0</v>
      </c>
      <c r="U55">
        <f>IF('Pivot table values'!P59&gt;0,1,0)</f>
        <v>0</v>
      </c>
      <c r="V55">
        <f>IF('Pivot table values'!Q59&gt;0,1,0)</f>
        <v>0</v>
      </c>
      <c r="W55">
        <f>IF('Pivot table values'!R59&gt;0,1,0)</f>
        <v>0</v>
      </c>
      <c r="X55">
        <f>IF('Pivot table values'!S59&gt;0,1,0)</f>
        <v>0</v>
      </c>
      <c r="Y55">
        <f>IF('Pivot table values'!T59&gt;0,1,0)</f>
        <v>0</v>
      </c>
      <c r="Z55">
        <f>IF('Pivot table values'!U59&gt;0,1,0)</f>
        <v>0</v>
      </c>
      <c r="AA55">
        <f>IF('Pivot table values'!V59&gt;0,1,0)</f>
        <v>0</v>
      </c>
      <c r="AB55">
        <f>IF('Pivot table values'!W59&gt;0,1,0)</f>
        <v>0</v>
      </c>
      <c r="AC55">
        <f>IF('Pivot table values'!X59&gt;0,1,0)</f>
        <v>0</v>
      </c>
      <c r="AD55">
        <f>IF('Pivot table values'!Y59&gt;0,1,0)</f>
        <v>0</v>
      </c>
      <c r="AE55">
        <f>IF('Pivot table values'!Z59&gt;0,1,0)</f>
        <v>0</v>
      </c>
      <c r="AF55">
        <f>IF('Pivot table values'!AA59&gt;0,1,0)</f>
        <v>0</v>
      </c>
      <c r="AG55">
        <f>IF('Pivot table values'!AB59&gt;0,1,0)</f>
        <v>0</v>
      </c>
      <c r="AH55">
        <f>IF('Pivot table values'!AC59&gt;0,1,0)</f>
        <v>0</v>
      </c>
      <c r="AI55">
        <f>IF('Pivot table values'!AD59&gt;0,1,0)</f>
        <v>0</v>
      </c>
      <c r="AJ55">
        <f>IF('Pivot table values'!AE59&gt;0,1,0)</f>
        <v>0</v>
      </c>
      <c r="AK55">
        <f>IF('Pivot table values'!AF59&gt;0,1,0)</f>
        <v>0</v>
      </c>
      <c r="AL55">
        <f>IF('Pivot table values'!AG59&gt;0,1,0)</f>
        <v>0</v>
      </c>
      <c r="AM55">
        <f>IF('Pivot table values'!AH59&gt;0,1,0)</f>
        <v>0</v>
      </c>
      <c r="AN55">
        <f>IF('Pivot table values'!AI59&gt;0,1,0)</f>
        <v>0</v>
      </c>
      <c r="AO55">
        <f>IF('Pivot table values'!AJ59&gt;0,1,0)</f>
        <v>0</v>
      </c>
      <c r="AP55">
        <f>IF('Pivot table values'!AK59&gt;0,1,0)</f>
        <v>0</v>
      </c>
      <c r="AQ55">
        <f>IF('Pivot table values'!AL59&gt;0,1,0)</f>
        <v>0</v>
      </c>
      <c r="AR55">
        <f>IF('Pivot table values'!AM59&gt;0,1,0)</f>
        <v>0</v>
      </c>
      <c r="AS55">
        <f>IF('Pivot table values'!AN59&gt;0,1,0)</f>
        <v>0</v>
      </c>
      <c r="AT55">
        <f>IF('Pivot table values'!AO59&gt;0,1,0)</f>
        <v>0</v>
      </c>
      <c r="AU55">
        <f>IF('Pivot table values'!AP59&gt;0,1,0)</f>
        <v>0</v>
      </c>
      <c r="AV55">
        <f>IF('Pivot table values'!AQ59&gt;0,1,0)</f>
        <v>0</v>
      </c>
      <c r="AW55">
        <f>IF('Pivot table values'!AR59&gt;0,1,0)</f>
        <v>0</v>
      </c>
      <c r="AX55">
        <f>IF('Pivot table values'!AS59&gt;0,1,0)</f>
        <v>0</v>
      </c>
      <c r="AY55">
        <f>IF('Pivot table values'!AT59&gt;0,1,0)</f>
        <v>0</v>
      </c>
      <c r="AZ55">
        <f>IF('Pivot table values'!AU59&gt;0,1,0)</f>
        <v>0</v>
      </c>
      <c r="BA55">
        <f>IF('Pivot table values'!AV59&gt;0,1,0)</f>
        <v>0</v>
      </c>
      <c r="BB55">
        <f>IF('Pivot table values'!AW59&gt;0,1,0)</f>
        <v>0</v>
      </c>
      <c r="BC55">
        <f>IF('Pivot table values'!AX59&gt;0,1,0)</f>
        <v>0</v>
      </c>
      <c r="BD55">
        <f>IF('Pivot table values'!AY59&gt;0,1,0)</f>
        <v>0</v>
      </c>
      <c r="BE55">
        <f>IF('Pivot table values'!AZ59&gt;0,1,0)</f>
        <v>0</v>
      </c>
      <c r="BF55">
        <f>IF('Pivot table values'!BA59&gt;0,1,0)</f>
        <v>0</v>
      </c>
      <c r="BG55">
        <f>IF('Pivot table values'!BB59&gt;0,1,0)</f>
        <v>0</v>
      </c>
      <c r="BH55">
        <f>IF('Pivot table values'!BC59&gt;0,1,0)</f>
        <v>0</v>
      </c>
      <c r="BI55">
        <f>IF('Pivot table values'!BD59&gt;0,1,0)</f>
        <v>0</v>
      </c>
      <c r="BJ55">
        <f>IF('Pivot table values'!BE59&gt;0,1,0)</f>
        <v>0</v>
      </c>
      <c r="BK55">
        <f>IF('Pivot table values'!BF59&gt;0,1,0)</f>
        <v>0</v>
      </c>
      <c r="BL55">
        <f>IF('Pivot table values'!BG59&gt;0,1,0)</f>
        <v>0</v>
      </c>
      <c r="BM55">
        <f>IF('Pivot table values'!BH59&gt;0,1,0)</f>
        <v>0</v>
      </c>
      <c r="BN55">
        <f>IF('Pivot table values'!BI59&gt;0,1,0)</f>
        <v>0</v>
      </c>
      <c r="BO55">
        <f>IF('Pivot table values'!BJ59&gt;0,1,0)</f>
        <v>0</v>
      </c>
      <c r="BP55">
        <f>IF('Pivot table values'!BK59&gt;0,1,0)</f>
        <v>0</v>
      </c>
      <c r="BQ55">
        <f>IF('Pivot table values'!BL59&gt;0,1,0)</f>
        <v>0</v>
      </c>
      <c r="BR55">
        <f>IF('Pivot table values'!BM59&gt;0,1,0)</f>
        <v>0</v>
      </c>
      <c r="BS55">
        <f>IF('Pivot table values'!BN59&gt;0,1,0)</f>
        <v>0</v>
      </c>
      <c r="BT55">
        <f>IF('Pivot table values'!BO59&gt;0,1,0)</f>
        <v>0</v>
      </c>
      <c r="BU55">
        <f>IF('Pivot table values'!BP59&gt;0,1,0)</f>
        <v>0</v>
      </c>
      <c r="BV55">
        <f>IF('Pivot table values'!BQ59&gt;0,1,0)</f>
        <v>0</v>
      </c>
      <c r="BW55">
        <f>IF('Pivot table values'!BR59&gt;0,1,0)</f>
        <v>0</v>
      </c>
      <c r="BX55">
        <f>IF('Pivot table values'!BS59&gt;0,1,0)</f>
        <v>0</v>
      </c>
      <c r="BY55">
        <f>IF('Pivot table values'!BT59&gt;0,1,0)</f>
        <v>0</v>
      </c>
      <c r="BZ55">
        <f>IF('Pivot table values'!BU59&gt;0,1,0)</f>
        <v>0</v>
      </c>
    </row>
    <row r="56" spans="1:78" x14ac:dyDescent="0.3">
      <c r="A56" s="4" t="s">
        <v>214</v>
      </c>
      <c r="B56" s="4"/>
      <c r="C56" s="4"/>
      <c r="D56" s="4"/>
      <c r="E56" s="4"/>
      <c r="F56" s="4">
        <f t="shared" si="0"/>
        <v>64</v>
      </c>
      <c r="G56">
        <f>IF('Pivot table values'!B60&gt;0,1,0)</f>
        <v>1</v>
      </c>
      <c r="H56">
        <f>IF('Pivot table values'!C60&gt;0,1,0)</f>
        <v>1</v>
      </c>
      <c r="I56">
        <f>IF('Pivot table values'!D60&gt;0,1,0)</f>
        <v>1</v>
      </c>
      <c r="J56">
        <f>IF('Pivot table values'!E60&gt;0,1,0)</f>
        <v>1</v>
      </c>
      <c r="K56">
        <f>IF('Pivot table values'!F60&gt;0,1,0)</f>
        <v>1</v>
      </c>
      <c r="L56">
        <f>IF('Pivot table values'!G60&gt;0,1,0)</f>
        <v>1</v>
      </c>
      <c r="M56">
        <f>IF('Pivot table values'!H60&gt;0,1,0)</f>
        <v>1</v>
      </c>
      <c r="N56">
        <f>IF('Pivot table values'!I60&gt;0,1,0)</f>
        <v>1</v>
      </c>
      <c r="O56">
        <f>IF('Pivot table values'!J60&gt;0,1,0)</f>
        <v>1</v>
      </c>
      <c r="P56">
        <f>IF('Pivot table values'!K60&gt;0,1,0)</f>
        <v>1</v>
      </c>
      <c r="Q56">
        <f>IF('Pivot table values'!L60&gt;0,1,0)</f>
        <v>0</v>
      </c>
      <c r="R56">
        <f>IF('Pivot table values'!M60&gt;0,1,0)</f>
        <v>1</v>
      </c>
      <c r="S56">
        <f>IF('Pivot table values'!N60&gt;0,1,0)</f>
        <v>1</v>
      </c>
      <c r="T56">
        <f>IF('Pivot table values'!O60&gt;0,1,0)</f>
        <v>1</v>
      </c>
      <c r="U56">
        <f>IF('Pivot table values'!P60&gt;0,1,0)</f>
        <v>0</v>
      </c>
      <c r="V56">
        <f>IF('Pivot table values'!Q60&gt;0,1,0)</f>
        <v>1</v>
      </c>
      <c r="W56">
        <f>IF('Pivot table values'!R60&gt;0,1,0)</f>
        <v>1</v>
      </c>
      <c r="X56">
        <f>IF('Pivot table values'!S60&gt;0,1,0)</f>
        <v>1</v>
      </c>
      <c r="Y56">
        <f>IF('Pivot table values'!T60&gt;0,1,0)</f>
        <v>1</v>
      </c>
      <c r="Z56">
        <f>IF('Pivot table values'!U60&gt;0,1,0)</f>
        <v>1</v>
      </c>
      <c r="AA56">
        <f>IF('Pivot table values'!V60&gt;0,1,0)</f>
        <v>1</v>
      </c>
      <c r="AB56">
        <f>IF('Pivot table values'!W60&gt;0,1,0)</f>
        <v>1</v>
      </c>
      <c r="AC56">
        <f>IF('Pivot table values'!X60&gt;0,1,0)</f>
        <v>1</v>
      </c>
      <c r="AD56">
        <f>IF('Pivot table values'!Y60&gt;0,1,0)</f>
        <v>1</v>
      </c>
      <c r="AE56">
        <f>IF('Pivot table values'!Z60&gt;0,1,0)</f>
        <v>1</v>
      </c>
      <c r="AF56">
        <f>IF('Pivot table values'!AA60&gt;0,1,0)</f>
        <v>1</v>
      </c>
      <c r="AG56">
        <f>IF('Pivot table values'!AB60&gt;0,1,0)</f>
        <v>1</v>
      </c>
      <c r="AH56">
        <f>IF('Pivot table values'!AC60&gt;0,1,0)</f>
        <v>1</v>
      </c>
      <c r="AI56">
        <f>IF('Pivot table values'!AD60&gt;0,1,0)</f>
        <v>1</v>
      </c>
      <c r="AJ56">
        <f>IF('Pivot table values'!AE60&gt;0,1,0)</f>
        <v>1</v>
      </c>
      <c r="AK56">
        <f>IF('Pivot table values'!AF60&gt;0,1,0)</f>
        <v>1</v>
      </c>
      <c r="AL56">
        <f>IF('Pivot table values'!AG60&gt;0,1,0)</f>
        <v>1</v>
      </c>
      <c r="AM56">
        <f>IF('Pivot table values'!AH60&gt;0,1,0)</f>
        <v>1</v>
      </c>
      <c r="AN56">
        <f>IF('Pivot table values'!AI60&gt;0,1,0)</f>
        <v>1</v>
      </c>
      <c r="AO56">
        <f>IF('Pivot table values'!AJ60&gt;0,1,0)</f>
        <v>1</v>
      </c>
      <c r="AP56">
        <f>IF('Pivot table values'!AK60&gt;0,1,0)</f>
        <v>1</v>
      </c>
      <c r="AQ56">
        <f>IF('Pivot table values'!AL60&gt;0,1,0)</f>
        <v>0</v>
      </c>
      <c r="AR56">
        <f>IF('Pivot table values'!AM60&gt;0,1,0)</f>
        <v>1</v>
      </c>
      <c r="AS56">
        <f>IF('Pivot table values'!AN60&gt;0,1,0)</f>
        <v>1</v>
      </c>
      <c r="AT56">
        <f>IF('Pivot table values'!AO60&gt;0,1,0)</f>
        <v>1</v>
      </c>
      <c r="AU56">
        <f>IF('Pivot table values'!AP60&gt;0,1,0)</f>
        <v>1</v>
      </c>
      <c r="AV56">
        <f>IF('Pivot table values'!AQ60&gt;0,1,0)</f>
        <v>0</v>
      </c>
      <c r="AW56">
        <f>IF('Pivot table values'!AR60&gt;0,1,0)</f>
        <v>1</v>
      </c>
      <c r="AX56">
        <f>IF('Pivot table values'!AS60&gt;0,1,0)</f>
        <v>1</v>
      </c>
      <c r="AY56">
        <f>IF('Pivot table values'!AT60&gt;0,1,0)</f>
        <v>1</v>
      </c>
      <c r="AZ56">
        <f>IF('Pivot table values'!AU60&gt;0,1,0)</f>
        <v>1</v>
      </c>
      <c r="BA56">
        <f>IF('Pivot table values'!AV60&gt;0,1,0)</f>
        <v>1</v>
      </c>
      <c r="BB56">
        <f>IF('Pivot table values'!AW60&gt;0,1,0)</f>
        <v>1</v>
      </c>
      <c r="BC56">
        <f>IF('Pivot table values'!AX60&gt;0,1,0)</f>
        <v>1</v>
      </c>
      <c r="BD56">
        <f>IF('Pivot table values'!AY60&gt;0,1,0)</f>
        <v>0</v>
      </c>
      <c r="BE56">
        <f>IF('Pivot table values'!AZ60&gt;0,1,0)</f>
        <v>1</v>
      </c>
      <c r="BF56">
        <f>IF('Pivot table values'!BA60&gt;0,1,0)</f>
        <v>0</v>
      </c>
      <c r="BG56">
        <f>IF('Pivot table values'!BB60&gt;0,1,0)</f>
        <v>1</v>
      </c>
      <c r="BH56">
        <f>IF('Pivot table values'!BC60&gt;0,1,0)</f>
        <v>1</v>
      </c>
      <c r="BI56">
        <f>IF('Pivot table values'!BD60&gt;0,1,0)</f>
        <v>1</v>
      </c>
      <c r="BJ56">
        <f>IF('Pivot table values'!BE60&gt;0,1,0)</f>
        <v>1</v>
      </c>
      <c r="BK56">
        <f>IF('Pivot table values'!BF60&gt;0,1,0)</f>
        <v>1</v>
      </c>
      <c r="BL56">
        <f>IF('Pivot table values'!BG60&gt;0,1,0)</f>
        <v>1</v>
      </c>
      <c r="BM56">
        <f>IF('Pivot table values'!BH60&gt;0,1,0)</f>
        <v>1</v>
      </c>
      <c r="BN56">
        <f>IF('Pivot table values'!BI60&gt;0,1,0)</f>
        <v>1</v>
      </c>
      <c r="BO56">
        <f>IF('Pivot table values'!BJ60&gt;0,1,0)</f>
        <v>1</v>
      </c>
      <c r="BP56">
        <f>IF('Pivot table values'!BK60&gt;0,1,0)</f>
        <v>1</v>
      </c>
      <c r="BQ56">
        <f>IF('Pivot table values'!BL60&gt;0,1,0)</f>
        <v>1</v>
      </c>
      <c r="BR56">
        <f>IF('Pivot table values'!BM60&gt;0,1,0)</f>
        <v>1</v>
      </c>
      <c r="BS56">
        <f>IF('Pivot table values'!BN60&gt;0,1,0)</f>
        <v>0</v>
      </c>
      <c r="BT56">
        <f>IF('Pivot table values'!BO60&gt;0,1,0)</f>
        <v>1</v>
      </c>
      <c r="BU56">
        <f>IF('Pivot table values'!BP60&gt;0,1,0)</f>
        <v>1</v>
      </c>
      <c r="BV56">
        <f>IF('Pivot table values'!BQ60&gt;0,1,0)</f>
        <v>0</v>
      </c>
      <c r="BW56">
        <f>IF('Pivot table values'!BR60&gt;0,1,0)</f>
        <v>1</v>
      </c>
      <c r="BX56">
        <f>IF('Pivot table values'!BS60&gt;0,1,0)</f>
        <v>1</v>
      </c>
      <c r="BY56">
        <f>IF('Pivot table values'!BT60&gt;0,1,0)</f>
        <v>1</v>
      </c>
      <c r="BZ56">
        <f>IF('Pivot table values'!BU60&gt;0,1,0)</f>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47509-72DE-4D8D-A1D3-6F0FBFDFB018}">
  <dimension ref="A1:E62"/>
  <sheetViews>
    <sheetView topLeftCell="A50" workbookViewId="0">
      <selection activeCell="E64" sqref="E64"/>
    </sheetView>
  </sheetViews>
  <sheetFormatPr defaultRowHeight="14.4" x14ac:dyDescent="0.3"/>
  <cols>
    <col min="2" max="2" width="18.88671875" customWidth="1"/>
  </cols>
  <sheetData>
    <row r="1" spans="1:5" x14ac:dyDescent="0.3">
      <c r="A1" t="s">
        <v>287</v>
      </c>
      <c r="B1" t="s">
        <v>0</v>
      </c>
      <c r="C1" t="s">
        <v>2</v>
      </c>
      <c r="D1" t="s">
        <v>3</v>
      </c>
      <c r="E1" t="s">
        <v>4</v>
      </c>
    </row>
    <row r="2" spans="1:5" x14ac:dyDescent="0.3">
      <c r="A2" t="s">
        <v>178</v>
      </c>
      <c r="B2" t="s">
        <v>5</v>
      </c>
      <c r="C2" t="s">
        <v>6</v>
      </c>
      <c r="D2" t="s">
        <v>7</v>
      </c>
      <c r="E2" t="s">
        <v>8</v>
      </c>
    </row>
    <row r="3" spans="1:5" x14ac:dyDescent="0.3">
      <c r="A3" t="s">
        <v>195</v>
      </c>
      <c r="B3" t="s">
        <v>394</v>
      </c>
      <c r="C3" t="s">
        <v>10</v>
      </c>
      <c r="D3" t="s">
        <v>11</v>
      </c>
      <c r="E3" t="s">
        <v>382</v>
      </c>
    </row>
    <row r="4" spans="1:5" x14ac:dyDescent="0.3">
      <c r="A4" t="s">
        <v>198</v>
      </c>
      <c r="B4" t="s">
        <v>9</v>
      </c>
      <c r="C4" t="s">
        <v>10</v>
      </c>
      <c r="D4" t="s">
        <v>11</v>
      </c>
      <c r="E4" t="s">
        <v>12</v>
      </c>
    </row>
    <row r="5" spans="1:5" x14ac:dyDescent="0.3">
      <c r="A5" t="s">
        <v>163</v>
      </c>
      <c r="B5" t="s">
        <v>13</v>
      </c>
      <c r="C5" t="s">
        <v>6</v>
      </c>
      <c r="D5" t="s">
        <v>7</v>
      </c>
      <c r="E5" t="s">
        <v>14</v>
      </c>
    </row>
    <row r="6" spans="1:5" x14ac:dyDescent="0.3">
      <c r="A6" t="s">
        <v>192</v>
      </c>
      <c r="B6" t="s">
        <v>15</v>
      </c>
      <c r="C6" t="s">
        <v>10</v>
      </c>
      <c r="D6" t="s">
        <v>16</v>
      </c>
      <c r="E6" t="s">
        <v>14</v>
      </c>
    </row>
    <row r="7" spans="1:5" x14ac:dyDescent="0.3">
      <c r="A7" t="s">
        <v>331</v>
      </c>
      <c r="B7" t="s">
        <v>17</v>
      </c>
      <c r="C7" t="s">
        <v>10</v>
      </c>
      <c r="D7" t="s">
        <v>11</v>
      </c>
      <c r="E7" t="s">
        <v>8</v>
      </c>
    </row>
    <row r="8" spans="1:5" x14ac:dyDescent="0.3">
      <c r="A8" t="s">
        <v>164</v>
      </c>
      <c r="B8" t="s">
        <v>18</v>
      </c>
      <c r="C8" t="s">
        <v>10</v>
      </c>
      <c r="D8" t="s">
        <v>16</v>
      </c>
      <c r="E8" t="s">
        <v>14</v>
      </c>
    </row>
    <row r="9" spans="1:5" x14ac:dyDescent="0.3">
      <c r="A9" t="s">
        <v>177</v>
      </c>
      <c r="B9" t="s">
        <v>19</v>
      </c>
      <c r="C9" t="s">
        <v>6</v>
      </c>
      <c r="D9" t="s">
        <v>7</v>
      </c>
      <c r="E9" t="s">
        <v>14</v>
      </c>
    </row>
    <row r="10" spans="1:5" x14ac:dyDescent="0.3">
      <c r="A10" t="s">
        <v>186</v>
      </c>
      <c r="B10" t="s">
        <v>20</v>
      </c>
      <c r="C10" t="s">
        <v>10</v>
      </c>
      <c r="D10" t="s">
        <v>11</v>
      </c>
      <c r="E10" t="s">
        <v>12</v>
      </c>
    </row>
    <row r="11" spans="1:5" x14ac:dyDescent="0.3">
      <c r="A11" t="s">
        <v>182</v>
      </c>
      <c r="B11" t="s">
        <v>21</v>
      </c>
      <c r="C11" t="s">
        <v>10</v>
      </c>
      <c r="D11" t="s">
        <v>16</v>
      </c>
      <c r="E11" t="s">
        <v>8</v>
      </c>
    </row>
    <row r="12" spans="1:5" x14ac:dyDescent="0.3">
      <c r="A12" t="s">
        <v>166</v>
      </c>
      <c r="B12" t="s">
        <v>22</v>
      </c>
      <c r="C12" t="s">
        <v>10</v>
      </c>
      <c r="D12" t="s">
        <v>16</v>
      </c>
      <c r="E12" t="s">
        <v>14</v>
      </c>
    </row>
    <row r="13" spans="1:5" x14ac:dyDescent="0.3">
      <c r="A13" t="s">
        <v>154</v>
      </c>
      <c r="B13" t="s">
        <v>23</v>
      </c>
      <c r="C13" t="s">
        <v>10</v>
      </c>
      <c r="D13" t="s">
        <v>11</v>
      </c>
      <c r="E13" t="s">
        <v>12</v>
      </c>
    </row>
    <row r="14" spans="1:5" x14ac:dyDescent="0.3">
      <c r="A14" t="s">
        <v>189</v>
      </c>
      <c r="B14" t="s">
        <v>24</v>
      </c>
      <c r="C14" t="s">
        <v>10</v>
      </c>
      <c r="D14" t="s">
        <v>11</v>
      </c>
      <c r="E14" t="s">
        <v>8</v>
      </c>
    </row>
    <row r="15" spans="1:5" x14ac:dyDescent="0.3">
      <c r="A15" t="s">
        <v>172</v>
      </c>
      <c r="B15" t="s">
        <v>25</v>
      </c>
      <c r="C15" t="s">
        <v>10</v>
      </c>
      <c r="D15" t="s">
        <v>11</v>
      </c>
      <c r="E15" t="s">
        <v>8</v>
      </c>
    </row>
    <row r="16" spans="1:5" x14ac:dyDescent="0.3">
      <c r="A16" t="s">
        <v>155</v>
      </c>
      <c r="B16" t="s">
        <v>26</v>
      </c>
      <c r="C16" t="s">
        <v>10</v>
      </c>
      <c r="D16" t="s">
        <v>11</v>
      </c>
      <c r="E16" t="s">
        <v>12</v>
      </c>
    </row>
    <row r="17" spans="1:5" x14ac:dyDescent="0.3">
      <c r="A17" t="s">
        <v>167</v>
      </c>
      <c r="B17" t="s">
        <v>27</v>
      </c>
      <c r="C17" t="s">
        <v>10</v>
      </c>
      <c r="D17" t="s">
        <v>16</v>
      </c>
      <c r="E17" t="s">
        <v>8</v>
      </c>
    </row>
    <row r="18" spans="1:5" x14ac:dyDescent="0.3">
      <c r="A18" t="s">
        <v>208</v>
      </c>
      <c r="B18" t="s">
        <v>28</v>
      </c>
      <c r="C18" t="s">
        <v>10</v>
      </c>
      <c r="D18" t="s">
        <v>11</v>
      </c>
      <c r="E18" t="s">
        <v>12</v>
      </c>
    </row>
    <row r="19" spans="1:5" x14ac:dyDescent="0.3">
      <c r="A19" t="s">
        <v>209</v>
      </c>
      <c r="B19" t="s">
        <v>29</v>
      </c>
      <c r="C19" t="s">
        <v>10</v>
      </c>
      <c r="D19" t="s">
        <v>11</v>
      </c>
      <c r="E19" t="s">
        <v>30</v>
      </c>
    </row>
    <row r="20" spans="1:5" x14ac:dyDescent="0.3">
      <c r="A20" t="s">
        <v>211</v>
      </c>
      <c r="B20" t="s">
        <v>31</v>
      </c>
      <c r="C20" t="s">
        <v>10</v>
      </c>
      <c r="D20" t="s">
        <v>11</v>
      </c>
      <c r="E20" t="s">
        <v>12</v>
      </c>
    </row>
    <row r="21" spans="1:5" x14ac:dyDescent="0.3">
      <c r="A21" t="s">
        <v>169</v>
      </c>
      <c r="B21" t="s">
        <v>32</v>
      </c>
      <c r="C21" t="s">
        <v>6</v>
      </c>
      <c r="D21" t="s">
        <v>33</v>
      </c>
      <c r="E21" t="s">
        <v>12</v>
      </c>
    </row>
    <row r="22" spans="1:5" x14ac:dyDescent="0.3">
      <c r="A22" t="s">
        <v>180</v>
      </c>
      <c r="B22" t="s">
        <v>34</v>
      </c>
      <c r="C22" t="s">
        <v>6</v>
      </c>
      <c r="D22" t="s">
        <v>7</v>
      </c>
      <c r="E22" t="s">
        <v>30</v>
      </c>
    </row>
    <row r="23" spans="1:5" x14ac:dyDescent="0.3">
      <c r="A23" t="s">
        <v>181</v>
      </c>
      <c r="B23" t="s">
        <v>35</v>
      </c>
      <c r="C23" t="s">
        <v>10</v>
      </c>
      <c r="D23" t="s">
        <v>11</v>
      </c>
      <c r="E23" t="s">
        <v>12</v>
      </c>
    </row>
    <row r="24" spans="1:5" x14ac:dyDescent="0.3">
      <c r="A24" t="s">
        <v>165</v>
      </c>
      <c r="B24" t="s">
        <v>36</v>
      </c>
      <c r="C24" t="s">
        <v>6</v>
      </c>
      <c r="D24" t="s">
        <v>7</v>
      </c>
      <c r="E24" t="s">
        <v>8</v>
      </c>
    </row>
    <row r="25" spans="1:5" x14ac:dyDescent="0.3">
      <c r="A25" t="s">
        <v>191</v>
      </c>
      <c r="B25" t="s">
        <v>37</v>
      </c>
      <c r="C25" t="s">
        <v>6</v>
      </c>
      <c r="D25" t="s">
        <v>7</v>
      </c>
      <c r="E25" t="s">
        <v>30</v>
      </c>
    </row>
    <row r="26" spans="1:5" x14ac:dyDescent="0.3">
      <c r="A26" t="s">
        <v>184</v>
      </c>
      <c r="B26" t="s">
        <v>38</v>
      </c>
      <c r="C26" t="s">
        <v>6</v>
      </c>
      <c r="D26" t="s">
        <v>7</v>
      </c>
      <c r="E26" t="s">
        <v>8</v>
      </c>
    </row>
    <row r="27" spans="1:5" x14ac:dyDescent="0.3">
      <c r="A27" t="s">
        <v>200</v>
      </c>
      <c r="B27" t="s">
        <v>39</v>
      </c>
      <c r="C27" t="s">
        <v>6</v>
      </c>
      <c r="D27" t="s">
        <v>7</v>
      </c>
      <c r="E27" t="s">
        <v>8</v>
      </c>
    </row>
    <row r="28" spans="1:5" x14ac:dyDescent="0.3">
      <c r="A28" t="s">
        <v>373</v>
      </c>
      <c r="B28" t="s">
        <v>40</v>
      </c>
      <c r="C28" t="s">
        <v>6</v>
      </c>
      <c r="D28" t="s">
        <v>7</v>
      </c>
      <c r="E28" t="s">
        <v>8</v>
      </c>
    </row>
    <row r="29" spans="1:5" x14ac:dyDescent="0.3">
      <c r="A29" t="s">
        <v>171</v>
      </c>
      <c r="B29" t="s">
        <v>41</v>
      </c>
      <c r="C29" t="s">
        <v>10</v>
      </c>
      <c r="D29" t="s">
        <v>11</v>
      </c>
      <c r="E29" t="s">
        <v>12</v>
      </c>
    </row>
    <row r="30" spans="1:5" x14ac:dyDescent="0.3">
      <c r="A30" t="s">
        <v>383</v>
      </c>
      <c r="B30" t="s">
        <v>42</v>
      </c>
      <c r="C30" t="s">
        <v>6</v>
      </c>
      <c r="D30" t="s">
        <v>7</v>
      </c>
      <c r="E30" t="s">
        <v>14</v>
      </c>
    </row>
    <row r="31" spans="1:5" x14ac:dyDescent="0.3">
      <c r="A31" t="s">
        <v>330</v>
      </c>
      <c r="B31" t="s">
        <v>43</v>
      </c>
      <c r="C31" t="s">
        <v>10</v>
      </c>
      <c r="D31" t="s">
        <v>16</v>
      </c>
      <c r="E31" t="s">
        <v>30</v>
      </c>
    </row>
    <row r="32" spans="1:5" x14ac:dyDescent="0.3">
      <c r="A32" t="s">
        <v>193</v>
      </c>
      <c r="B32" t="s">
        <v>44</v>
      </c>
      <c r="C32" t="s">
        <v>10</v>
      </c>
      <c r="D32" t="s">
        <v>16</v>
      </c>
      <c r="E32" t="s">
        <v>14</v>
      </c>
    </row>
    <row r="33" spans="1:5" x14ac:dyDescent="0.3">
      <c r="A33" t="s">
        <v>168</v>
      </c>
      <c r="B33" t="s">
        <v>45</v>
      </c>
      <c r="C33" t="s">
        <v>10</v>
      </c>
      <c r="D33" t="s">
        <v>16</v>
      </c>
      <c r="E33" t="s">
        <v>30</v>
      </c>
    </row>
    <row r="34" spans="1:5" x14ac:dyDescent="0.3">
      <c r="A34" t="s">
        <v>202</v>
      </c>
      <c r="B34" t="s">
        <v>46</v>
      </c>
      <c r="C34" t="s">
        <v>10</v>
      </c>
      <c r="D34" t="s">
        <v>16</v>
      </c>
      <c r="E34" t="s">
        <v>30</v>
      </c>
    </row>
    <row r="35" spans="1:5" x14ac:dyDescent="0.3">
      <c r="A35" t="s">
        <v>338</v>
      </c>
      <c r="B35" t="s">
        <v>47</v>
      </c>
      <c r="C35" t="s">
        <v>10</v>
      </c>
      <c r="D35" t="s">
        <v>16</v>
      </c>
      <c r="E35" t="s">
        <v>14</v>
      </c>
    </row>
    <row r="36" spans="1:5" x14ac:dyDescent="0.3">
      <c r="A36" t="s">
        <v>170</v>
      </c>
      <c r="B36" t="s">
        <v>48</v>
      </c>
      <c r="C36" t="s">
        <v>10</v>
      </c>
      <c r="D36" t="s">
        <v>11</v>
      </c>
      <c r="E36" t="s">
        <v>12</v>
      </c>
    </row>
    <row r="37" spans="1:5" x14ac:dyDescent="0.3">
      <c r="A37" t="s">
        <v>158</v>
      </c>
      <c r="B37" t="s">
        <v>49</v>
      </c>
      <c r="C37" t="s">
        <v>10</v>
      </c>
      <c r="D37" t="s">
        <v>16</v>
      </c>
      <c r="E37" t="s">
        <v>8</v>
      </c>
    </row>
    <row r="38" spans="1:5" x14ac:dyDescent="0.3">
      <c r="A38" t="s">
        <v>204</v>
      </c>
      <c r="B38" t="s">
        <v>50</v>
      </c>
      <c r="C38" t="s">
        <v>10</v>
      </c>
      <c r="D38" t="s">
        <v>16</v>
      </c>
      <c r="E38" t="s">
        <v>14</v>
      </c>
    </row>
    <row r="39" spans="1:5" x14ac:dyDescent="0.3">
      <c r="A39" t="s">
        <v>196</v>
      </c>
      <c r="B39" t="s">
        <v>51</v>
      </c>
      <c r="C39" t="s">
        <v>10</v>
      </c>
      <c r="D39" t="s">
        <v>16</v>
      </c>
      <c r="E39" t="s">
        <v>30</v>
      </c>
    </row>
    <row r="40" spans="1:5" x14ac:dyDescent="0.3">
      <c r="A40" t="s">
        <v>206</v>
      </c>
      <c r="B40" t="s">
        <v>52</v>
      </c>
      <c r="C40" t="s">
        <v>10</v>
      </c>
      <c r="D40" t="s">
        <v>11</v>
      </c>
      <c r="E40" t="s">
        <v>14</v>
      </c>
    </row>
    <row r="41" spans="1:5" x14ac:dyDescent="0.3">
      <c r="A41" t="s">
        <v>203</v>
      </c>
      <c r="B41" t="s">
        <v>53</v>
      </c>
      <c r="C41" t="s">
        <v>10</v>
      </c>
      <c r="D41" t="s">
        <v>16</v>
      </c>
      <c r="E41" t="s">
        <v>8</v>
      </c>
    </row>
    <row r="42" spans="1:5" x14ac:dyDescent="0.3">
      <c r="A42" t="s">
        <v>387</v>
      </c>
      <c r="B42" t="s">
        <v>54</v>
      </c>
      <c r="C42" t="s">
        <v>6</v>
      </c>
      <c r="D42" t="s">
        <v>33</v>
      </c>
      <c r="E42" t="s">
        <v>14</v>
      </c>
    </row>
    <row r="43" spans="1:5" x14ac:dyDescent="0.3">
      <c r="A43" t="s">
        <v>183</v>
      </c>
      <c r="B43" t="s">
        <v>55</v>
      </c>
      <c r="C43" t="s">
        <v>10</v>
      </c>
      <c r="D43" t="s">
        <v>11</v>
      </c>
      <c r="E43" t="s">
        <v>14</v>
      </c>
    </row>
    <row r="44" spans="1:5" x14ac:dyDescent="0.3">
      <c r="A44" t="s">
        <v>187</v>
      </c>
      <c r="B44" t="s">
        <v>56</v>
      </c>
      <c r="C44" t="s">
        <v>10</v>
      </c>
      <c r="D44" t="s">
        <v>16</v>
      </c>
      <c r="E44" t="s">
        <v>30</v>
      </c>
    </row>
    <row r="45" spans="1:5" x14ac:dyDescent="0.3">
      <c r="A45" t="s">
        <v>173</v>
      </c>
      <c r="B45" t="s">
        <v>57</v>
      </c>
      <c r="C45" t="s">
        <v>10</v>
      </c>
      <c r="D45" t="s">
        <v>16</v>
      </c>
      <c r="E45" t="s">
        <v>14</v>
      </c>
    </row>
    <row r="46" spans="1:5" x14ac:dyDescent="0.3">
      <c r="A46" t="s">
        <v>159</v>
      </c>
      <c r="B46" t="s">
        <v>58</v>
      </c>
      <c r="C46" t="s">
        <v>10</v>
      </c>
      <c r="D46" t="s">
        <v>11</v>
      </c>
      <c r="E46" t="s">
        <v>12</v>
      </c>
    </row>
    <row r="47" spans="1:5" x14ac:dyDescent="0.3">
      <c r="A47" t="s">
        <v>321</v>
      </c>
      <c r="B47" t="s">
        <v>59</v>
      </c>
      <c r="C47" t="s">
        <v>10</v>
      </c>
      <c r="D47" t="s">
        <v>16</v>
      </c>
      <c r="E47" t="s">
        <v>8</v>
      </c>
    </row>
    <row r="48" spans="1:5" x14ac:dyDescent="0.3">
      <c r="A48" t="s">
        <v>176</v>
      </c>
      <c r="B48" t="s">
        <v>60</v>
      </c>
      <c r="C48" t="s">
        <v>6</v>
      </c>
      <c r="D48" t="s">
        <v>33</v>
      </c>
      <c r="E48" t="s">
        <v>14</v>
      </c>
    </row>
    <row r="49" spans="1:5" x14ac:dyDescent="0.3">
      <c r="A49" t="s">
        <v>205</v>
      </c>
      <c r="B49" t="s">
        <v>61</v>
      </c>
      <c r="C49" t="s">
        <v>10</v>
      </c>
      <c r="D49" t="s">
        <v>16</v>
      </c>
      <c r="E49" t="s">
        <v>14</v>
      </c>
    </row>
    <row r="50" spans="1:5" x14ac:dyDescent="0.3">
      <c r="A50" t="s">
        <v>375</v>
      </c>
      <c r="B50" t="s">
        <v>62</v>
      </c>
      <c r="C50" t="s">
        <v>6</v>
      </c>
      <c r="D50" t="s">
        <v>7</v>
      </c>
      <c r="E50" t="s">
        <v>8</v>
      </c>
    </row>
    <row r="51" spans="1:5" x14ac:dyDescent="0.3">
      <c r="A51" t="s">
        <v>157</v>
      </c>
      <c r="B51" t="s">
        <v>63</v>
      </c>
      <c r="C51" t="s">
        <v>6</v>
      </c>
      <c r="D51" t="s">
        <v>7</v>
      </c>
      <c r="E51" t="s">
        <v>8</v>
      </c>
    </row>
    <row r="52" spans="1:5" x14ac:dyDescent="0.3">
      <c r="A52" t="s">
        <v>194</v>
      </c>
      <c r="B52" t="s">
        <v>64</v>
      </c>
      <c r="C52" t="s">
        <v>10</v>
      </c>
      <c r="D52" t="s">
        <v>16</v>
      </c>
      <c r="E52" t="s">
        <v>8</v>
      </c>
    </row>
    <row r="53" spans="1:5" x14ac:dyDescent="0.3">
      <c r="A53" t="s">
        <v>151</v>
      </c>
      <c r="B53" t="s">
        <v>65</v>
      </c>
      <c r="C53" t="s">
        <v>6</v>
      </c>
      <c r="D53" t="s">
        <v>33</v>
      </c>
      <c r="E53" t="s">
        <v>12</v>
      </c>
    </row>
    <row r="54" spans="1:5" x14ac:dyDescent="0.3">
      <c r="A54" t="s">
        <v>156</v>
      </c>
      <c r="B54" t="s">
        <v>66</v>
      </c>
      <c r="C54" t="s">
        <v>10</v>
      </c>
      <c r="D54" t="s">
        <v>16</v>
      </c>
      <c r="E54" t="s">
        <v>30</v>
      </c>
    </row>
    <row r="55" spans="1:5" x14ac:dyDescent="0.3">
      <c r="A55" t="s">
        <v>174</v>
      </c>
      <c r="B55" t="s">
        <v>67</v>
      </c>
      <c r="C55" t="s">
        <v>10</v>
      </c>
      <c r="D55" t="s">
        <v>16</v>
      </c>
      <c r="E55" t="s">
        <v>12</v>
      </c>
    </row>
    <row r="56" spans="1:5" x14ac:dyDescent="0.3">
      <c r="A56" t="s">
        <v>185</v>
      </c>
      <c r="B56" t="s">
        <v>68</v>
      </c>
      <c r="C56" t="s">
        <v>10</v>
      </c>
      <c r="D56" t="s">
        <v>16</v>
      </c>
      <c r="E56" t="s">
        <v>8</v>
      </c>
    </row>
    <row r="57" spans="1:5" x14ac:dyDescent="0.3">
      <c r="A57" t="s">
        <v>199</v>
      </c>
      <c r="B57" t="s">
        <v>69</v>
      </c>
      <c r="C57" t="s">
        <v>10</v>
      </c>
      <c r="D57" t="s">
        <v>11</v>
      </c>
      <c r="E57" t="s">
        <v>14</v>
      </c>
    </row>
    <row r="58" spans="1:5" x14ac:dyDescent="0.3">
      <c r="A58" t="s">
        <v>188</v>
      </c>
      <c r="B58" t="s">
        <v>70</v>
      </c>
      <c r="C58" t="s">
        <v>10</v>
      </c>
      <c r="D58" t="s">
        <v>16</v>
      </c>
      <c r="E58" t="s">
        <v>8</v>
      </c>
    </row>
    <row r="59" spans="1:5" x14ac:dyDescent="0.3">
      <c r="A59" t="s">
        <v>160</v>
      </c>
      <c r="B59" t="s">
        <v>71</v>
      </c>
      <c r="C59" t="s">
        <v>10</v>
      </c>
      <c r="D59" t="s">
        <v>16</v>
      </c>
      <c r="E59" t="s">
        <v>14</v>
      </c>
    </row>
    <row r="60" spans="1:5" x14ac:dyDescent="0.3">
      <c r="A60" t="s">
        <v>161</v>
      </c>
      <c r="B60" t="s">
        <v>72</v>
      </c>
      <c r="C60" t="s">
        <v>6</v>
      </c>
      <c r="D60" t="s">
        <v>33</v>
      </c>
      <c r="E60" t="s">
        <v>12</v>
      </c>
    </row>
    <row r="61" spans="1:5" x14ac:dyDescent="0.3">
      <c r="A61" t="s">
        <v>197</v>
      </c>
      <c r="B61" t="s">
        <v>73</v>
      </c>
      <c r="C61" t="s">
        <v>10</v>
      </c>
      <c r="D61" t="s">
        <v>16</v>
      </c>
      <c r="E61" t="s">
        <v>14</v>
      </c>
    </row>
    <row r="62" spans="1:5" x14ac:dyDescent="0.3">
      <c r="A62" t="s">
        <v>210</v>
      </c>
      <c r="B62" t="s">
        <v>357</v>
      </c>
      <c r="C62" t="s">
        <v>10</v>
      </c>
      <c r="D62" t="s">
        <v>16</v>
      </c>
      <c r="E62" t="s">
        <v>382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C0B17-F9D4-4085-886D-61068CB6EEC8}">
  <dimension ref="A1:BU60"/>
  <sheetViews>
    <sheetView workbookViewId="0">
      <selection activeCell="B22" sqref="B22"/>
    </sheetView>
  </sheetViews>
  <sheetFormatPr defaultRowHeight="14.4" x14ac:dyDescent="0.3"/>
  <cols>
    <col min="1" max="1" width="12.5546875" bestFit="1" customWidth="1"/>
    <col min="2" max="2" width="36.33203125" bestFit="1" customWidth="1"/>
    <col min="3" max="3" width="17.33203125" bestFit="1" customWidth="1"/>
    <col min="4" max="4" width="20.77734375" bestFit="1" customWidth="1"/>
    <col min="5" max="5" width="19.6640625" bestFit="1" customWidth="1"/>
    <col min="6" max="6" width="20.109375" bestFit="1" customWidth="1"/>
    <col min="7" max="7" width="19.6640625" bestFit="1" customWidth="1"/>
    <col min="8" max="8" width="17.5546875" bestFit="1" customWidth="1"/>
    <col min="9" max="9" width="17.77734375" bestFit="1" customWidth="1"/>
    <col min="10" max="10" width="20" bestFit="1" customWidth="1"/>
    <col min="11" max="11" width="13.6640625" bestFit="1" customWidth="1"/>
    <col min="12" max="12" width="19.5546875" bestFit="1" customWidth="1"/>
    <col min="13" max="13" width="18.109375" bestFit="1" customWidth="1"/>
    <col min="14" max="14" width="18.6640625" bestFit="1" customWidth="1"/>
    <col min="15" max="15" width="16.6640625" bestFit="1" customWidth="1"/>
    <col min="16" max="16" width="20" bestFit="1" customWidth="1"/>
    <col min="17" max="17" width="15.109375" bestFit="1" customWidth="1"/>
    <col min="18" max="18" width="20.88671875" bestFit="1" customWidth="1"/>
    <col min="19" max="19" width="19.6640625" bestFit="1" customWidth="1"/>
    <col min="20" max="20" width="16.44140625" bestFit="1" customWidth="1"/>
    <col min="21" max="21" width="18.33203125" bestFit="1" customWidth="1"/>
    <col min="22" max="22" width="15.6640625" bestFit="1" customWidth="1"/>
    <col min="23" max="23" width="16.77734375" bestFit="1" customWidth="1"/>
    <col min="24" max="24" width="21.88671875" bestFit="1" customWidth="1"/>
    <col min="25" max="25" width="16.21875" bestFit="1" customWidth="1"/>
    <col min="26" max="26" width="16.33203125" bestFit="1" customWidth="1"/>
    <col min="27" max="27" width="17.21875" bestFit="1" customWidth="1"/>
    <col min="28" max="28" width="17.33203125" bestFit="1" customWidth="1"/>
    <col min="29" max="29" width="19.109375" bestFit="1" customWidth="1"/>
    <col min="30" max="30" width="25.6640625" bestFit="1" customWidth="1"/>
    <col min="31" max="31" width="16" bestFit="1" customWidth="1"/>
    <col min="32" max="32" width="14.44140625" bestFit="1" customWidth="1"/>
    <col min="33" max="33" width="14.33203125" bestFit="1" customWidth="1"/>
    <col min="34" max="34" width="16.88671875" bestFit="1" customWidth="1"/>
    <col min="35" max="35" width="16.6640625" bestFit="1" customWidth="1"/>
    <col min="36" max="36" width="15.21875" bestFit="1" customWidth="1"/>
    <col min="37" max="37" width="14.88671875" bestFit="1" customWidth="1"/>
    <col min="38" max="38" width="16.33203125" bestFit="1" customWidth="1"/>
    <col min="39" max="39" width="16.109375" bestFit="1" customWidth="1"/>
    <col min="40" max="40" width="17.6640625" bestFit="1" customWidth="1"/>
    <col min="41" max="41" width="14" bestFit="1" customWidth="1"/>
    <col min="42" max="42" width="16.88671875" bestFit="1" customWidth="1"/>
    <col min="43" max="43" width="19.21875" bestFit="1" customWidth="1"/>
    <col min="44" max="44" width="14.77734375" bestFit="1" customWidth="1"/>
    <col min="45" max="45" width="22.33203125" bestFit="1" customWidth="1"/>
    <col min="46" max="46" width="11" bestFit="1" customWidth="1"/>
    <col min="47" max="47" width="14.5546875" bestFit="1" customWidth="1"/>
    <col min="48" max="48" width="16.77734375" bestFit="1" customWidth="1"/>
    <col min="49" max="49" width="16.21875" bestFit="1" customWidth="1"/>
    <col min="50" max="50" width="12.77734375" bestFit="1" customWidth="1"/>
    <col min="51" max="51" width="14.6640625" bestFit="1" customWidth="1"/>
    <col min="52" max="52" width="14.109375" bestFit="1" customWidth="1"/>
    <col min="53" max="53" width="15.21875" bestFit="1" customWidth="1"/>
    <col min="54" max="54" width="16.21875" bestFit="1" customWidth="1"/>
    <col min="55" max="55" width="19.88671875" bestFit="1" customWidth="1"/>
    <col min="56" max="56" width="20.5546875" bestFit="1" customWidth="1"/>
    <col min="57" max="57" width="32.5546875" bestFit="1" customWidth="1"/>
    <col min="58" max="58" width="17.33203125" bestFit="1" customWidth="1"/>
    <col min="59" max="59" width="19.21875" bestFit="1" customWidth="1"/>
    <col min="60" max="60" width="14.109375" bestFit="1" customWidth="1"/>
    <col min="61" max="61" width="18.77734375" bestFit="1" customWidth="1"/>
    <col min="62" max="62" width="18.88671875" bestFit="1" customWidth="1"/>
    <col min="63" max="63" width="15.77734375" bestFit="1" customWidth="1"/>
    <col min="64" max="64" width="17" bestFit="1" customWidth="1"/>
    <col min="65" max="65" width="20.88671875" bestFit="1" customWidth="1"/>
    <col min="66" max="66" width="12.33203125" bestFit="1" customWidth="1"/>
    <col min="67" max="67" width="25.109375" bestFit="1" customWidth="1"/>
    <col min="68" max="68" width="15.21875" bestFit="1" customWidth="1"/>
    <col min="69" max="69" width="19.44140625" bestFit="1" customWidth="1"/>
    <col min="70" max="70" width="20.44140625" bestFit="1" customWidth="1"/>
    <col min="71" max="71" width="13.88671875" bestFit="1" customWidth="1"/>
    <col min="72" max="72" width="17.88671875" bestFit="1" customWidth="1"/>
    <col min="73" max="73" width="18.88671875" bestFit="1" customWidth="1"/>
  </cols>
  <sheetData>
    <row r="1" spans="1:73" x14ac:dyDescent="0.3">
      <c r="A1" s="3" t="s">
        <v>212</v>
      </c>
      <c r="B1" t="s">
        <v>215</v>
      </c>
      <c r="C1" t="s">
        <v>216</v>
      </c>
      <c r="D1" t="s">
        <v>217</v>
      </c>
      <c r="E1" t="s">
        <v>218</v>
      </c>
      <c r="F1" t="s">
        <v>219</v>
      </c>
      <c r="G1" t="s">
        <v>220</v>
      </c>
      <c r="H1" t="s">
        <v>221</v>
      </c>
      <c r="I1" t="s">
        <v>222</v>
      </c>
      <c r="J1" t="s">
        <v>223</v>
      </c>
      <c r="K1" t="s">
        <v>224</v>
      </c>
      <c r="L1" t="s">
        <v>225</v>
      </c>
      <c r="M1" t="s">
        <v>226</v>
      </c>
      <c r="N1" t="s">
        <v>227</v>
      </c>
      <c r="O1" t="s">
        <v>228</v>
      </c>
      <c r="P1" t="s">
        <v>229</v>
      </c>
      <c r="Q1" t="s">
        <v>230</v>
      </c>
      <c r="R1" t="s">
        <v>231</v>
      </c>
      <c r="S1" t="s">
        <v>232</v>
      </c>
      <c r="T1" t="s">
        <v>233</v>
      </c>
      <c r="U1" t="s">
        <v>234</v>
      </c>
      <c r="V1" t="s">
        <v>235</v>
      </c>
      <c r="W1" t="s">
        <v>236</v>
      </c>
      <c r="X1" t="s">
        <v>237</v>
      </c>
      <c r="Y1" t="s">
        <v>238</v>
      </c>
      <c r="Z1" t="s">
        <v>239</v>
      </c>
      <c r="AA1" t="s">
        <v>240</v>
      </c>
      <c r="AB1" t="s">
        <v>241</v>
      </c>
      <c r="AC1" t="s">
        <v>242</v>
      </c>
      <c r="AD1" t="s">
        <v>243</v>
      </c>
      <c r="AE1" t="s">
        <v>244</v>
      </c>
      <c r="AF1" t="s">
        <v>245</v>
      </c>
      <c r="AG1" t="s">
        <v>246</v>
      </c>
      <c r="AH1" t="s">
        <v>247</v>
      </c>
      <c r="AI1" t="s">
        <v>248</v>
      </c>
      <c r="AJ1" t="s">
        <v>249</v>
      </c>
      <c r="AK1" t="s">
        <v>250</v>
      </c>
      <c r="AL1" t="s">
        <v>251</v>
      </c>
      <c r="AM1" t="s">
        <v>252</v>
      </c>
      <c r="AN1" t="s">
        <v>253</v>
      </c>
      <c r="AO1" t="s">
        <v>254</v>
      </c>
      <c r="AP1" t="s">
        <v>255</v>
      </c>
      <c r="AQ1" t="s">
        <v>256</v>
      </c>
      <c r="AR1" t="s">
        <v>257</v>
      </c>
      <c r="AS1" t="s">
        <v>258</v>
      </c>
      <c r="AT1" t="s">
        <v>259</v>
      </c>
      <c r="AU1" t="s">
        <v>260</v>
      </c>
      <c r="AV1" t="s">
        <v>261</v>
      </c>
      <c r="AW1" t="s">
        <v>262</v>
      </c>
      <c r="AX1" t="s">
        <v>263</v>
      </c>
      <c r="AY1" t="s">
        <v>264</v>
      </c>
      <c r="AZ1" t="s">
        <v>265</v>
      </c>
      <c r="BA1" t="s">
        <v>266</v>
      </c>
      <c r="BB1" t="s">
        <v>267</v>
      </c>
      <c r="BC1" t="s">
        <v>268</v>
      </c>
      <c r="BD1" t="s">
        <v>269</v>
      </c>
      <c r="BE1" t="s">
        <v>270</v>
      </c>
      <c r="BF1" t="s">
        <v>271</v>
      </c>
      <c r="BG1" t="s">
        <v>272</v>
      </c>
      <c r="BH1" t="s">
        <v>273</v>
      </c>
      <c r="BI1" t="s">
        <v>274</v>
      </c>
      <c r="BJ1" t="s">
        <v>275</v>
      </c>
      <c r="BK1" t="s">
        <v>276</v>
      </c>
      <c r="BL1" t="s">
        <v>277</v>
      </c>
      <c r="BM1" t="s">
        <v>278</v>
      </c>
      <c r="BN1" t="s">
        <v>279</v>
      </c>
      <c r="BO1" t="s">
        <v>280</v>
      </c>
      <c r="BP1" t="s">
        <v>281</v>
      </c>
      <c r="BQ1" t="s">
        <v>282</v>
      </c>
      <c r="BR1" t="s">
        <v>283</v>
      </c>
      <c r="BS1" t="s">
        <v>284</v>
      </c>
      <c r="BT1" t="s">
        <v>285</v>
      </c>
      <c r="BU1" t="s">
        <v>286</v>
      </c>
    </row>
    <row r="2" spans="1:73" x14ac:dyDescent="0.3">
      <c r="A2" s="4" t="s">
        <v>167</v>
      </c>
      <c r="B2" s="5">
        <v>0</v>
      </c>
      <c r="C2" s="5">
        <v>0</v>
      </c>
      <c r="D2" s="5">
        <v>0</v>
      </c>
      <c r="E2" s="5">
        <v>0</v>
      </c>
      <c r="F2" s="5">
        <v>0</v>
      </c>
      <c r="G2" s="5">
        <v>0</v>
      </c>
      <c r="H2" s="5">
        <v>0</v>
      </c>
      <c r="I2" s="5">
        <v>0</v>
      </c>
      <c r="J2" s="5">
        <v>0</v>
      </c>
      <c r="K2" s="5">
        <v>0</v>
      </c>
      <c r="L2" s="5">
        <v>0</v>
      </c>
      <c r="M2" s="5">
        <v>0</v>
      </c>
      <c r="N2" s="5">
        <v>0</v>
      </c>
      <c r="O2" s="5">
        <v>0</v>
      </c>
      <c r="P2" s="5">
        <v>0</v>
      </c>
      <c r="Q2" s="5">
        <v>0</v>
      </c>
      <c r="R2" s="5">
        <v>0</v>
      </c>
      <c r="S2" s="5">
        <v>0</v>
      </c>
      <c r="T2" s="5">
        <v>0</v>
      </c>
      <c r="U2" s="5">
        <v>0</v>
      </c>
      <c r="V2" s="5">
        <v>0</v>
      </c>
      <c r="W2" s="5">
        <v>0</v>
      </c>
      <c r="X2" s="5">
        <v>1</v>
      </c>
      <c r="Y2" s="5">
        <v>0</v>
      </c>
      <c r="Z2" s="5">
        <v>0</v>
      </c>
      <c r="AA2" s="5">
        <v>0</v>
      </c>
      <c r="AB2" s="5">
        <v>0</v>
      </c>
      <c r="AC2" s="5">
        <v>0</v>
      </c>
      <c r="AD2" s="5">
        <v>1</v>
      </c>
      <c r="AE2" s="5">
        <v>0</v>
      </c>
      <c r="AF2" s="5">
        <v>0</v>
      </c>
      <c r="AG2" s="5">
        <v>0</v>
      </c>
      <c r="AH2" s="5">
        <v>0</v>
      </c>
      <c r="AI2" s="5">
        <v>2</v>
      </c>
      <c r="AJ2" s="5">
        <v>0</v>
      </c>
      <c r="AK2" s="5">
        <v>0</v>
      </c>
      <c r="AL2" s="5">
        <v>0</v>
      </c>
      <c r="AM2" s="5">
        <v>1</v>
      </c>
      <c r="AN2" s="5">
        <v>0</v>
      </c>
      <c r="AO2" s="5">
        <v>0</v>
      </c>
      <c r="AP2" s="5">
        <v>0</v>
      </c>
      <c r="AQ2" s="5">
        <v>0</v>
      </c>
      <c r="AR2" s="5">
        <v>0</v>
      </c>
      <c r="AS2" s="5">
        <v>0</v>
      </c>
      <c r="AT2" s="5">
        <v>0</v>
      </c>
      <c r="AU2" s="5">
        <v>0</v>
      </c>
      <c r="AV2" s="5">
        <v>0</v>
      </c>
      <c r="AW2" s="5">
        <v>0</v>
      </c>
      <c r="AX2" s="5">
        <v>0</v>
      </c>
      <c r="AY2" s="5">
        <v>0</v>
      </c>
      <c r="AZ2" s="5">
        <v>0</v>
      </c>
      <c r="BA2" s="5">
        <v>0</v>
      </c>
      <c r="BB2" s="5">
        <v>0</v>
      </c>
      <c r="BC2" s="5">
        <v>0</v>
      </c>
      <c r="BD2" s="5">
        <v>0</v>
      </c>
      <c r="BE2" s="5">
        <v>0</v>
      </c>
      <c r="BF2" s="5">
        <v>0</v>
      </c>
      <c r="BG2" s="5">
        <v>0</v>
      </c>
      <c r="BH2" s="5">
        <v>0</v>
      </c>
      <c r="BI2" s="5">
        <v>2</v>
      </c>
      <c r="BJ2" s="5">
        <v>0</v>
      </c>
      <c r="BK2" s="5">
        <v>0</v>
      </c>
      <c r="BL2" s="5">
        <v>0</v>
      </c>
      <c r="BM2" s="5">
        <v>0</v>
      </c>
      <c r="BN2" s="5">
        <v>0</v>
      </c>
      <c r="BO2" s="5">
        <v>0</v>
      </c>
      <c r="BP2" s="5">
        <v>0</v>
      </c>
      <c r="BQ2" s="5">
        <v>0</v>
      </c>
      <c r="BR2" s="5">
        <v>0</v>
      </c>
      <c r="BS2" s="5">
        <v>0</v>
      </c>
      <c r="BT2" s="5">
        <v>0</v>
      </c>
      <c r="BU2" s="5">
        <v>0</v>
      </c>
    </row>
    <row r="3" spans="1:73" x14ac:dyDescent="0.3">
      <c r="A3" s="4" t="s">
        <v>166</v>
      </c>
      <c r="B3" s="5">
        <v>0</v>
      </c>
      <c r="C3" s="5">
        <v>0</v>
      </c>
      <c r="D3" s="5">
        <v>0</v>
      </c>
      <c r="E3" s="5">
        <v>0</v>
      </c>
      <c r="F3" s="5">
        <v>0</v>
      </c>
      <c r="G3" s="5">
        <v>0</v>
      </c>
      <c r="H3" s="5">
        <v>0</v>
      </c>
      <c r="I3" s="5">
        <v>0</v>
      </c>
      <c r="J3" s="5">
        <v>0</v>
      </c>
      <c r="K3" s="5">
        <v>0</v>
      </c>
      <c r="L3" s="5">
        <v>0</v>
      </c>
      <c r="M3" s="5">
        <v>0</v>
      </c>
      <c r="N3" s="5">
        <v>0</v>
      </c>
      <c r="O3" s="5">
        <v>0</v>
      </c>
      <c r="P3" s="5">
        <v>0</v>
      </c>
      <c r="Q3" s="5">
        <v>0</v>
      </c>
      <c r="R3" s="5">
        <v>0</v>
      </c>
      <c r="S3" s="5">
        <v>0</v>
      </c>
      <c r="T3" s="5">
        <v>0</v>
      </c>
      <c r="U3" s="5">
        <v>0</v>
      </c>
      <c r="V3" s="5">
        <v>0</v>
      </c>
      <c r="W3" s="5">
        <v>0</v>
      </c>
      <c r="X3" s="5">
        <v>3</v>
      </c>
      <c r="Y3" s="5">
        <v>0</v>
      </c>
      <c r="Z3" s="5">
        <v>0</v>
      </c>
      <c r="AA3" s="5">
        <v>0</v>
      </c>
      <c r="AB3" s="5">
        <v>0</v>
      </c>
      <c r="AC3" s="5">
        <v>2</v>
      </c>
      <c r="AD3" s="5">
        <v>0</v>
      </c>
      <c r="AE3" s="5">
        <v>0</v>
      </c>
      <c r="AF3" s="5">
        <v>0</v>
      </c>
      <c r="AG3" s="5">
        <v>0</v>
      </c>
      <c r="AH3" s="5">
        <v>1</v>
      </c>
      <c r="AI3" s="5">
        <v>1</v>
      </c>
      <c r="AJ3" s="5">
        <v>0</v>
      </c>
      <c r="AK3" s="5">
        <v>0</v>
      </c>
      <c r="AL3" s="5">
        <v>0</v>
      </c>
      <c r="AM3" s="5">
        <v>0</v>
      </c>
      <c r="AN3" s="5">
        <v>0</v>
      </c>
      <c r="AO3" s="5">
        <v>0</v>
      </c>
      <c r="AP3" s="5">
        <v>0</v>
      </c>
      <c r="AQ3" s="5">
        <v>0</v>
      </c>
      <c r="AR3" s="5">
        <v>0</v>
      </c>
      <c r="AS3" s="5">
        <v>0</v>
      </c>
      <c r="AT3" s="5">
        <v>0</v>
      </c>
      <c r="AU3" s="5">
        <v>0</v>
      </c>
      <c r="AV3" s="5">
        <v>0</v>
      </c>
      <c r="AW3" s="5">
        <v>0</v>
      </c>
      <c r="AX3" s="5">
        <v>0</v>
      </c>
      <c r="AY3" s="5">
        <v>0</v>
      </c>
      <c r="AZ3" s="5">
        <v>1</v>
      </c>
      <c r="BA3" s="5">
        <v>0</v>
      </c>
      <c r="BB3" s="5">
        <v>0</v>
      </c>
      <c r="BC3" s="5">
        <v>0</v>
      </c>
      <c r="BD3" s="5">
        <v>0</v>
      </c>
      <c r="BE3" s="5">
        <v>0</v>
      </c>
      <c r="BF3" s="5">
        <v>1</v>
      </c>
      <c r="BG3" s="5">
        <v>0</v>
      </c>
      <c r="BH3" s="5">
        <v>0</v>
      </c>
      <c r="BI3" s="5">
        <v>1</v>
      </c>
      <c r="BJ3" s="5">
        <v>0</v>
      </c>
      <c r="BK3" s="5">
        <v>0</v>
      </c>
      <c r="BL3" s="5">
        <v>0</v>
      </c>
      <c r="BM3" s="5">
        <v>0</v>
      </c>
      <c r="BN3" s="5">
        <v>0</v>
      </c>
      <c r="BO3" s="5">
        <v>0</v>
      </c>
      <c r="BP3" s="5">
        <v>0</v>
      </c>
      <c r="BQ3" s="5">
        <v>0</v>
      </c>
      <c r="BR3" s="5">
        <v>0</v>
      </c>
      <c r="BS3" s="5">
        <v>0</v>
      </c>
      <c r="BT3" s="5">
        <v>0</v>
      </c>
      <c r="BU3" s="5">
        <v>0</v>
      </c>
    </row>
    <row r="4" spans="1:73" x14ac:dyDescent="0.3">
      <c r="A4" s="4" t="s">
        <v>170</v>
      </c>
      <c r="B4" s="5">
        <v>0</v>
      </c>
      <c r="C4" s="5">
        <v>0</v>
      </c>
      <c r="D4" s="5">
        <v>0</v>
      </c>
      <c r="E4" s="5">
        <v>0</v>
      </c>
      <c r="F4" s="5">
        <v>0</v>
      </c>
      <c r="G4" s="5">
        <v>0</v>
      </c>
      <c r="H4" s="5">
        <v>0</v>
      </c>
      <c r="I4" s="5">
        <v>0</v>
      </c>
      <c r="J4" s="5">
        <v>0</v>
      </c>
      <c r="K4" s="5">
        <v>0</v>
      </c>
      <c r="L4" s="5">
        <v>0</v>
      </c>
      <c r="M4" s="5">
        <v>0</v>
      </c>
      <c r="N4" s="5">
        <v>0</v>
      </c>
      <c r="O4" s="5">
        <v>0</v>
      </c>
      <c r="P4" s="5">
        <v>0</v>
      </c>
      <c r="Q4" s="5">
        <v>0</v>
      </c>
      <c r="R4" s="5">
        <v>0</v>
      </c>
      <c r="S4" s="5">
        <v>0</v>
      </c>
      <c r="T4" s="5">
        <v>0</v>
      </c>
      <c r="U4" s="5">
        <v>0</v>
      </c>
      <c r="V4" s="5">
        <v>1</v>
      </c>
      <c r="W4" s="5">
        <v>0</v>
      </c>
      <c r="X4" s="5">
        <v>1</v>
      </c>
      <c r="Y4" s="5">
        <v>0</v>
      </c>
      <c r="Z4" s="5">
        <v>0</v>
      </c>
      <c r="AA4" s="5">
        <v>0</v>
      </c>
      <c r="AB4" s="5">
        <v>0</v>
      </c>
      <c r="AC4" s="5">
        <v>0</v>
      </c>
      <c r="AD4" s="5">
        <v>0</v>
      </c>
      <c r="AE4" s="5">
        <v>0</v>
      </c>
      <c r="AF4" s="5">
        <v>0</v>
      </c>
      <c r="AG4" s="5">
        <v>0</v>
      </c>
      <c r="AH4" s="5">
        <v>1</v>
      </c>
      <c r="AI4" s="5">
        <v>5</v>
      </c>
      <c r="AJ4" s="5">
        <v>0</v>
      </c>
      <c r="AK4" s="5">
        <v>0</v>
      </c>
      <c r="AL4" s="5">
        <v>0</v>
      </c>
      <c r="AM4" s="5">
        <v>0</v>
      </c>
      <c r="AN4" s="5">
        <v>0</v>
      </c>
      <c r="AO4" s="5">
        <v>0</v>
      </c>
      <c r="AP4" s="5">
        <v>0</v>
      </c>
      <c r="AQ4" s="5">
        <v>0</v>
      </c>
      <c r="AR4" s="5">
        <v>0</v>
      </c>
      <c r="AS4" s="5">
        <v>0</v>
      </c>
      <c r="AT4" s="5">
        <v>0</v>
      </c>
      <c r="AU4" s="5">
        <v>0</v>
      </c>
      <c r="AV4" s="5">
        <v>0</v>
      </c>
      <c r="AW4" s="5">
        <v>0</v>
      </c>
      <c r="AX4" s="5">
        <v>0</v>
      </c>
      <c r="AY4" s="5">
        <v>0</v>
      </c>
      <c r="AZ4" s="5">
        <v>0</v>
      </c>
      <c r="BA4" s="5">
        <v>0</v>
      </c>
      <c r="BB4" s="5">
        <v>0</v>
      </c>
      <c r="BC4" s="5">
        <v>0</v>
      </c>
      <c r="BD4" s="5">
        <v>0</v>
      </c>
      <c r="BE4" s="5">
        <v>0</v>
      </c>
      <c r="BF4" s="5">
        <v>0</v>
      </c>
      <c r="BG4" s="5">
        <v>0</v>
      </c>
      <c r="BH4" s="5">
        <v>1</v>
      </c>
      <c r="BI4" s="5">
        <v>6</v>
      </c>
      <c r="BJ4" s="5">
        <v>0</v>
      </c>
      <c r="BK4" s="5">
        <v>0</v>
      </c>
      <c r="BL4" s="5">
        <v>0</v>
      </c>
      <c r="BM4" s="5">
        <v>0</v>
      </c>
      <c r="BN4" s="5">
        <v>0</v>
      </c>
      <c r="BO4" s="5">
        <v>0</v>
      </c>
      <c r="BP4" s="5">
        <v>0</v>
      </c>
      <c r="BQ4" s="5">
        <v>0</v>
      </c>
      <c r="BR4" s="5">
        <v>0</v>
      </c>
      <c r="BS4" s="5">
        <v>1</v>
      </c>
      <c r="BT4" s="5">
        <v>0</v>
      </c>
      <c r="BU4" s="5">
        <v>0</v>
      </c>
    </row>
    <row r="5" spans="1:73" x14ac:dyDescent="0.3">
      <c r="A5" s="4" t="s">
        <v>171</v>
      </c>
      <c r="B5" s="5">
        <v>0</v>
      </c>
      <c r="C5" s="5">
        <v>0</v>
      </c>
      <c r="D5" s="5">
        <v>0</v>
      </c>
      <c r="E5" s="5">
        <v>0</v>
      </c>
      <c r="F5" s="5">
        <v>0</v>
      </c>
      <c r="G5" s="5">
        <v>0</v>
      </c>
      <c r="H5" s="5">
        <v>0</v>
      </c>
      <c r="I5" s="5">
        <v>0</v>
      </c>
      <c r="J5" s="5">
        <v>0</v>
      </c>
      <c r="K5" s="5">
        <v>0</v>
      </c>
      <c r="L5" s="5">
        <v>0</v>
      </c>
      <c r="M5" s="5">
        <v>0</v>
      </c>
      <c r="N5" s="5">
        <v>2</v>
      </c>
      <c r="O5" s="5">
        <v>1</v>
      </c>
      <c r="P5" s="5">
        <v>0</v>
      </c>
      <c r="Q5" s="5">
        <v>1</v>
      </c>
      <c r="R5" s="5">
        <v>0</v>
      </c>
      <c r="S5" s="5">
        <v>0</v>
      </c>
      <c r="T5" s="5">
        <v>0</v>
      </c>
      <c r="U5" s="5">
        <v>0</v>
      </c>
      <c r="V5" s="5">
        <v>2</v>
      </c>
      <c r="W5" s="5">
        <v>0</v>
      </c>
      <c r="X5" s="5">
        <v>6</v>
      </c>
      <c r="Y5" s="5">
        <v>0</v>
      </c>
      <c r="Z5" s="5">
        <v>0</v>
      </c>
      <c r="AA5" s="5">
        <v>0</v>
      </c>
      <c r="AB5" s="5">
        <v>0</v>
      </c>
      <c r="AC5" s="5">
        <v>0</v>
      </c>
      <c r="AD5" s="5">
        <v>0</v>
      </c>
      <c r="AE5" s="5">
        <v>1</v>
      </c>
      <c r="AF5" s="5">
        <v>0</v>
      </c>
      <c r="AG5" s="5">
        <v>0</v>
      </c>
      <c r="AH5" s="5">
        <v>5</v>
      </c>
      <c r="AI5" s="5">
        <v>1</v>
      </c>
      <c r="AJ5" s="5">
        <v>0</v>
      </c>
      <c r="AK5" s="5">
        <v>0</v>
      </c>
      <c r="AL5" s="5">
        <v>0</v>
      </c>
      <c r="AM5" s="5">
        <v>0</v>
      </c>
      <c r="AN5" s="5">
        <v>0</v>
      </c>
      <c r="AO5" s="5">
        <v>0</v>
      </c>
      <c r="AP5" s="5">
        <v>0</v>
      </c>
      <c r="AQ5" s="5">
        <v>0</v>
      </c>
      <c r="AR5" s="5">
        <v>0</v>
      </c>
      <c r="AS5" s="5">
        <v>0</v>
      </c>
      <c r="AT5" s="5">
        <v>0</v>
      </c>
      <c r="AU5" s="5">
        <v>0</v>
      </c>
      <c r="AV5" s="5">
        <v>0</v>
      </c>
      <c r="AW5" s="5">
        <v>0</v>
      </c>
      <c r="AX5" s="5">
        <v>0</v>
      </c>
      <c r="AY5" s="5">
        <v>0</v>
      </c>
      <c r="AZ5" s="5">
        <v>2</v>
      </c>
      <c r="BA5" s="5">
        <v>0</v>
      </c>
      <c r="BB5" s="5">
        <v>0</v>
      </c>
      <c r="BC5" s="5">
        <v>0</v>
      </c>
      <c r="BD5" s="5">
        <v>0</v>
      </c>
      <c r="BE5" s="5">
        <v>0</v>
      </c>
      <c r="BF5" s="5">
        <v>0</v>
      </c>
      <c r="BG5" s="5">
        <v>0</v>
      </c>
      <c r="BH5" s="5">
        <v>0</v>
      </c>
      <c r="BI5" s="5">
        <v>4</v>
      </c>
      <c r="BJ5" s="5">
        <v>0</v>
      </c>
      <c r="BK5" s="5">
        <v>0</v>
      </c>
      <c r="BL5" s="5">
        <v>0</v>
      </c>
      <c r="BM5" s="5">
        <v>0</v>
      </c>
      <c r="BN5" s="5">
        <v>0</v>
      </c>
      <c r="BO5" s="5">
        <v>0</v>
      </c>
      <c r="BP5" s="5">
        <v>0</v>
      </c>
      <c r="BQ5" s="5">
        <v>0</v>
      </c>
      <c r="BR5" s="5">
        <v>0</v>
      </c>
      <c r="BS5" s="5">
        <v>0</v>
      </c>
      <c r="BT5" s="5">
        <v>0</v>
      </c>
      <c r="BU5" s="5">
        <v>0</v>
      </c>
    </row>
    <row r="6" spans="1:73" x14ac:dyDescent="0.3">
      <c r="A6" s="4" t="s">
        <v>157</v>
      </c>
      <c r="B6" s="5">
        <v>0</v>
      </c>
      <c r="C6" s="5">
        <v>0</v>
      </c>
      <c r="D6" s="5">
        <v>0</v>
      </c>
      <c r="E6" s="5">
        <v>0</v>
      </c>
      <c r="F6" s="5">
        <v>0</v>
      </c>
      <c r="G6" s="5">
        <v>0</v>
      </c>
      <c r="H6" s="5">
        <v>0</v>
      </c>
      <c r="I6" s="5">
        <v>0</v>
      </c>
      <c r="J6" s="5">
        <v>0</v>
      </c>
      <c r="K6" s="5">
        <v>0</v>
      </c>
      <c r="L6" s="5">
        <v>0</v>
      </c>
      <c r="M6" s="5">
        <v>0</v>
      </c>
      <c r="N6" s="5">
        <v>0</v>
      </c>
      <c r="O6" s="5">
        <v>0</v>
      </c>
      <c r="P6" s="5">
        <v>0</v>
      </c>
      <c r="Q6" s="5">
        <v>0</v>
      </c>
      <c r="R6" s="5">
        <v>0</v>
      </c>
      <c r="S6" s="5">
        <v>0</v>
      </c>
      <c r="T6" s="5">
        <v>0</v>
      </c>
      <c r="U6" s="5">
        <v>0</v>
      </c>
      <c r="V6" s="5">
        <v>0</v>
      </c>
      <c r="W6" s="5">
        <v>0</v>
      </c>
      <c r="X6" s="5">
        <v>1</v>
      </c>
      <c r="Y6" s="5">
        <v>0</v>
      </c>
      <c r="Z6" s="5">
        <v>0</v>
      </c>
      <c r="AA6" s="5">
        <v>0</v>
      </c>
      <c r="AB6" s="5">
        <v>0</v>
      </c>
      <c r="AC6" s="5">
        <v>0</v>
      </c>
      <c r="AD6" s="5">
        <v>0</v>
      </c>
      <c r="AE6" s="5">
        <v>1</v>
      </c>
      <c r="AF6" s="5">
        <v>0</v>
      </c>
      <c r="AG6" s="5">
        <v>0</v>
      </c>
      <c r="AH6" s="5">
        <v>0</v>
      </c>
      <c r="AI6" s="5">
        <v>1</v>
      </c>
      <c r="AJ6" s="5">
        <v>0</v>
      </c>
      <c r="AK6" s="5">
        <v>0</v>
      </c>
      <c r="AL6" s="5">
        <v>0</v>
      </c>
      <c r="AM6" s="5">
        <v>0</v>
      </c>
      <c r="AN6" s="5">
        <v>0</v>
      </c>
      <c r="AO6" s="5">
        <v>0</v>
      </c>
      <c r="AP6" s="5">
        <v>0</v>
      </c>
      <c r="AQ6" s="5">
        <v>0</v>
      </c>
      <c r="AR6" s="5">
        <v>0</v>
      </c>
      <c r="AS6" s="5">
        <v>0</v>
      </c>
      <c r="AT6" s="5">
        <v>0</v>
      </c>
      <c r="AU6" s="5">
        <v>0</v>
      </c>
      <c r="AV6" s="5">
        <v>0</v>
      </c>
      <c r="AW6" s="5">
        <v>0</v>
      </c>
      <c r="AX6" s="5">
        <v>0</v>
      </c>
      <c r="AY6" s="5">
        <v>0</v>
      </c>
      <c r="AZ6" s="5">
        <v>0</v>
      </c>
      <c r="BA6" s="5">
        <v>0</v>
      </c>
      <c r="BB6" s="5">
        <v>0</v>
      </c>
      <c r="BC6" s="5">
        <v>0</v>
      </c>
      <c r="BD6" s="5">
        <v>0</v>
      </c>
      <c r="BE6" s="5">
        <v>0</v>
      </c>
      <c r="BF6" s="5">
        <v>0</v>
      </c>
      <c r="BG6" s="5">
        <v>0</v>
      </c>
      <c r="BH6" s="5">
        <v>0</v>
      </c>
      <c r="BI6" s="5">
        <v>9</v>
      </c>
      <c r="BJ6" s="5">
        <v>0</v>
      </c>
      <c r="BK6" s="5">
        <v>0</v>
      </c>
      <c r="BL6" s="5">
        <v>0</v>
      </c>
      <c r="BM6" s="5">
        <v>0</v>
      </c>
      <c r="BN6" s="5">
        <v>0</v>
      </c>
      <c r="BO6" s="5">
        <v>0</v>
      </c>
      <c r="BP6" s="5">
        <v>0</v>
      </c>
      <c r="BQ6" s="5">
        <v>0</v>
      </c>
      <c r="BR6" s="5">
        <v>0</v>
      </c>
      <c r="BS6" s="5">
        <v>0</v>
      </c>
      <c r="BT6" s="5">
        <v>0</v>
      </c>
      <c r="BU6" s="5">
        <v>0</v>
      </c>
    </row>
    <row r="7" spans="1:73" x14ac:dyDescent="0.3">
      <c r="A7" s="4" t="s">
        <v>191</v>
      </c>
      <c r="B7" s="5">
        <v>0</v>
      </c>
      <c r="C7" s="5">
        <v>0</v>
      </c>
      <c r="D7" s="5">
        <v>0</v>
      </c>
      <c r="E7" s="5">
        <v>0</v>
      </c>
      <c r="F7" s="5">
        <v>0</v>
      </c>
      <c r="G7" s="5">
        <v>0</v>
      </c>
      <c r="H7" s="5">
        <v>0</v>
      </c>
      <c r="I7" s="5">
        <v>0</v>
      </c>
      <c r="J7" s="5">
        <v>0</v>
      </c>
      <c r="K7" s="5">
        <v>0</v>
      </c>
      <c r="L7" s="5">
        <v>0</v>
      </c>
      <c r="M7" s="5">
        <v>0</v>
      </c>
      <c r="N7" s="5">
        <v>0</v>
      </c>
      <c r="O7" s="5">
        <v>0</v>
      </c>
      <c r="P7" s="5">
        <v>0</v>
      </c>
      <c r="Q7" s="5">
        <v>1</v>
      </c>
      <c r="R7" s="5">
        <v>2</v>
      </c>
      <c r="S7" s="5">
        <v>0</v>
      </c>
      <c r="T7" s="5">
        <v>0</v>
      </c>
      <c r="U7" s="5">
        <v>0</v>
      </c>
      <c r="V7" s="5">
        <v>0</v>
      </c>
      <c r="W7" s="5">
        <v>0</v>
      </c>
      <c r="X7" s="5">
        <v>1</v>
      </c>
      <c r="Y7" s="5">
        <v>0</v>
      </c>
      <c r="Z7" s="5">
        <v>0</v>
      </c>
      <c r="AA7" s="5">
        <v>1</v>
      </c>
      <c r="AB7" s="5">
        <v>0</v>
      </c>
      <c r="AC7" s="5">
        <v>0</v>
      </c>
      <c r="AD7" s="5">
        <v>0</v>
      </c>
      <c r="AE7" s="5">
        <v>0</v>
      </c>
      <c r="AF7" s="5">
        <v>0</v>
      </c>
      <c r="AG7" s="5">
        <v>0</v>
      </c>
      <c r="AH7" s="5">
        <v>0</v>
      </c>
      <c r="AI7" s="5">
        <v>0</v>
      </c>
      <c r="AJ7" s="5">
        <v>0</v>
      </c>
      <c r="AK7" s="5">
        <v>0</v>
      </c>
      <c r="AL7" s="5">
        <v>0</v>
      </c>
      <c r="AM7" s="5">
        <v>0</v>
      </c>
      <c r="AN7" s="5">
        <v>0</v>
      </c>
      <c r="AO7" s="5">
        <v>0</v>
      </c>
      <c r="AP7" s="5">
        <v>0</v>
      </c>
      <c r="AQ7" s="5">
        <v>0</v>
      </c>
      <c r="AR7" s="5">
        <v>0</v>
      </c>
      <c r="AS7" s="5">
        <v>0</v>
      </c>
      <c r="AT7" s="5">
        <v>0</v>
      </c>
      <c r="AU7" s="5">
        <v>0</v>
      </c>
      <c r="AV7" s="5">
        <v>0</v>
      </c>
      <c r="AW7" s="5">
        <v>0</v>
      </c>
      <c r="AX7" s="5">
        <v>0</v>
      </c>
      <c r="AY7" s="5">
        <v>0</v>
      </c>
      <c r="AZ7" s="5">
        <v>0</v>
      </c>
      <c r="BA7" s="5">
        <v>0</v>
      </c>
      <c r="BB7" s="5">
        <v>0</v>
      </c>
      <c r="BC7" s="5">
        <v>0</v>
      </c>
      <c r="BD7" s="5">
        <v>0</v>
      </c>
      <c r="BE7" s="5">
        <v>0</v>
      </c>
      <c r="BF7" s="5">
        <v>0</v>
      </c>
      <c r="BG7" s="5">
        <v>0</v>
      </c>
      <c r="BH7" s="5">
        <v>0</v>
      </c>
      <c r="BI7" s="5">
        <v>2</v>
      </c>
      <c r="BJ7" s="5">
        <v>0</v>
      </c>
      <c r="BK7" s="5">
        <v>0</v>
      </c>
      <c r="BL7" s="5">
        <v>0</v>
      </c>
      <c r="BM7" s="5">
        <v>0</v>
      </c>
      <c r="BN7" s="5">
        <v>0</v>
      </c>
      <c r="BO7" s="5">
        <v>0</v>
      </c>
      <c r="BP7" s="5">
        <v>0</v>
      </c>
      <c r="BQ7" s="5">
        <v>0</v>
      </c>
      <c r="BR7" s="5">
        <v>0</v>
      </c>
      <c r="BS7" s="5">
        <v>0</v>
      </c>
      <c r="BT7" s="5">
        <v>0</v>
      </c>
      <c r="BU7" s="5">
        <v>0</v>
      </c>
    </row>
    <row r="8" spans="1:73" x14ac:dyDescent="0.3">
      <c r="A8" s="4" t="s">
        <v>182</v>
      </c>
      <c r="B8" s="5">
        <v>0</v>
      </c>
      <c r="C8" s="5">
        <v>0</v>
      </c>
      <c r="D8" s="5">
        <v>0</v>
      </c>
      <c r="E8" s="5">
        <v>0</v>
      </c>
      <c r="F8" s="5">
        <v>0</v>
      </c>
      <c r="G8" s="5">
        <v>0</v>
      </c>
      <c r="H8" s="5">
        <v>0</v>
      </c>
      <c r="I8" s="5">
        <v>3</v>
      </c>
      <c r="J8" s="5">
        <v>0</v>
      </c>
      <c r="K8" s="5">
        <v>0</v>
      </c>
      <c r="L8" s="5">
        <v>0</v>
      </c>
      <c r="M8" s="5">
        <v>0</v>
      </c>
      <c r="N8" s="5">
        <v>0</v>
      </c>
      <c r="O8" s="5">
        <v>0</v>
      </c>
      <c r="P8" s="5">
        <v>0</v>
      </c>
      <c r="Q8" s="5">
        <v>0</v>
      </c>
      <c r="R8" s="5">
        <v>0</v>
      </c>
      <c r="S8" s="5">
        <v>0</v>
      </c>
      <c r="T8" s="5">
        <v>0</v>
      </c>
      <c r="U8" s="5">
        <v>0</v>
      </c>
      <c r="V8" s="5">
        <v>1</v>
      </c>
      <c r="W8" s="5">
        <v>0</v>
      </c>
      <c r="X8" s="5">
        <v>3</v>
      </c>
      <c r="Y8" s="5">
        <v>0</v>
      </c>
      <c r="Z8" s="5">
        <v>0</v>
      </c>
      <c r="AA8" s="5">
        <v>0</v>
      </c>
      <c r="AB8" s="5">
        <v>0</v>
      </c>
      <c r="AC8" s="5">
        <v>0</v>
      </c>
      <c r="AD8" s="5">
        <v>0</v>
      </c>
      <c r="AE8" s="5">
        <v>1</v>
      </c>
      <c r="AF8" s="5">
        <v>0</v>
      </c>
      <c r="AG8" s="5">
        <v>0</v>
      </c>
      <c r="AH8" s="5">
        <v>2</v>
      </c>
      <c r="AI8" s="5">
        <v>1</v>
      </c>
      <c r="AJ8" s="5">
        <v>0</v>
      </c>
      <c r="AK8" s="5">
        <v>0</v>
      </c>
      <c r="AL8" s="5">
        <v>0</v>
      </c>
      <c r="AM8" s="5">
        <v>0</v>
      </c>
      <c r="AN8" s="5">
        <v>0</v>
      </c>
      <c r="AO8" s="5">
        <v>0</v>
      </c>
      <c r="AP8" s="5">
        <v>0</v>
      </c>
      <c r="AQ8" s="5">
        <v>0</v>
      </c>
      <c r="AR8" s="5">
        <v>0</v>
      </c>
      <c r="AS8" s="5">
        <v>0</v>
      </c>
      <c r="AT8" s="5">
        <v>0</v>
      </c>
      <c r="AU8" s="5">
        <v>0</v>
      </c>
      <c r="AV8" s="5">
        <v>0</v>
      </c>
      <c r="AW8" s="5">
        <v>0</v>
      </c>
      <c r="AX8" s="5">
        <v>0</v>
      </c>
      <c r="AY8" s="5">
        <v>0</v>
      </c>
      <c r="AZ8" s="5">
        <v>0</v>
      </c>
      <c r="BA8" s="5">
        <v>0</v>
      </c>
      <c r="BB8" s="5">
        <v>0</v>
      </c>
      <c r="BC8" s="5">
        <v>0</v>
      </c>
      <c r="BD8" s="5">
        <v>0</v>
      </c>
      <c r="BE8" s="5">
        <v>0</v>
      </c>
      <c r="BF8" s="5">
        <v>0</v>
      </c>
      <c r="BG8" s="5">
        <v>0</v>
      </c>
      <c r="BH8" s="5">
        <v>1</v>
      </c>
      <c r="BI8" s="5">
        <v>5</v>
      </c>
      <c r="BJ8" s="5">
        <v>0</v>
      </c>
      <c r="BK8" s="5">
        <v>0</v>
      </c>
      <c r="BL8" s="5">
        <v>0</v>
      </c>
      <c r="BM8" s="5">
        <v>0</v>
      </c>
      <c r="BN8" s="5">
        <v>0</v>
      </c>
      <c r="BO8" s="5">
        <v>0</v>
      </c>
      <c r="BP8" s="5">
        <v>0</v>
      </c>
      <c r="BQ8" s="5">
        <v>0</v>
      </c>
      <c r="BR8" s="5">
        <v>0</v>
      </c>
      <c r="BS8" s="5">
        <v>0</v>
      </c>
      <c r="BT8" s="5">
        <v>0</v>
      </c>
      <c r="BU8" s="5">
        <v>0</v>
      </c>
    </row>
    <row r="9" spans="1:73" x14ac:dyDescent="0.3">
      <c r="A9" s="4" t="s">
        <v>187</v>
      </c>
      <c r="B9" s="5">
        <v>0</v>
      </c>
      <c r="C9" s="5">
        <v>0</v>
      </c>
      <c r="D9" s="5">
        <v>0</v>
      </c>
      <c r="E9" s="5">
        <v>0</v>
      </c>
      <c r="F9" s="5">
        <v>0</v>
      </c>
      <c r="G9" s="5">
        <v>0</v>
      </c>
      <c r="H9" s="5">
        <v>0</v>
      </c>
      <c r="I9" s="5">
        <v>0</v>
      </c>
      <c r="J9" s="5">
        <v>0</v>
      </c>
      <c r="K9" s="5">
        <v>0</v>
      </c>
      <c r="L9" s="5">
        <v>0</v>
      </c>
      <c r="M9" s="5">
        <v>0</v>
      </c>
      <c r="N9" s="5">
        <v>1</v>
      </c>
      <c r="O9" s="5">
        <v>0</v>
      </c>
      <c r="P9" s="5">
        <v>0</v>
      </c>
      <c r="Q9" s="5">
        <v>0</v>
      </c>
      <c r="R9" s="5">
        <v>0</v>
      </c>
      <c r="S9" s="5">
        <v>0</v>
      </c>
      <c r="T9" s="5">
        <v>0</v>
      </c>
      <c r="U9" s="5">
        <v>0</v>
      </c>
      <c r="V9" s="5">
        <v>1</v>
      </c>
      <c r="W9" s="5">
        <v>0</v>
      </c>
      <c r="X9" s="5">
        <v>1</v>
      </c>
      <c r="Y9" s="5">
        <v>0</v>
      </c>
      <c r="Z9" s="5">
        <v>0</v>
      </c>
      <c r="AA9" s="5">
        <v>0</v>
      </c>
      <c r="AB9" s="5">
        <v>0</v>
      </c>
      <c r="AC9" s="5">
        <v>0</v>
      </c>
      <c r="AD9" s="5">
        <v>0</v>
      </c>
      <c r="AE9" s="5">
        <v>0</v>
      </c>
      <c r="AF9" s="5">
        <v>0</v>
      </c>
      <c r="AG9" s="5">
        <v>0</v>
      </c>
      <c r="AH9" s="5">
        <v>1</v>
      </c>
      <c r="AI9" s="5">
        <v>1</v>
      </c>
      <c r="AJ9" s="5">
        <v>0</v>
      </c>
      <c r="AK9" s="5">
        <v>0</v>
      </c>
      <c r="AL9" s="5">
        <v>0</v>
      </c>
      <c r="AM9" s="5">
        <v>0</v>
      </c>
      <c r="AN9" s="5">
        <v>0</v>
      </c>
      <c r="AO9" s="5">
        <v>0</v>
      </c>
      <c r="AP9" s="5">
        <v>0</v>
      </c>
      <c r="AQ9" s="5">
        <v>0</v>
      </c>
      <c r="AR9" s="5">
        <v>0</v>
      </c>
      <c r="AS9" s="5">
        <v>0</v>
      </c>
      <c r="AT9" s="5">
        <v>0</v>
      </c>
      <c r="AU9" s="5">
        <v>0</v>
      </c>
      <c r="AV9" s="5">
        <v>0</v>
      </c>
      <c r="AW9" s="5">
        <v>1</v>
      </c>
      <c r="AX9" s="5">
        <v>0</v>
      </c>
      <c r="AY9" s="5">
        <v>0</v>
      </c>
      <c r="AZ9" s="5">
        <v>0</v>
      </c>
      <c r="BA9" s="5">
        <v>0</v>
      </c>
      <c r="BB9" s="5">
        <v>0</v>
      </c>
      <c r="BC9" s="5">
        <v>0</v>
      </c>
      <c r="BD9" s="5">
        <v>0</v>
      </c>
      <c r="BE9" s="5">
        <v>0</v>
      </c>
      <c r="BF9" s="5">
        <v>1</v>
      </c>
      <c r="BG9" s="5">
        <v>0</v>
      </c>
      <c r="BH9" s="5">
        <v>0</v>
      </c>
      <c r="BI9" s="5">
        <v>1</v>
      </c>
      <c r="BJ9" s="5">
        <v>0</v>
      </c>
      <c r="BK9" s="5">
        <v>0</v>
      </c>
      <c r="BL9" s="5">
        <v>0</v>
      </c>
      <c r="BM9" s="5">
        <v>0</v>
      </c>
      <c r="BN9" s="5">
        <v>0</v>
      </c>
      <c r="BO9" s="5">
        <v>0</v>
      </c>
      <c r="BP9" s="5">
        <v>0</v>
      </c>
      <c r="BQ9" s="5">
        <v>0</v>
      </c>
      <c r="BR9" s="5">
        <v>0</v>
      </c>
      <c r="BS9" s="5">
        <v>0</v>
      </c>
      <c r="BT9" s="5">
        <v>0</v>
      </c>
      <c r="BU9" s="5">
        <v>0</v>
      </c>
    </row>
    <row r="10" spans="1:73" x14ac:dyDescent="0.3">
      <c r="A10" s="4" t="s">
        <v>204</v>
      </c>
      <c r="B10" s="5">
        <v>0</v>
      </c>
      <c r="C10" s="5">
        <v>0</v>
      </c>
      <c r="D10" s="5">
        <v>0</v>
      </c>
      <c r="E10" s="5">
        <v>0</v>
      </c>
      <c r="F10" s="5">
        <v>0</v>
      </c>
      <c r="G10" s="5">
        <v>0</v>
      </c>
      <c r="H10" s="5">
        <v>0</v>
      </c>
      <c r="I10" s="5">
        <v>0</v>
      </c>
      <c r="J10" s="5">
        <v>0</v>
      </c>
      <c r="K10" s="5">
        <v>0</v>
      </c>
      <c r="L10" s="5">
        <v>0</v>
      </c>
      <c r="M10" s="5">
        <v>0</v>
      </c>
      <c r="N10" s="5">
        <v>1</v>
      </c>
      <c r="O10" s="5">
        <v>0</v>
      </c>
      <c r="P10" s="5">
        <v>0</v>
      </c>
      <c r="Q10" s="5">
        <v>0</v>
      </c>
      <c r="R10" s="5">
        <v>0</v>
      </c>
      <c r="S10" s="5">
        <v>1</v>
      </c>
      <c r="T10" s="5">
        <v>0</v>
      </c>
      <c r="U10" s="5">
        <v>0</v>
      </c>
      <c r="V10" s="5">
        <v>0</v>
      </c>
      <c r="W10" s="5">
        <v>0</v>
      </c>
      <c r="X10" s="5">
        <v>2</v>
      </c>
      <c r="Y10" s="5">
        <v>1</v>
      </c>
      <c r="Z10" s="5">
        <v>0</v>
      </c>
      <c r="AA10" s="5">
        <v>0</v>
      </c>
      <c r="AB10" s="5">
        <v>0</v>
      </c>
      <c r="AC10" s="5">
        <v>0</v>
      </c>
      <c r="AD10" s="5">
        <v>0</v>
      </c>
      <c r="AE10" s="5">
        <v>1</v>
      </c>
      <c r="AF10" s="5">
        <v>0</v>
      </c>
      <c r="AG10" s="5">
        <v>0</v>
      </c>
      <c r="AH10" s="5">
        <v>0</v>
      </c>
      <c r="AI10" s="5">
        <v>0</v>
      </c>
      <c r="AJ10" s="5">
        <v>0</v>
      </c>
      <c r="AK10" s="5">
        <v>0</v>
      </c>
      <c r="AL10" s="5">
        <v>0</v>
      </c>
      <c r="AM10" s="5">
        <v>0</v>
      </c>
      <c r="AN10" s="5">
        <v>0</v>
      </c>
      <c r="AO10" s="5">
        <v>0</v>
      </c>
      <c r="AP10" s="5">
        <v>0</v>
      </c>
      <c r="AQ10" s="5">
        <v>0</v>
      </c>
      <c r="AR10" s="5">
        <v>0</v>
      </c>
      <c r="AS10" s="5">
        <v>0</v>
      </c>
      <c r="AT10" s="5">
        <v>0</v>
      </c>
      <c r="AU10" s="5">
        <v>0</v>
      </c>
      <c r="AV10" s="5">
        <v>0</v>
      </c>
      <c r="AW10" s="5">
        <v>0</v>
      </c>
      <c r="AX10" s="5">
        <v>0</v>
      </c>
      <c r="AY10" s="5">
        <v>0</v>
      </c>
      <c r="AZ10" s="5">
        <v>0</v>
      </c>
      <c r="BA10" s="5">
        <v>0</v>
      </c>
      <c r="BB10" s="5">
        <v>0</v>
      </c>
      <c r="BC10" s="5">
        <v>1</v>
      </c>
      <c r="BD10" s="5">
        <v>0</v>
      </c>
      <c r="BE10" s="5">
        <v>0</v>
      </c>
      <c r="BF10" s="5">
        <v>0</v>
      </c>
      <c r="BG10" s="5">
        <v>0</v>
      </c>
      <c r="BH10" s="5">
        <v>0</v>
      </c>
      <c r="BI10" s="5">
        <v>5</v>
      </c>
      <c r="BJ10" s="5">
        <v>0</v>
      </c>
      <c r="BK10" s="5">
        <v>0</v>
      </c>
      <c r="BL10" s="5">
        <v>0</v>
      </c>
      <c r="BM10" s="5">
        <v>0</v>
      </c>
      <c r="BN10" s="5">
        <v>0</v>
      </c>
      <c r="BO10" s="5">
        <v>0</v>
      </c>
      <c r="BP10" s="5">
        <v>0</v>
      </c>
      <c r="BQ10" s="5">
        <v>0</v>
      </c>
      <c r="BR10" s="5">
        <v>0</v>
      </c>
      <c r="BS10" s="5">
        <v>0</v>
      </c>
      <c r="BT10" s="5">
        <v>0</v>
      </c>
      <c r="BU10" s="5">
        <v>0</v>
      </c>
    </row>
    <row r="11" spans="1:73" x14ac:dyDescent="0.3">
      <c r="A11" s="4" t="s">
        <v>184</v>
      </c>
      <c r="B11" s="5">
        <v>0</v>
      </c>
      <c r="C11" s="5">
        <v>0</v>
      </c>
      <c r="D11" s="5">
        <v>0</v>
      </c>
      <c r="E11" s="5">
        <v>0</v>
      </c>
      <c r="F11" s="5">
        <v>0</v>
      </c>
      <c r="G11" s="5">
        <v>0</v>
      </c>
      <c r="H11" s="5">
        <v>0</v>
      </c>
      <c r="I11" s="5">
        <v>0</v>
      </c>
      <c r="J11" s="5">
        <v>0</v>
      </c>
      <c r="K11" s="5">
        <v>0</v>
      </c>
      <c r="L11" s="5">
        <v>0</v>
      </c>
      <c r="M11" s="5">
        <v>0</v>
      </c>
      <c r="N11" s="5">
        <v>0</v>
      </c>
      <c r="O11" s="5">
        <v>0</v>
      </c>
      <c r="P11" s="5">
        <v>0</v>
      </c>
      <c r="Q11" s="5">
        <v>0</v>
      </c>
      <c r="R11" s="5">
        <v>0</v>
      </c>
      <c r="S11" s="5">
        <v>0</v>
      </c>
      <c r="T11" s="5">
        <v>0</v>
      </c>
      <c r="U11" s="5">
        <v>0</v>
      </c>
      <c r="V11" s="5">
        <v>0</v>
      </c>
      <c r="W11" s="5">
        <v>0</v>
      </c>
      <c r="X11" s="5">
        <v>1</v>
      </c>
      <c r="Y11" s="5">
        <v>0</v>
      </c>
      <c r="Z11" s="5">
        <v>0</v>
      </c>
      <c r="AA11" s="5">
        <v>0</v>
      </c>
      <c r="AB11" s="5">
        <v>0</v>
      </c>
      <c r="AC11" s="5">
        <v>0</v>
      </c>
      <c r="AD11" s="5">
        <v>0</v>
      </c>
      <c r="AE11" s="5">
        <v>0</v>
      </c>
      <c r="AF11" s="5">
        <v>0</v>
      </c>
      <c r="AG11" s="5">
        <v>0</v>
      </c>
      <c r="AH11" s="5">
        <v>1</v>
      </c>
      <c r="AI11" s="5">
        <v>0</v>
      </c>
      <c r="AJ11" s="5">
        <v>0</v>
      </c>
      <c r="AK11" s="5">
        <v>0</v>
      </c>
      <c r="AL11" s="5">
        <v>0</v>
      </c>
      <c r="AM11" s="5">
        <v>0</v>
      </c>
      <c r="AN11" s="5">
        <v>0</v>
      </c>
      <c r="AO11" s="5">
        <v>0</v>
      </c>
      <c r="AP11" s="5">
        <v>0</v>
      </c>
      <c r="AQ11" s="5">
        <v>0</v>
      </c>
      <c r="AR11" s="5">
        <v>0</v>
      </c>
      <c r="AS11" s="5">
        <v>0</v>
      </c>
      <c r="AT11" s="5">
        <v>0</v>
      </c>
      <c r="AU11" s="5">
        <v>0</v>
      </c>
      <c r="AV11" s="5">
        <v>0</v>
      </c>
      <c r="AW11" s="5">
        <v>0</v>
      </c>
      <c r="AX11" s="5">
        <v>0</v>
      </c>
      <c r="AY11" s="5">
        <v>0</v>
      </c>
      <c r="AZ11" s="5">
        <v>0</v>
      </c>
      <c r="BA11" s="5">
        <v>0</v>
      </c>
      <c r="BB11" s="5">
        <v>0</v>
      </c>
      <c r="BC11" s="5">
        <v>0</v>
      </c>
      <c r="BD11" s="5">
        <v>0</v>
      </c>
      <c r="BE11" s="5">
        <v>0</v>
      </c>
      <c r="BF11" s="5">
        <v>0</v>
      </c>
      <c r="BG11" s="5">
        <v>0</v>
      </c>
      <c r="BH11" s="5">
        <v>0</v>
      </c>
      <c r="BI11" s="5">
        <v>0</v>
      </c>
      <c r="BJ11" s="5">
        <v>0</v>
      </c>
      <c r="BK11" s="5">
        <v>0</v>
      </c>
      <c r="BL11" s="5">
        <v>0</v>
      </c>
      <c r="BM11" s="5">
        <v>0</v>
      </c>
      <c r="BN11" s="5">
        <v>0</v>
      </c>
      <c r="BO11" s="5">
        <v>0</v>
      </c>
      <c r="BP11" s="5">
        <v>0</v>
      </c>
      <c r="BQ11" s="5">
        <v>0</v>
      </c>
      <c r="BR11" s="5">
        <v>0</v>
      </c>
      <c r="BS11" s="5">
        <v>0</v>
      </c>
      <c r="BT11" s="5">
        <v>0</v>
      </c>
      <c r="BU11" s="5">
        <v>0</v>
      </c>
    </row>
    <row r="12" spans="1:73" x14ac:dyDescent="0.3">
      <c r="A12" s="4" t="s">
        <v>161</v>
      </c>
      <c r="B12" s="5">
        <v>0</v>
      </c>
      <c r="C12" s="5">
        <v>0</v>
      </c>
      <c r="D12" s="5">
        <v>0</v>
      </c>
      <c r="E12" s="5">
        <v>0</v>
      </c>
      <c r="F12" s="5">
        <v>0</v>
      </c>
      <c r="G12" s="5">
        <v>0</v>
      </c>
      <c r="H12" s="5">
        <v>0</v>
      </c>
      <c r="I12" s="5">
        <v>1</v>
      </c>
      <c r="J12" s="5">
        <v>0</v>
      </c>
      <c r="K12" s="5">
        <v>0</v>
      </c>
      <c r="L12" s="5">
        <v>0</v>
      </c>
      <c r="M12" s="5">
        <v>0</v>
      </c>
      <c r="N12" s="5">
        <v>0</v>
      </c>
      <c r="O12" s="5">
        <v>1</v>
      </c>
      <c r="P12" s="5">
        <v>0</v>
      </c>
      <c r="Q12" s="5">
        <v>0</v>
      </c>
      <c r="R12" s="5">
        <v>1</v>
      </c>
      <c r="S12" s="5">
        <v>0</v>
      </c>
      <c r="T12" s="5">
        <v>0</v>
      </c>
      <c r="U12" s="5">
        <v>0</v>
      </c>
      <c r="V12" s="5">
        <v>0</v>
      </c>
      <c r="W12" s="5">
        <v>0</v>
      </c>
      <c r="X12" s="5">
        <v>2</v>
      </c>
      <c r="Y12" s="5">
        <v>0</v>
      </c>
      <c r="Z12" s="5">
        <v>0</v>
      </c>
      <c r="AA12" s="5">
        <v>0</v>
      </c>
      <c r="AB12" s="5">
        <v>0</v>
      </c>
      <c r="AC12" s="5">
        <v>0</v>
      </c>
      <c r="AD12" s="5">
        <v>0</v>
      </c>
      <c r="AE12" s="5">
        <v>2</v>
      </c>
      <c r="AF12" s="5">
        <v>0</v>
      </c>
      <c r="AG12" s="5">
        <v>0</v>
      </c>
      <c r="AH12" s="5">
        <v>0</v>
      </c>
      <c r="AI12" s="5">
        <v>0</v>
      </c>
      <c r="AJ12" s="5">
        <v>0</v>
      </c>
      <c r="AK12" s="5">
        <v>0</v>
      </c>
      <c r="AL12" s="5">
        <v>0</v>
      </c>
      <c r="AM12" s="5">
        <v>0</v>
      </c>
      <c r="AN12" s="5">
        <v>0</v>
      </c>
      <c r="AO12" s="5">
        <v>1</v>
      </c>
      <c r="AP12" s="5">
        <v>0</v>
      </c>
      <c r="AQ12" s="5">
        <v>0</v>
      </c>
      <c r="AR12" s="5">
        <v>0</v>
      </c>
      <c r="AS12" s="5">
        <v>0</v>
      </c>
      <c r="AT12" s="5">
        <v>0</v>
      </c>
      <c r="AU12" s="5">
        <v>3</v>
      </c>
      <c r="AV12" s="5">
        <v>0</v>
      </c>
      <c r="AW12" s="5">
        <v>0</v>
      </c>
      <c r="AX12" s="5">
        <v>0</v>
      </c>
      <c r="AY12" s="5">
        <v>0</v>
      </c>
      <c r="AZ12" s="5">
        <v>1</v>
      </c>
      <c r="BA12" s="5">
        <v>0</v>
      </c>
      <c r="BB12" s="5">
        <v>0</v>
      </c>
      <c r="BC12" s="5">
        <v>0</v>
      </c>
      <c r="BD12" s="5">
        <v>0</v>
      </c>
      <c r="BE12" s="5">
        <v>0</v>
      </c>
      <c r="BF12" s="5">
        <v>0</v>
      </c>
      <c r="BG12" s="5">
        <v>0</v>
      </c>
      <c r="BH12" s="5">
        <v>4</v>
      </c>
      <c r="BI12" s="5">
        <v>31</v>
      </c>
      <c r="BJ12" s="5">
        <v>0</v>
      </c>
      <c r="BK12" s="5">
        <v>0</v>
      </c>
      <c r="BL12" s="5">
        <v>0</v>
      </c>
      <c r="BM12" s="5">
        <v>0</v>
      </c>
      <c r="BN12" s="5">
        <v>0</v>
      </c>
      <c r="BO12" s="5">
        <v>0</v>
      </c>
      <c r="BP12" s="5">
        <v>3</v>
      </c>
      <c r="BQ12" s="5">
        <v>0</v>
      </c>
      <c r="BR12" s="5">
        <v>0</v>
      </c>
      <c r="BS12" s="5">
        <v>0</v>
      </c>
      <c r="BT12" s="5">
        <v>0</v>
      </c>
      <c r="BU12" s="5">
        <v>0</v>
      </c>
    </row>
    <row r="13" spans="1:73" x14ac:dyDescent="0.3">
      <c r="A13" s="4" t="s">
        <v>183</v>
      </c>
      <c r="B13" s="5">
        <v>0</v>
      </c>
      <c r="C13" s="5">
        <v>0</v>
      </c>
      <c r="D13" s="5">
        <v>0</v>
      </c>
      <c r="E13" s="5">
        <v>0</v>
      </c>
      <c r="F13" s="5">
        <v>0</v>
      </c>
      <c r="G13" s="5">
        <v>0</v>
      </c>
      <c r="H13" s="5">
        <v>0</v>
      </c>
      <c r="I13" s="5">
        <v>0</v>
      </c>
      <c r="J13" s="5">
        <v>0</v>
      </c>
      <c r="K13" s="5">
        <v>0</v>
      </c>
      <c r="L13" s="5">
        <v>0</v>
      </c>
      <c r="M13" s="5">
        <v>0</v>
      </c>
      <c r="N13" s="5">
        <v>0</v>
      </c>
      <c r="O13" s="5">
        <v>0</v>
      </c>
      <c r="P13" s="5">
        <v>0</v>
      </c>
      <c r="Q13" s="5">
        <v>0</v>
      </c>
      <c r="R13" s="5">
        <v>1</v>
      </c>
      <c r="S13" s="5">
        <v>0</v>
      </c>
      <c r="T13" s="5">
        <v>0</v>
      </c>
      <c r="U13" s="5">
        <v>0</v>
      </c>
      <c r="V13" s="5">
        <v>0</v>
      </c>
      <c r="W13" s="5">
        <v>0</v>
      </c>
      <c r="X13" s="5">
        <v>0</v>
      </c>
      <c r="Y13" s="5">
        <v>0</v>
      </c>
      <c r="Z13" s="5">
        <v>0</v>
      </c>
      <c r="AA13" s="5">
        <v>0</v>
      </c>
      <c r="AB13" s="5">
        <v>0</v>
      </c>
      <c r="AC13" s="5">
        <v>0</v>
      </c>
      <c r="AD13" s="5">
        <v>0</v>
      </c>
      <c r="AE13" s="5">
        <v>0</v>
      </c>
      <c r="AF13" s="5">
        <v>0</v>
      </c>
      <c r="AG13" s="5">
        <v>0</v>
      </c>
      <c r="AH13" s="5">
        <v>0</v>
      </c>
      <c r="AI13" s="5">
        <v>2</v>
      </c>
      <c r="AJ13" s="5">
        <v>0</v>
      </c>
      <c r="AK13" s="5">
        <v>0</v>
      </c>
      <c r="AL13" s="5">
        <v>0</v>
      </c>
      <c r="AM13" s="5">
        <v>0</v>
      </c>
      <c r="AN13" s="5">
        <v>0</v>
      </c>
      <c r="AO13" s="5">
        <v>0</v>
      </c>
      <c r="AP13" s="5">
        <v>0</v>
      </c>
      <c r="AQ13" s="5">
        <v>0</v>
      </c>
      <c r="AR13" s="5">
        <v>0</v>
      </c>
      <c r="AS13" s="5">
        <v>0</v>
      </c>
      <c r="AT13" s="5">
        <v>0</v>
      </c>
      <c r="AU13" s="5">
        <v>0</v>
      </c>
      <c r="AV13" s="5">
        <v>0</v>
      </c>
      <c r="AW13" s="5">
        <v>0</v>
      </c>
      <c r="AX13" s="5">
        <v>0</v>
      </c>
      <c r="AY13" s="5">
        <v>0</v>
      </c>
      <c r="AZ13" s="5">
        <v>0</v>
      </c>
      <c r="BA13" s="5">
        <v>0</v>
      </c>
      <c r="BB13" s="5">
        <v>0</v>
      </c>
      <c r="BC13" s="5">
        <v>0</v>
      </c>
      <c r="BD13" s="5">
        <v>0</v>
      </c>
      <c r="BE13" s="5">
        <v>0</v>
      </c>
      <c r="BF13" s="5">
        <v>1</v>
      </c>
      <c r="BG13" s="5">
        <v>0</v>
      </c>
      <c r="BH13" s="5">
        <v>0</v>
      </c>
      <c r="BI13" s="5">
        <v>3</v>
      </c>
      <c r="BJ13" s="5">
        <v>0</v>
      </c>
      <c r="BK13" s="5">
        <v>0</v>
      </c>
      <c r="BL13" s="5">
        <v>0</v>
      </c>
      <c r="BM13" s="5">
        <v>1</v>
      </c>
      <c r="BN13" s="5">
        <v>0</v>
      </c>
      <c r="BO13" s="5">
        <v>0</v>
      </c>
      <c r="BP13" s="5">
        <v>0</v>
      </c>
      <c r="BQ13" s="5">
        <v>0</v>
      </c>
      <c r="BR13" s="5">
        <v>0</v>
      </c>
      <c r="BS13" s="5">
        <v>0</v>
      </c>
      <c r="BT13" s="5">
        <v>0</v>
      </c>
      <c r="BU13" s="5">
        <v>0</v>
      </c>
    </row>
    <row r="14" spans="1:73" x14ac:dyDescent="0.3">
      <c r="A14" s="4" t="s">
        <v>162</v>
      </c>
      <c r="B14" s="5">
        <v>0</v>
      </c>
      <c r="C14" s="5">
        <v>0</v>
      </c>
      <c r="D14" s="5">
        <v>0</v>
      </c>
      <c r="E14" s="5">
        <v>0</v>
      </c>
      <c r="F14" s="5">
        <v>0</v>
      </c>
      <c r="G14" s="5">
        <v>0</v>
      </c>
      <c r="H14" s="5">
        <v>0</v>
      </c>
      <c r="I14" s="5">
        <v>0</v>
      </c>
      <c r="J14" s="5">
        <v>0</v>
      </c>
      <c r="K14" s="5">
        <v>0</v>
      </c>
      <c r="L14" s="5">
        <v>0</v>
      </c>
      <c r="M14" s="5">
        <v>0</v>
      </c>
      <c r="N14" s="5">
        <v>1</v>
      </c>
      <c r="O14" s="5">
        <v>0</v>
      </c>
      <c r="P14" s="5">
        <v>0</v>
      </c>
      <c r="Q14" s="5">
        <v>0</v>
      </c>
      <c r="R14" s="5">
        <v>1</v>
      </c>
      <c r="S14" s="5">
        <v>0</v>
      </c>
      <c r="T14" s="5">
        <v>0</v>
      </c>
      <c r="U14" s="5">
        <v>0</v>
      </c>
      <c r="V14" s="5">
        <v>0</v>
      </c>
      <c r="W14" s="5">
        <v>0</v>
      </c>
      <c r="X14" s="5">
        <v>0</v>
      </c>
      <c r="Y14" s="5">
        <v>0</v>
      </c>
      <c r="Z14" s="5">
        <v>0</v>
      </c>
      <c r="AA14" s="5">
        <v>0</v>
      </c>
      <c r="AB14" s="5">
        <v>0</v>
      </c>
      <c r="AC14" s="5">
        <v>0</v>
      </c>
      <c r="AD14" s="5">
        <v>0</v>
      </c>
      <c r="AE14" s="5">
        <v>0</v>
      </c>
      <c r="AF14" s="5">
        <v>0</v>
      </c>
      <c r="AG14" s="5">
        <v>0</v>
      </c>
      <c r="AH14" s="5">
        <v>0</v>
      </c>
      <c r="AI14" s="5">
        <v>1</v>
      </c>
      <c r="AJ14" s="5">
        <v>0</v>
      </c>
      <c r="AK14" s="5">
        <v>0</v>
      </c>
      <c r="AL14" s="5">
        <v>0</v>
      </c>
      <c r="AM14" s="5">
        <v>0</v>
      </c>
      <c r="AN14" s="5">
        <v>0</v>
      </c>
      <c r="AO14" s="5">
        <v>0</v>
      </c>
      <c r="AP14" s="5">
        <v>0</v>
      </c>
      <c r="AQ14" s="5">
        <v>0</v>
      </c>
      <c r="AR14" s="5">
        <v>0</v>
      </c>
      <c r="AS14" s="5">
        <v>0</v>
      </c>
      <c r="AT14" s="5">
        <v>0</v>
      </c>
      <c r="AU14" s="5">
        <v>0</v>
      </c>
      <c r="AV14" s="5">
        <v>0</v>
      </c>
      <c r="AW14" s="5">
        <v>0</v>
      </c>
      <c r="AX14" s="5">
        <v>0</v>
      </c>
      <c r="AY14" s="5">
        <v>0</v>
      </c>
      <c r="AZ14" s="5">
        <v>0</v>
      </c>
      <c r="BA14" s="5">
        <v>0</v>
      </c>
      <c r="BB14" s="5">
        <v>0</v>
      </c>
      <c r="BC14" s="5">
        <v>0</v>
      </c>
      <c r="BD14" s="5">
        <v>0</v>
      </c>
      <c r="BE14" s="5">
        <v>0</v>
      </c>
      <c r="BF14" s="5">
        <v>0</v>
      </c>
      <c r="BG14" s="5">
        <v>0</v>
      </c>
      <c r="BH14" s="5">
        <v>0</v>
      </c>
      <c r="BI14" s="5">
        <v>1</v>
      </c>
      <c r="BJ14" s="5">
        <v>0</v>
      </c>
      <c r="BK14" s="5">
        <v>0</v>
      </c>
      <c r="BL14" s="5">
        <v>0</v>
      </c>
      <c r="BM14" s="5">
        <v>0</v>
      </c>
      <c r="BN14" s="5">
        <v>0</v>
      </c>
      <c r="BO14" s="5">
        <v>0</v>
      </c>
      <c r="BP14" s="5">
        <v>0</v>
      </c>
      <c r="BQ14" s="5">
        <v>0</v>
      </c>
      <c r="BR14" s="5">
        <v>0</v>
      </c>
      <c r="BS14" s="5">
        <v>0</v>
      </c>
      <c r="BT14" s="5">
        <v>0</v>
      </c>
      <c r="BU14" s="5">
        <v>0</v>
      </c>
    </row>
    <row r="15" spans="1:73" x14ac:dyDescent="0.3">
      <c r="A15" s="4" t="s">
        <v>205</v>
      </c>
      <c r="B15" s="5">
        <v>0</v>
      </c>
      <c r="C15" s="5">
        <v>0</v>
      </c>
      <c r="D15" s="5">
        <v>0</v>
      </c>
      <c r="E15" s="5">
        <v>0</v>
      </c>
      <c r="F15" s="5">
        <v>0</v>
      </c>
      <c r="G15" s="5">
        <v>0</v>
      </c>
      <c r="H15" s="5">
        <v>0</v>
      </c>
      <c r="I15" s="5">
        <v>0</v>
      </c>
      <c r="J15" s="5">
        <v>0</v>
      </c>
      <c r="K15" s="5">
        <v>0</v>
      </c>
      <c r="L15" s="5">
        <v>0</v>
      </c>
      <c r="M15" s="5">
        <v>0</v>
      </c>
      <c r="N15" s="5">
        <v>0</v>
      </c>
      <c r="O15" s="5">
        <v>2</v>
      </c>
      <c r="P15" s="5">
        <v>0</v>
      </c>
      <c r="Q15" s="5">
        <v>0</v>
      </c>
      <c r="R15" s="5">
        <v>0</v>
      </c>
      <c r="S15" s="5">
        <v>2</v>
      </c>
      <c r="T15" s="5">
        <v>0</v>
      </c>
      <c r="U15" s="5">
        <v>0</v>
      </c>
      <c r="V15" s="5">
        <v>4</v>
      </c>
      <c r="W15" s="5">
        <v>0</v>
      </c>
      <c r="X15" s="5">
        <v>6</v>
      </c>
      <c r="Y15" s="5">
        <v>0</v>
      </c>
      <c r="Z15" s="5">
        <v>2</v>
      </c>
      <c r="AA15" s="5">
        <v>0</v>
      </c>
      <c r="AB15" s="5">
        <v>0</v>
      </c>
      <c r="AC15" s="5">
        <v>2</v>
      </c>
      <c r="AD15" s="5">
        <v>0</v>
      </c>
      <c r="AE15" s="5">
        <v>1</v>
      </c>
      <c r="AF15" s="5">
        <v>0</v>
      </c>
      <c r="AG15" s="5">
        <v>0</v>
      </c>
      <c r="AH15" s="5">
        <v>1</v>
      </c>
      <c r="AI15" s="5">
        <v>0</v>
      </c>
      <c r="AJ15" s="5">
        <v>0</v>
      </c>
      <c r="AK15" s="5">
        <v>0</v>
      </c>
      <c r="AL15" s="5">
        <v>0</v>
      </c>
      <c r="AM15" s="5">
        <v>0</v>
      </c>
      <c r="AN15" s="5">
        <v>0</v>
      </c>
      <c r="AO15" s="5">
        <v>0</v>
      </c>
      <c r="AP15" s="5">
        <v>0</v>
      </c>
      <c r="AQ15" s="5">
        <v>0</v>
      </c>
      <c r="AR15" s="5">
        <v>0</v>
      </c>
      <c r="AS15" s="5">
        <v>0</v>
      </c>
      <c r="AT15" s="5">
        <v>0</v>
      </c>
      <c r="AU15" s="5">
        <v>0</v>
      </c>
      <c r="AV15" s="5">
        <v>0</v>
      </c>
      <c r="AW15" s="5">
        <v>0</v>
      </c>
      <c r="AX15" s="5">
        <v>0</v>
      </c>
      <c r="AY15" s="5">
        <v>0</v>
      </c>
      <c r="AZ15" s="5">
        <v>0</v>
      </c>
      <c r="BA15" s="5">
        <v>0</v>
      </c>
      <c r="BB15" s="5">
        <v>0</v>
      </c>
      <c r="BC15" s="5">
        <v>1</v>
      </c>
      <c r="BD15" s="5">
        <v>0</v>
      </c>
      <c r="BE15" s="5">
        <v>1</v>
      </c>
      <c r="BF15" s="5">
        <v>0</v>
      </c>
      <c r="BG15" s="5">
        <v>0</v>
      </c>
      <c r="BH15" s="5">
        <v>0</v>
      </c>
      <c r="BI15" s="5">
        <v>0</v>
      </c>
      <c r="BJ15" s="5">
        <v>0</v>
      </c>
      <c r="BK15" s="5">
        <v>0</v>
      </c>
      <c r="BL15" s="5">
        <v>0</v>
      </c>
      <c r="BM15" s="5">
        <v>0</v>
      </c>
      <c r="BN15" s="5">
        <v>0</v>
      </c>
      <c r="BO15" s="5">
        <v>0</v>
      </c>
      <c r="BP15" s="5">
        <v>0</v>
      </c>
      <c r="BQ15" s="5">
        <v>0</v>
      </c>
      <c r="BR15" s="5">
        <v>1</v>
      </c>
      <c r="BS15" s="5">
        <v>0</v>
      </c>
      <c r="BT15" s="5">
        <v>0</v>
      </c>
      <c r="BU15" s="5">
        <v>0</v>
      </c>
    </row>
    <row r="16" spans="1:73" x14ac:dyDescent="0.3">
      <c r="A16" s="4" t="s">
        <v>197</v>
      </c>
      <c r="B16" s="5">
        <v>0</v>
      </c>
      <c r="C16" s="5">
        <v>0</v>
      </c>
      <c r="D16" s="5">
        <v>0</v>
      </c>
      <c r="E16" s="5">
        <v>0</v>
      </c>
      <c r="F16" s="5">
        <v>0</v>
      </c>
      <c r="G16" s="5">
        <v>0</v>
      </c>
      <c r="H16" s="5">
        <v>0</v>
      </c>
      <c r="I16" s="5">
        <v>0</v>
      </c>
      <c r="J16" s="5">
        <v>0</v>
      </c>
      <c r="K16" s="5">
        <v>0</v>
      </c>
      <c r="L16" s="5">
        <v>0</v>
      </c>
      <c r="M16" s="5">
        <v>0</v>
      </c>
      <c r="N16" s="5">
        <v>0</v>
      </c>
      <c r="O16" s="5">
        <v>0</v>
      </c>
      <c r="P16" s="5">
        <v>0</v>
      </c>
      <c r="Q16" s="5">
        <v>0</v>
      </c>
      <c r="R16" s="5">
        <v>0</v>
      </c>
      <c r="S16" s="5">
        <v>0</v>
      </c>
      <c r="T16" s="5">
        <v>0</v>
      </c>
      <c r="U16" s="5">
        <v>0</v>
      </c>
      <c r="V16" s="5">
        <v>0</v>
      </c>
      <c r="W16" s="5">
        <v>0</v>
      </c>
      <c r="X16" s="5">
        <v>1</v>
      </c>
      <c r="Y16" s="5">
        <v>0</v>
      </c>
      <c r="Z16" s="5">
        <v>0</v>
      </c>
      <c r="AA16" s="5">
        <v>0</v>
      </c>
      <c r="AB16" s="5">
        <v>0</v>
      </c>
      <c r="AC16" s="5">
        <v>0</v>
      </c>
      <c r="AD16" s="5">
        <v>0</v>
      </c>
      <c r="AE16" s="5">
        <v>0</v>
      </c>
      <c r="AF16" s="5">
        <v>0</v>
      </c>
      <c r="AG16" s="5">
        <v>0</v>
      </c>
      <c r="AH16" s="5">
        <v>1</v>
      </c>
      <c r="AI16" s="5">
        <v>1</v>
      </c>
      <c r="AJ16" s="5">
        <v>0</v>
      </c>
      <c r="AK16" s="5">
        <v>0</v>
      </c>
      <c r="AL16" s="5">
        <v>0</v>
      </c>
      <c r="AM16" s="5">
        <v>0</v>
      </c>
      <c r="AN16" s="5">
        <v>0</v>
      </c>
      <c r="AO16" s="5">
        <v>0</v>
      </c>
      <c r="AP16" s="5">
        <v>0</v>
      </c>
      <c r="AQ16" s="5">
        <v>0</v>
      </c>
      <c r="AR16" s="5">
        <v>0</v>
      </c>
      <c r="AS16" s="5">
        <v>0</v>
      </c>
      <c r="AT16" s="5">
        <v>0</v>
      </c>
      <c r="AU16" s="5">
        <v>0</v>
      </c>
      <c r="AV16" s="5">
        <v>0</v>
      </c>
      <c r="AW16" s="5">
        <v>0</v>
      </c>
      <c r="AX16" s="5">
        <v>0</v>
      </c>
      <c r="AY16" s="5">
        <v>0</v>
      </c>
      <c r="AZ16" s="5">
        <v>0</v>
      </c>
      <c r="BA16" s="5">
        <v>0</v>
      </c>
      <c r="BB16" s="5">
        <v>0</v>
      </c>
      <c r="BC16" s="5">
        <v>1</v>
      </c>
      <c r="BD16" s="5">
        <v>0</v>
      </c>
      <c r="BE16" s="5">
        <v>0</v>
      </c>
      <c r="BF16" s="5">
        <v>1</v>
      </c>
      <c r="BG16" s="5">
        <v>0</v>
      </c>
      <c r="BH16" s="5">
        <v>0</v>
      </c>
      <c r="BI16" s="5">
        <v>0</v>
      </c>
      <c r="BJ16" s="5">
        <v>0</v>
      </c>
      <c r="BK16" s="5">
        <v>0</v>
      </c>
      <c r="BL16" s="5">
        <v>0</v>
      </c>
      <c r="BM16" s="5">
        <v>0</v>
      </c>
      <c r="BN16" s="5">
        <v>0</v>
      </c>
      <c r="BO16" s="5">
        <v>0</v>
      </c>
      <c r="BP16" s="5">
        <v>0</v>
      </c>
      <c r="BQ16" s="5">
        <v>0</v>
      </c>
      <c r="BR16" s="5">
        <v>0</v>
      </c>
      <c r="BS16" s="5">
        <v>0</v>
      </c>
      <c r="BT16" s="5">
        <v>0</v>
      </c>
      <c r="BU16" s="5">
        <v>0</v>
      </c>
    </row>
    <row r="17" spans="1:73" x14ac:dyDescent="0.3">
      <c r="A17" s="4" t="s">
        <v>189</v>
      </c>
      <c r="B17" s="5">
        <v>0</v>
      </c>
      <c r="C17" s="5">
        <v>0</v>
      </c>
      <c r="D17" s="5">
        <v>0</v>
      </c>
      <c r="E17" s="5">
        <v>0</v>
      </c>
      <c r="F17" s="5">
        <v>0</v>
      </c>
      <c r="G17" s="5">
        <v>0</v>
      </c>
      <c r="H17" s="5">
        <v>0</v>
      </c>
      <c r="I17" s="5">
        <v>0</v>
      </c>
      <c r="J17" s="5">
        <v>0</v>
      </c>
      <c r="K17" s="5">
        <v>0</v>
      </c>
      <c r="L17" s="5">
        <v>0</v>
      </c>
      <c r="M17" s="5">
        <v>0</v>
      </c>
      <c r="N17" s="5">
        <v>0</v>
      </c>
      <c r="O17" s="5">
        <v>1</v>
      </c>
      <c r="P17" s="5">
        <v>0</v>
      </c>
      <c r="Q17" s="5">
        <v>0</v>
      </c>
      <c r="R17" s="5">
        <v>0</v>
      </c>
      <c r="S17" s="5">
        <v>0</v>
      </c>
      <c r="T17" s="5">
        <v>0</v>
      </c>
      <c r="U17" s="5">
        <v>0</v>
      </c>
      <c r="V17" s="5">
        <v>1</v>
      </c>
      <c r="W17" s="5">
        <v>0</v>
      </c>
      <c r="X17" s="5">
        <v>5</v>
      </c>
      <c r="Y17" s="5">
        <v>0</v>
      </c>
      <c r="Z17" s="5">
        <v>1</v>
      </c>
      <c r="AA17" s="5">
        <v>0</v>
      </c>
      <c r="AB17" s="5">
        <v>0</v>
      </c>
      <c r="AC17" s="5">
        <v>0</v>
      </c>
      <c r="AD17" s="5">
        <v>0</v>
      </c>
      <c r="AE17" s="5">
        <v>0</v>
      </c>
      <c r="AF17" s="5">
        <v>0</v>
      </c>
      <c r="AG17" s="5">
        <v>0</v>
      </c>
      <c r="AH17" s="5">
        <v>4</v>
      </c>
      <c r="AI17" s="5">
        <v>2</v>
      </c>
      <c r="AJ17" s="5">
        <v>0</v>
      </c>
      <c r="AK17" s="5">
        <v>0</v>
      </c>
      <c r="AL17" s="5">
        <v>0</v>
      </c>
      <c r="AM17" s="5">
        <v>0</v>
      </c>
      <c r="AN17" s="5">
        <v>0</v>
      </c>
      <c r="AO17" s="5">
        <v>0</v>
      </c>
      <c r="AP17" s="5">
        <v>0</v>
      </c>
      <c r="AQ17" s="5">
        <v>0</v>
      </c>
      <c r="AR17" s="5">
        <v>0</v>
      </c>
      <c r="AS17" s="5">
        <v>0</v>
      </c>
      <c r="AT17" s="5">
        <v>0</v>
      </c>
      <c r="AU17" s="5">
        <v>2</v>
      </c>
      <c r="AV17" s="5">
        <v>0</v>
      </c>
      <c r="AW17" s="5">
        <v>0</v>
      </c>
      <c r="AX17" s="5">
        <v>0</v>
      </c>
      <c r="AY17" s="5">
        <v>0</v>
      </c>
      <c r="AZ17" s="5">
        <v>2</v>
      </c>
      <c r="BA17" s="5">
        <v>0</v>
      </c>
      <c r="BB17" s="5">
        <v>0</v>
      </c>
      <c r="BC17" s="5">
        <v>0</v>
      </c>
      <c r="BD17" s="5">
        <v>0</v>
      </c>
      <c r="BE17" s="5">
        <v>0</v>
      </c>
      <c r="BF17" s="5">
        <v>0</v>
      </c>
      <c r="BG17" s="5">
        <v>0</v>
      </c>
      <c r="BH17" s="5">
        <v>0</v>
      </c>
      <c r="BI17" s="5">
        <v>7</v>
      </c>
      <c r="BJ17" s="5">
        <v>0</v>
      </c>
      <c r="BK17" s="5">
        <v>0</v>
      </c>
      <c r="BL17" s="5">
        <v>0</v>
      </c>
      <c r="BM17" s="5">
        <v>0</v>
      </c>
      <c r="BN17" s="5">
        <v>0</v>
      </c>
      <c r="BO17" s="5">
        <v>0</v>
      </c>
      <c r="BP17" s="5">
        <v>0</v>
      </c>
      <c r="BQ17" s="5">
        <v>0</v>
      </c>
      <c r="BR17" s="5">
        <v>0</v>
      </c>
      <c r="BS17" s="5">
        <v>0</v>
      </c>
      <c r="BT17" s="5">
        <v>0</v>
      </c>
      <c r="BU17" s="5">
        <v>0</v>
      </c>
    </row>
    <row r="18" spans="1:73" x14ac:dyDescent="0.3">
      <c r="A18" s="4" t="s">
        <v>153</v>
      </c>
      <c r="B18" s="5">
        <v>0</v>
      </c>
      <c r="C18" s="5">
        <v>0</v>
      </c>
      <c r="D18" s="5">
        <v>0</v>
      </c>
      <c r="E18" s="5">
        <v>0</v>
      </c>
      <c r="F18" s="5">
        <v>0</v>
      </c>
      <c r="G18" s="5">
        <v>0</v>
      </c>
      <c r="H18" s="5">
        <v>0</v>
      </c>
      <c r="I18" s="5">
        <v>0</v>
      </c>
      <c r="J18" s="5">
        <v>0</v>
      </c>
      <c r="K18" s="5">
        <v>0</v>
      </c>
      <c r="L18" s="5">
        <v>0</v>
      </c>
      <c r="M18" s="5">
        <v>0</v>
      </c>
      <c r="N18" s="5">
        <v>3</v>
      </c>
      <c r="O18" s="5">
        <v>0</v>
      </c>
      <c r="P18" s="5">
        <v>0</v>
      </c>
      <c r="Q18" s="5">
        <v>0</v>
      </c>
      <c r="R18" s="5">
        <v>0</v>
      </c>
      <c r="S18" s="5">
        <v>0</v>
      </c>
      <c r="T18" s="5">
        <v>0</v>
      </c>
      <c r="U18" s="5">
        <v>1</v>
      </c>
      <c r="V18" s="5">
        <v>2</v>
      </c>
      <c r="W18" s="5">
        <v>0</v>
      </c>
      <c r="X18" s="5">
        <v>5</v>
      </c>
      <c r="Y18" s="5">
        <v>1</v>
      </c>
      <c r="Z18" s="5">
        <v>0</v>
      </c>
      <c r="AA18" s="5">
        <v>0</v>
      </c>
      <c r="AB18" s="5">
        <v>0</v>
      </c>
      <c r="AC18" s="5">
        <v>0</v>
      </c>
      <c r="AD18" s="5">
        <v>1</v>
      </c>
      <c r="AE18" s="5">
        <v>2</v>
      </c>
      <c r="AF18" s="5">
        <v>0</v>
      </c>
      <c r="AG18" s="5">
        <v>0</v>
      </c>
      <c r="AH18" s="5">
        <v>1</v>
      </c>
      <c r="AI18" s="5">
        <v>2</v>
      </c>
      <c r="AJ18" s="5">
        <v>0</v>
      </c>
      <c r="AK18" s="5">
        <v>0</v>
      </c>
      <c r="AL18" s="5">
        <v>0</v>
      </c>
      <c r="AM18" s="5">
        <v>0</v>
      </c>
      <c r="AN18" s="5">
        <v>0</v>
      </c>
      <c r="AO18" s="5">
        <v>0</v>
      </c>
      <c r="AP18" s="5">
        <v>0</v>
      </c>
      <c r="AQ18" s="5">
        <v>0</v>
      </c>
      <c r="AR18" s="5">
        <v>0</v>
      </c>
      <c r="AS18" s="5">
        <v>2</v>
      </c>
      <c r="AT18" s="5">
        <v>0</v>
      </c>
      <c r="AU18" s="5">
        <v>0</v>
      </c>
      <c r="AV18" s="5">
        <v>0</v>
      </c>
      <c r="AW18" s="5">
        <v>0</v>
      </c>
      <c r="AX18" s="5">
        <v>0</v>
      </c>
      <c r="AY18" s="5">
        <v>0</v>
      </c>
      <c r="AZ18" s="5">
        <v>2</v>
      </c>
      <c r="BA18" s="5">
        <v>0</v>
      </c>
      <c r="BB18" s="5">
        <v>0</v>
      </c>
      <c r="BC18" s="5">
        <v>0</v>
      </c>
      <c r="BD18" s="5">
        <v>0</v>
      </c>
      <c r="BE18" s="5">
        <v>0</v>
      </c>
      <c r="BF18" s="5">
        <v>0</v>
      </c>
      <c r="BG18" s="5">
        <v>0</v>
      </c>
      <c r="BH18" s="5">
        <v>0</v>
      </c>
      <c r="BI18" s="5">
        <v>8</v>
      </c>
      <c r="BJ18" s="5">
        <v>0</v>
      </c>
      <c r="BK18" s="5">
        <v>0</v>
      </c>
      <c r="BL18" s="5">
        <v>0</v>
      </c>
      <c r="BM18" s="5">
        <v>0</v>
      </c>
      <c r="BN18" s="5">
        <v>0</v>
      </c>
      <c r="BO18" s="5">
        <v>0</v>
      </c>
      <c r="BP18" s="5">
        <v>3</v>
      </c>
      <c r="BQ18" s="5">
        <v>0</v>
      </c>
      <c r="BR18" s="5">
        <v>0</v>
      </c>
      <c r="BS18" s="5">
        <v>0</v>
      </c>
      <c r="BT18" s="5">
        <v>0</v>
      </c>
      <c r="BU18" s="5">
        <v>0</v>
      </c>
    </row>
    <row r="19" spans="1:73" x14ac:dyDescent="0.3">
      <c r="A19" s="4" t="s">
        <v>211</v>
      </c>
      <c r="B19" s="5">
        <v>0</v>
      </c>
      <c r="C19" s="5">
        <v>0</v>
      </c>
      <c r="D19" s="5">
        <v>0</v>
      </c>
      <c r="E19" s="5">
        <v>0</v>
      </c>
      <c r="F19" s="5">
        <v>0</v>
      </c>
      <c r="G19" s="5">
        <v>0</v>
      </c>
      <c r="H19" s="5">
        <v>0</v>
      </c>
      <c r="I19" s="5">
        <v>0</v>
      </c>
      <c r="J19" s="5">
        <v>0</v>
      </c>
      <c r="K19" s="5">
        <v>0</v>
      </c>
      <c r="L19" s="5">
        <v>0</v>
      </c>
      <c r="M19" s="5">
        <v>0</v>
      </c>
      <c r="N19" s="5">
        <v>0</v>
      </c>
      <c r="O19" s="5">
        <v>0</v>
      </c>
      <c r="P19" s="5">
        <v>0</v>
      </c>
      <c r="Q19" s="5">
        <v>0</v>
      </c>
      <c r="R19" s="5">
        <v>0</v>
      </c>
      <c r="S19" s="5">
        <v>0</v>
      </c>
      <c r="T19" s="5">
        <v>0</v>
      </c>
      <c r="U19" s="5">
        <v>0</v>
      </c>
      <c r="V19" s="5">
        <v>0</v>
      </c>
      <c r="W19" s="5">
        <v>0</v>
      </c>
      <c r="X19" s="5">
        <v>0</v>
      </c>
      <c r="Y19" s="5">
        <v>0</v>
      </c>
      <c r="Z19" s="5">
        <v>0</v>
      </c>
      <c r="AA19" s="5">
        <v>0</v>
      </c>
      <c r="AB19" s="5">
        <v>0</v>
      </c>
      <c r="AC19" s="5">
        <v>0</v>
      </c>
      <c r="AD19" s="5">
        <v>0</v>
      </c>
      <c r="AE19" s="5">
        <v>0</v>
      </c>
      <c r="AF19" s="5">
        <v>0</v>
      </c>
      <c r="AG19" s="5">
        <v>0</v>
      </c>
      <c r="AH19" s="5">
        <v>0</v>
      </c>
      <c r="AI19" s="5">
        <v>0</v>
      </c>
      <c r="AJ19" s="5">
        <v>0</v>
      </c>
      <c r="AK19" s="5">
        <v>0</v>
      </c>
      <c r="AL19" s="5">
        <v>0</v>
      </c>
      <c r="AM19" s="5">
        <v>0</v>
      </c>
      <c r="AN19" s="5">
        <v>0</v>
      </c>
      <c r="AO19" s="5">
        <v>0</v>
      </c>
      <c r="AP19" s="5">
        <v>0</v>
      </c>
      <c r="AQ19" s="5">
        <v>0</v>
      </c>
      <c r="AR19" s="5">
        <v>0</v>
      </c>
      <c r="AS19" s="5">
        <v>0</v>
      </c>
      <c r="AT19" s="5">
        <v>0</v>
      </c>
      <c r="AU19" s="5">
        <v>0</v>
      </c>
      <c r="AV19" s="5">
        <v>0</v>
      </c>
      <c r="AW19" s="5">
        <v>0</v>
      </c>
      <c r="AX19" s="5">
        <v>0</v>
      </c>
      <c r="AY19" s="5">
        <v>0</v>
      </c>
      <c r="AZ19" s="5">
        <v>1</v>
      </c>
      <c r="BA19" s="5">
        <v>0</v>
      </c>
      <c r="BB19" s="5">
        <v>0</v>
      </c>
      <c r="BC19" s="5">
        <v>0</v>
      </c>
      <c r="BD19" s="5">
        <v>0</v>
      </c>
      <c r="BE19" s="5">
        <v>0</v>
      </c>
      <c r="BF19" s="5">
        <v>1</v>
      </c>
      <c r="BG19" s="5">
        <v>0</v>
      </c>
      <c r="BH19" s="5">
        <v>0</v>
      </c>
      <c r="BI19" s="5">
        <v>2</v>
      </c>
      <c r="BJ19" s="5">
        <v>0</v>
      </c>
      <c r="BK19" s="5">
        <v>0</v>
      </c>
      <c r="BL19" s="5">
        <v>0</v>
      </c>
      <c r="BM19" s="5">
        <v>0</v>
      </c>
      <c r="BN19" s="5">
        <v>0</v>
      </c>
      <c r="BO19" s="5">
        <v>0</v>
      </c>
      <c r="BP19" s="5">
        <v>0</v>
      </c>
      <c r="BQ19" s="5">
        <v>0</v>
      </c>
      <c r="BR19" s="5">
        <v>1</v>
      </c>
      <c r="BS19" s="5">
        <v>0</v>
      </c>
      <c r="BT19" s="5">
        <v>0</v>
      </c>
      <c r="BU19" s="5">
        <v>0</v>
      </c>
    </row>
    <row r="20" spans="1:73" x14ac:dyDescent="0.3">
      <c r="A20" s="4" t="s">
        <v>203</v>
      </c>
      <c r="B20" s="5">
        <v>0</v>
      </c>
      <c r="C20" s="5">
        <v>0</v>
      </c>
      <c r="D20" s="5">
        <v>0</v>
      </c>
      <c r="E20" s="5">
        <v>0</v>
      </c>
      <c r="F20" s="5">
        <v>0</v>
      </c>
      <c r="G20" s="5">
        <v>0</v>
      </c>
      <c r="H20" s="5">
        <v>0</v>
      </c>
      <c r="I20" s="5">
        <v>0</v>
      </c>
      <c r="J20" s="5">
        <v>0</v>
      </c>
      <c r="K20" s="5">
        <v>0</v>
      </c>
      <c r="L20" s="5">
        <v>0</v>
      </c>
      <c r="M20" s="5">
        <v>0</v>
      </c>
      <c r="N20" s="5">
        <v>0</v>
      </c>
      <c r="O20" s="5">
        <v>0</v>
      </c>
      <c r="P20" s="5">
        <v>0</v>
      </c>
      <c r="Q20" s="5">
        <v>0</v>
      </c>
      <c r="R20" s="5">
        <v>0</v>
      </c>
      <c r="S20" s="5">
        <v>1</v>
      </c>
      <c r="T20" s="5">
        <v>0</v>
      </c>
      <c r="U20" s="5">
        <v>0</v>
      </c>
      <c r="V20" s="5">
        <v>0</v>
      </c>
      <c r="W20" s="5">
        <v>0</v>
      </c>
      <c r="X20" s="5">
        <v>4</v>
      </c>
      <c r="Y20" s="5">
        <v>0</v>
      </c>
      <c r="Z20" s="5">
        <v>0</v>
      </c>
      <c r="AA20" s="5">
        <v>0</v>
      </c>
      <c r="AB20" s="5">
        <v>0</v>
      </c>
      <c r="AC20" s="5">
        <v>0</v>
      </c>
      <c r="AD20" s="5">
        <v>0</v>
      </c>
      <c r="AE20" s="5">
        <v>1</v>
      </c>
      <c r="AF20" s="5">
        <v>0</v>
      </c>
      <c r="AG20" s="5">
        <v>0</v>
      </c>
      <c r="AH20" s="5">
        <v>3</v>
      </c>
      <c r="AI20" s="5">
        <v>2</v>
      </c>
      <c r="AJ20" s="5">
        <v>0</v>
      </c>
      <c r="AK20" s="5">
        <v>0</v>
      </c>
      <c r="AL20" s="5">
        <v>0</v>
      </c>
      <c r="AM20" s="5">
        <v>0</v>
      </c>
      <c r="AN20" s="5">
        <v>0</v>
      </c>
      <c r="AO20" s="5">
        <v>0</v>
      </c>
      <c r="AP20" s="5">
        <v>0</v>
      </c>
      <c r="AQ20" s="5">
        <v>0</v>
      </c>
      <c r="AR20" s="5">
        <v>0</v>
      </c>
      <c r="AS20" s="5">
        <v>0</v>
      </c>
      <c r="AT20" s="5">
        <v>0</v>
      </c>
      <c r="AU20" s="5">
        <v>0</v>
      </c>
      <c r="AV20" s="5">
        <v>0</v>
      </c>
      <c r="AW20" s="5">
        <v>0</v>
      </c>
      <c r="AX20" s="5">
        <v>0</v>
      </c>
      <c r="AY20" s="5">
        <v>0</v>
      </c>
      <c r="AZ20" s="5">
        <v>0</v>
      </c>
      <c r="BA20" s="5">
        <v>0</v>
      </c>
      <c r="BB20" s="5">
        <v>0</v>
      </c>
      <c r="BC20" s="5">
        <v>1</v>
      </c>
      <c r="BD20" s="5">
        <v>0</v>
      </c>
      <c r="BE20" s="5">
        <v>0</v>
      </c>
      <c r="BF20" s="5">
        <v>0</v>
      </c>
      <c r="BG20" s="5">
        <v>0</v>
      </c>
      <c r="BH20" s="5">
        <v>1</v>
      </c>
      <c r="BI20" s="5">
        <v>4</v>
      </c>
      <c r="BJ20" s="5">
        <v>0</v>
      </c>
      <c r="BK20" s="5">
        <v>0</v>
      </c>
      <c r="BL20" s="5">
        <v>0</v>
      </c>
      <c r="BM20" s="5">
        <v>0</v>
      </c>
      <c r="BN20" s="5">
        <v>0</v>
      </c>
      <c r="BO20" s="5">
        <v>0</v>
      </c>
      <c r="BP20" s="5">
        <v>0</v>
      </c>
      <c r="BQ20" s="5">
        <v>0</v>
      </c>
      <c r="BR20" s="5">
        <v>0</v>
      </c>
      <c r="BS20" s="5">
        <v>0</v>
      </c>
      <c r="BT20" s="5">
        <v>0</v>
      </c>
      <c r="BU20" s="5">
        <v>0</v>
      </c>
    </row>
    <row r="21" spans="1:73" x14ac:dyDescent="0.3">
      <c r="A21" s="4" t="s">
        <v>164</v>
      </c>
      <c r="B21" s="5">
        <v>0</v>
      </c>
      <c r="C21" s="5">
        <v>0</v>
      </c>
      <c r="D21" s="5">
        <v>0</v>
      </c>
      <c r="E21" s="5">
        <v>0</v>
      </c>
      <c r="F21" s="5">
        <v>0</v>
      </c>
      <c r="G21" s="5">
        <v>0</v>
      </c>
      <c r="H21" s="5">
        <v>0</v>
      </c>
      <c r="I21" s="5">
        <v>1</v>
      </c>
      <c r="J21" s="5">
        <v>0</v>
      </c>
      <c r="K21" s="5">
        <v>0</v>
      </c>
      <c r="L21" s="5">
        <v>0</v>
      </c>
      <c r="M21" s="5">
        <v>0</v>
      </c>
      <c r="N21" s="5">
        <v>2</v>
      </c>
      <c r="O21" s="5">
        <v>0</v>
      </c>
      <c r="P21" s="5">
        <v>0</v>
      </c>
      <c r="Q21" s="5">
        <v>0</v>
      </c>
      <c r="R21" s="5">
        <v>1</v>
      </c>
      <c r="S21" s="5">
        <v>1</v>
      </c>
      <c r="T21" s="5">
        <v>0</v>
      </c>
      <c r="U21" s="5">
        <v>0</v>
      </c>
      <c r="V21" s="5">
        <v>2</v>
      </c>
      <c r="W21" s="5">
        <v>0</v>
      </c>
      <c r="X21" s="5">
        <v>1</v>
      </c>
      <c r="Y21" s="5">
        <v>0</v>
      </c>
      <c r="Z21" s="5">
        <v>0</v>
      </c>
      <c r="AA21" s="5">
        <v>0</v>
      </c>
      <c r="AB21" s="5">
        <v>0</v>
      </c>
      <c r="AC21" s="5">
        <v>0</v>
      </c>
      <c r="AD21" s="5">
        <v>0</v>
      </c>
      <c r="AE21" s="5">
        <v>0</v>
      </c>
      <c r="AF21" s="5">
        <v>0</v>
      </c>
      <c r="AG21" s="5">
        <v>0</v>
      </c>
      <c r="AH21" s="5">
        <v>1</v>
      </c>
      <c r="AI21" s="5">
        <v>5</v>
      </c>
      <c r="AJ21" s="5">
        <v>0</v>
      </c>
      <c r="AK21" s="5">
        <v>0</v>
      </c>
      <c r="AL21" s="5">
        <v>0</v>
      </c>
      <c r="AM21" s="5">
        <v>0</v>
      </c>
      <c r="AN21" s="5">
        <v>0</v>
      </c>
      <c r="AO21" s="5">
        <v>0</v>
      </c>
      <c r="AP21" s="5">
        <v>0</v>
      </c>
      <c r="AQ21" s="5">
        <v>0</v>
      </c>
      <c r="AR21" s="5">
        <v>0</v>
      </c>
      <c r="AS21" s="5">
        <v>0</v>
      </c>
      <c r="AT21" s="5">
        <v>0</v>
      </c>
      <c r="AU21" s="5">
        <v>0</v>
      </c>
      <c r="AV21" s="5">
        <v>0</v>
      </c>
      <c r="AW21" s="5">
        <v>0</v>
      </c>
      <c r="AX21" s="5">
        <v>0</v>
      </c>
      <c r="AY21" s="5">
        <v>0</v>
      </c>
      <c r="AZ21" s="5">
        <v>1</v>
      </c>
      <c r="BA21" s="5">
        <v>0</v>
      </c>
      <c r="BB21" s="5">
        <v>0</v>
      </c>
      <c r="BC21" s="5">
        <v>0</v>
      </c>
      <c r="BD21" s="5">
        <v>0</v>
      </c>
      <c r="BE21" s="5">
        <v>0</v>
      </c>
      <c r="BF21" s="5">
        <v>0</v>
      </c>
      <c r="BG21" s="5">
        <v>0</v>
      </c>
      <c r="BH21" s="5">
        <v>0</v>
      </c>
      <c r="BI21" s="5">
        <v>3</v>
      </c>
      <c r="BJ21" s="5">
        <v>0</v>
      </c>
      <c r="BK21" s="5">
        <v>0</v>
      </c>
      <c r="BL21" s="5">
        <v>0</v>
      </c>
      <c r="BM21" s="5">
        <v>0</v>
      </c>
      <c r="BN21" s="5">
        <v>0</v>
      </c>
      <c r="BO21" s="5">
        <v>0</v>
      </c>
      <c r="BP21" s="5">
        <v>0</v>
      </c>
      <c r="BQ21" s="5">
        <v>0</v>
      </c>
      <c r="BR21" s="5">
        <v>0</v>
      </c>
      <c r="BS21" s="5">
        <v>0</v>
      </c>
      <c r="BT21" s="5">
        <v>0</v>
      </c>
      <c r="BU21" s="5">
        <v>0</v>
      </c>
    </row>
    <row r="22" spans="1:73" x14ac:dyDescent="0.3">
      <c r="A22" s="4" t="s">
        <v>173</v>
      </c>
      <c r="B22" s="5">
        <v>0</v>
      </c>
      <c r="C22" s="5">
        <v>0</v>
      </c>
      <c r="D22" s="5">
        <v>0</v>
      </c>
      <c r="E22" s="5">
        <v>0</v>
      </c>
      <c r="F22" s="5">
        <v>0</v>
      </c>
      <c r="G22" s="5">
        <v>0</v>
      </c>
      <c r="H22" s="5">
        <v>0</v>
      </c>
      <c r="I22" s="5">
        <v>0</v>
      </c>
      <c r="J22" s="5">
        <v>0</v>
      </c>
      <c r="K22" s="5">
        <v>0</v>
      </c>
      <c r="L22" s="5">
        <v>0</v>
      </c>
      <c r="M22" s="5">
        <v>0</v>
      </c>
      <c r="N22" s="5">
        <v>0</v>
      </c>
      <c r="O22" s="5">
        <v>0</v>
      </c>
      <c r="P22" s="5">
        <v>0</v>
      </c>
      <c r="Q22" s="5">
        <v>0</v>
      </c>
      <c r="R22" s="5">
        <v>0</v>
      </c>
      <c r="S22" s="5">
        <v>1</v>
      </c>
      <c r="T22" s="5">
        <v>0</v>
      </c>
      <c r="U22" s="5">
        <v>0</v>
      </c>
      <c r="V22" s="5">
        <v>0</v>
      </c>
      <c r="W22" s="5">
        <v>0</v>
      </c>
      <c r="X22" s="5">
        <v>7</v>
      </c>
      <c r="Y22" s="5">
        <v>0</v>
      </c>
      <c r="Z22" s="5">
        <v>0</v>
      </c>
      <c r="AA22" s="5">
        <v>0</v>
      </c>
      <c r="AB22" s="5">
        <v>1</v>
      </c>
      <c r="AC22" s="5">
        <v>0</v>
      </c>
      <c r="AD22" s="5">
        <v>0</v>
      </c>
      <c r="AE22" s="5">
        <v>1</v>
      </c>
      <c r="AF22" s="5">
        <v>0</v>
      </c>
      <c r="AG22" s="5">
        <v>0</v>
      </c>
      <c r="AH22" s="5">
        <v>5</v>
      </c>
      <c r="AI22" s="5">
        <v>3</v>
      </c>
      <c r="AJ22" s="5">
        <v>0</v>
      </c>
      <c r="AK22" s="5">
        <v>0</v>
      </c>
      <c r="AL22" s="5">
        <v>0</v>
      </c>
      <c r="AM22" s="5">
        <v>0</v>
      </c>
      <c r="AN22" s="5">
        <v>0</v>
      </c>
      <c r="AO22" s="5">
        <v>0</v>
      </c>
      <c r="AP22" s="5">
        <v>0</v>
      </c>
      <c r="AQ22" s="5">
        <v>0</v>
      </c>
      <c r="AR22" s="5">
        <v>0</v>
      </c>
      <c r="AS22" s="5">
        <v>0</v>
      </c>
      <c r="AT22" s="5">
        <v>0</v>
      </c>
      <c r="AU22" s="5">
        <v>0</v>
      </c>
      <c r="AV22" s="5">
        <v>0</v>
      </c>
      <c r="AW22" s="5">
        <v>0</v>
      </c>
      <c r="AX22" s="5">
        <v>0</v>
      </c>
      <c r="AY22" s="5">
        <v>0</v>
      </c>
      <c r="AZ22" s="5">
        <v>0</v>
      </c>
      <c r="BA22" s="5">
        <v>0</v>
      </c>
      <c r="BB22" s="5">
        <v>0</v>
      </c>
      <c r="BC22" s="5">
        <v>1</v>
      </c>
      <c r="BD22" s="5">
        <v>0</v>
      </c>
      <c r="BE22" s="5">
        <v>1</v>
      </c>
      <c r="BF22" s="5">
        <v>3</v>
      </c>
      <c r="BG22" s="5">
        <v>0</v>
      </c>
      <c r="BH22" s="5">
        <v>0</v>
      </c>
      <c r="BI22" s="5">
        <v>5</v>
      </c>
      <c r="BJ22" s="5">
        <v>0</v>
      </c>
      <c r="BK22" s="5">
        <v>0</v>
      </c>
      <c r="BL22" s="5">
        <v>0</v>
      </c>
      <c r="BM22" s="5">
        <v>0</v>
      </c>
      <c r="BN22" s="5">
        <v>0</v>
      </c>
      <c r="BO22" s="5">
        <v>0</v>
      </c>
      <c r="BP22" s="5">
        <v>0</v>
      </c>
      <c r="BQ22" s="5">
        <v>0</v>
      </c>
      <c r="BR22" s="5">
        <v>0</v>
      </c>
      <c r="BS22" s="5">
        <v>0</v>
      </c>
      <c r="BT22" s="5">
        <v>0</v>
      </c>
      <c r="BU22" s="5">
        <v>0</v>
      </c>
    </row>
    <row r="23" spans="1:73" x14ac:dyDescent="0.3">
      <c r="A23" s="4" t="s">
        <v>156</v>
      </c>
      <c r="B23" s="5">
        <v>0</v>
      </c>
      <c r="C23" s="5">
        <v>0</v>
      </c>
      <c r="D23" s="5">
        <v>0</v>
      </c>
      <c r="E23" s="5">
        <v>0</v>
      </c>
      <c r="F23" s="5">
        <v>0</v>
      </c>
      <c r="G23" s="5">
        <v>0</v>
      </c>
      <c r="H23" s="5">
        <v>0</v>
      </c>
      <c r="I23" s="5">
        <v>0</v>
      </c>
      <c r="J23" s="5">
        <v>0</v>
      </c>
      <c r="K23" s="5">
        <v>0</v>
      </c>
      <c r="L23" s="5">
        <v>0</v>
      </c>
      <c r="M23" s="5">
        <v>0</v>
      </c>
      <c r="N23" s="5">
        <v>2</v>
      </c>
      <c r="O23" s="5">
        <v>1</v>
      </c>
      <c r="P23" s="5">
        <v>0</v>
      </c>
      <c r="Q23" s="5">
        <v>0</v>
      </c>
      <c r="R23" s="5">
        <v>2</v>
      </c>
      <c r="S23" s="5">
        <v>0</v>
      </c>
      <c r="T23" s="5">
        <v>0</v>
      </c>
      <c r="U23" s="5">
        <v>0</v>
      </c>
      <c r="V23" s="5">
        <v>1</v>
      </c>
      <c r="W23" s="5">
        <v>0</v>
      </c>
      <c r="X23" s="5">
        <v>2</v>
      </c>
      <c r="Y23" s="5">
        <v>0</v>
      </c>
      <c r="Z23" s="5">
        <v>0</v>
      </c>
      <c r="AA23" s="5">
        <v>0</v>
      </c>
      <c r="AB23" s="5">
        <v>0</v>
      </c>
      <c r="AC23" s="5">
        <v>0</v>
      </c>
      <c r="AD23" s="5">
        <v>0</v>
      </c>
      <c r="AE23" s="5">
        <v>2</v>
      </c>
      <c r="AF23" s="5">
        <v>0</v>
      </c>
      <c r="AG23" s="5">
        <v>0</v>
      </c>
      <c r="AH23" s="5">
        <v>0</v>
      </c>
      <c r="AI23" s="5">
        <v>3</v>
      </c>
      <c r="AJ23" s="5">
        <v>0</v>
      </c>
      <c r="AK23" s="5">
        <v>0</v>
      </c>
      <c r="AL23" s="5">
        <v>0</v>
      </c>
      <c r="AM23" s="5">
        <v>0</v>
      </c>
      <c r="AN23" s="5">
        <v>0</v>
      </c>
      <c r="AO23" s="5">
        <v>0</v>
      </c>
      <c r="AP23" s="5">
        <v>0</v>
      </c>
      <c r="AQ23" s="5">
        <v>0</v>
      </c>
      <c r="AR23" s="5">
        <v>0</v>
      </c>
      <c r="AS23" s="5">
        <v>0</v>
      </c>
      <c r="AT23" s="5">
        <v>0</v>
      </c>
      <c r="AU23" s="5">
        <v>0</v>
      </c>
      <c r="AV23" s="5">
        <v>0</v>
      </c>
      <c r="AW23" s="5">
        <v>0</v>
      </c>
      <c r="AX23" s="5">
        <v>0</v>
      </c>
      <c r="AY23" s="5">
        <v>0</v>
      </c>
      <c r="AZ23" s="5">
        <v>0</v>
      </c>
      <c r="BA23" s="5">
        <v>0</v>
      </c>
      <c r="BB23" s="5">
        <v>0</v>
      </c>
      <c r="BC23" s="5">
        <v>0</v>
      </c>
      <c r="BD23" s="5">
        <v>0</v>
      </c>
      <c r="BE23" s="5">
        <v>0</v>
      </c>
      <c r="BF23" s="5">
        <v>0</v>
      </c>
      <c r="BG23" s="5">
        <v>0</v>
      </c>
      <c r="BH23" s="5">
        <v>0</v>
      </c>
      <c r="BI23" s="5">
        <v>4</v>
      </c>
      <c r="BJ23" s="5">
        <v>0</v>
      </c>
      <c r="BK23" s="5">
        <v>0</v>
      </c>
      <c r="BL23" s="5">
        <v>0</v>
      </c>
      <c r="BM23" s="5">
        <v>0</v>
      </c>
      <c r="BN23" s="5">
        <v>0</v>
      </c>
      <c r="BO23" s="5">
        <v>0</v>
      </c>
      <c r="BP23" s="5">
        <v>1</v>
      </c>
      <c r="BQ23" s="5">
        <v>0</v>
      </c>
      <c r="BR23" s="5">
        <v>0</v>
      </c>
      <c r="BS23" s="5">
        <v>0</v>
      </c>
      <c r="BT23" s="5">
        <v>0</v>
      </c>
      <c r="BU23" s="5">
        <v>0</v>
      </c>
    </row>
    <row r="24" spans="1:73" x14ac:dyDescent="0.3">
      <c r="A24" s="4" t="s">
        <v>195</v>
      </c>
      <c r="B24" s="5">
        <v>0</v>
      </c>
      <c r="C24" s="5">
        <v>0</v>
      </c>
      <c r="D24" s="5">
        <v>0</v>
      </c>
      <c r="E24" s="5">
        <v>0</v>
      </c>
      <c r="F24" s="5">
        <v>0</v>
      </c>
      <c r="G24" s="5">
        <v>0</v>
      </c>
      <c r="H24" s="5">
        <v>0</v>
      </c>
      <c r="I24" s="5">
        <v>0</v>
      </c>
      <c r="J24" s="5">
        <v>0</v>
      </c>
      <c r="K24" s="5">
        <v>0</v>
      </c>
      <c r="L24" s="5">
        <v>0</v>
      </c>
      <c r="M24" s="5">
        <v>0</v>
      </c>
      <c r="N24" s="5">
        <v>0</v>
      </c>
      <c r="O24" s="5">
        <v>0</v>
      </c>
      <c r="P24" s="5">
        <v>0</v>
      </c>
      <c r="Q24" s="5">
        <v>0</v>
      </c>
      <c r="R24" s="5">
        <v>1</v>
      </c>
      <c r="S24" s="5">
        <v>0</v>
      </c>
      <c r="T24" s="5">
        <v>0</v>
      </c>
      <c r="U24" s="5">
        <v>0</v>
      </c>
      <c r="V24" s="5">
        <v>1</v>
      </c>
      <c r="W24" s="5">
        <v>0</v>
      </c>
      <c r="X24" s="5">
        <v>1</v>
      </c>
      <c r="Y24" s="5">
        <v>0</v>
      </c>
      <c r="Z24" s="5">
        <v>0</v>
      </c>
      <c r="AA24" s="5">
        <v>0</v>
      </c>
      <c r="AB24" s="5">
        <v>0</v>
      </c>
      <c r="AC24" s="5">
        <v>0</v>
      </c>
      <c r="AD24" s="5">
        <v>0</v>
      </c>
      <c r="AE24" s="5">
        <v>0</v>
      </c>
      <c r="AF24" s="5">
        <v>0</v>
      </c>
      <c r="AG24" s="5">
        <v>0</v>
      </c>
      <c r="AH24" s="5">
        <v>1</v>
      </c>
      <c r="AI24" s="5">
        <v>0</v>
      </c>
      <c r="AJ24" s="5">
        <v>0</v>
      </c>
      <c r="AK24" s="5">
        <v>0</v>
      </c>
      <c r="AL24" s="5">
        <v>0</v>
      </c>
      <c r="AM24" s="5">
        <v>0</v>
      </c>
      <c r="AN24" s="5">
        <v>0</v>
      </c>
      <c r="AO24" s="5">
        <v>0</v>
      </c>
      <c r="AP24" s="5">
        <v>0</v>
      </c>
      <c r="AQ24" s="5">
        <v>0</v>
      </c>
      <c r="AR24" s="5">
        <v>0</v>
      </c>
      <c r="AS24" s="5">
        <v>0</v>
      </c>
      <c r="AT24" s="5">
        <v>0</v>
      </c>
      <c r="AU24" s="5">
        <v>0</v>
      </c>
      <c r="AV24" s="5">
        <v>0</v>
      </c>
      <c r="AW24" s="5">
        <v>0</v>
      </c>
      <c r="AX24" s="5">
        <v>0</v>
      </c>
      <c r="AY24" s="5">
        <v>0</v>
      </c>
      <c r="AZ24" s="5">
        <v>0</v>
      </c>
      <c r="BA24" s="5">
        <v>0</v>
      </c>
      <c r="BB24" s="5">
        <v>0</v>
      </c>
      <c r="BC24" s="5">
        <v>0</v>
      </c>
      <c r="BD24" s="5">
        <v>0</v>
      </c>
      <c r="BE24" s="5">
        <v>0</v>
      </c>
      <c r="BF24" s="5">
        <v>0</v>
      </c>
      <c r="BG24" s="5">
        <v>0</v>
      </c>
      <c r="BH24" s="5">
        <v>0</v>
      </c>
      <c r="BI24" s="5">
        <v>2</v>
      </c>
      <c r="BJ24" s="5">
        <v>0</v>
      </c>
      <c r="BK24" s="5">
        <v>0</v>
      </c>
      <c r="BL24" s="5">
        <v>0</v>
      </c>
      <c r="BM24" s="5">
        <v>0</v>
      </c>
      <c r="BN24" s="5">
        <v>0</v>
      </c>
      <c r="BO24" s="5">
        <v>0</v>
      </c>
      <c r="BP24" s="5">
        <v>0</v>
      </c>
      <c r="BQ24" s="5">
        <v>0</v>
      </c>
      <c r="BR24" s="5">
        <v>0</v>
      </c>
      <c r="BS24" s="5">
        <v>0</v>
      </c>
      <c r="BT24" s="5">
        <v>0</v>
      </c>
      <c r="BU24" s="5">
        <v>0</v>
      </c>
    </row>
    <row r="25" spans="1:73" x14ac:dyDescent="0.3">
      <c r="A25" s="4" t="s">
        <v>208</v>
      </c>
      <c r="B25" s="5">
        <v>0</v>
      </c>
      <c r="C25" s="5">
        <v>0</v>
      </c>
      <c r="D25" s="5">
        <v>1</v>
      </c>
      <c r="E25" s="5">
        <v>0</v>
      </c>
      <c r="F25" s="5">
        <v>0</v>
      </c>
      <c r="G25" s="5">
        <v>1</v>
      </c>
      <c r="H25" s="5">
        <v>0</v>
      </c>
      <c r="I25" s="5">
        <v>0</v>
      </c>
      <c r="J25" s="5">
        <v>0</v>
      </c>
      <c r="K25" s="5">
        <v>0</v>
      </c>
      <c r="L25" s="5">
        <v>0</v>
      </c>
      <c r="M25" s="5">
        <v>0</v>
      </c>
      <c r="N25" s="5">
        <v>0</v>
      </c>
      <c r="O25" s="5">
        <v>0</v>
      </c>
      <c r="P25" s="5">
        <v>0</v>
      </c>
      <c r="Q25" s="5">
        <v>0</v>
      </c>
      <c r="R25" s="5">
        <v>0</v>
      </c>
      <c r="S25" s="5">
        <v>0</v>
      </c>
      <c r="T25" s="5">
        <v>0</v>
      </c>
      <c r="U25" s="5">
        <v>0</v>
      </c>
      <c r="V25" s="5">
        <v>0</v>
      </c>
      <c r="W25" s="5">
        <v>0</v>
      </c>
      <c r="X25" s="5">
        <v>1</v>
      </c>
      <c r="Y25" s="5">
        <v>0</v>
      </c>
      <c r="Z25" s="5">
        <v>0</v>
      </c>
      <c r="AA25" s="5">
        <v>0</v>
      </c>
      <c r="AB25" s="5">
        <v>0</v>
      </c>
      <c r="AC25" s="5">
        <v>0</v>
      </c>
      <c r="AD25" s="5">
        <v>0</v>
      </c>
      <c r="AE25" s="5">
        <v>0</v>
      </c>
      <c r="AF25" s="5">
        <v>0</v>
      </c>
      <c r="AG25" s="5">
        <v>0</v>
      </c>
      <c r="AH25" s="5">
        <v>1</v>
      </c>
      <c r="AI25" s="5">
        <v>0</v>
      </c>
      <c r="AJ25" s="5">
        <v>0</v>
      </c>
      <c r="AK25" s="5">
        <v>0</v>
      </c>
      <c r="AL25" s="5">
        <v>0</v>
      </c>
      <c r="AM25" s="5">
        <v>0</v>
      </c>
      <c r="AN25" s="5">
        <v>0</v>
      </c>
      <c r="AO25" s="5">
        <v>0</v>
      </c>
      <c r="AP25" s="5">
        <v>0</v>
      </c>
      <c r="AQ25" s="5">
        <v>0</v>
      </c>
      <c r="AR25" s="5">
        <v>0</v>
      </c>
      <c r="AS25" s="5">
        <v>0</v>
      </c>
      <c r="AT25" s="5">
        <v>0</v>
      </c>
      <c r="AU25" s="5">
        <v>1</v>
      </c>
      <c r="AV25" s="5">
        <v>0</v>
      </c>
      <c r="AW25" s="5">
        <v>0</v>
      </c>
      <c r="AX25" s="5">
        <v>0</v>
      </c>
      <c r="AY25" s="5">
        <v>0</v>
      </c>
      <c r="AZ25" s="5">
        <v>1</v>
      </c>
      <c r="BA25" s="5">
        <v>0</v>
      </c>
      <c r="BB25" s="5">
        <v>0</v>
      </c>
      <c r="BC25" s="5">
        <v>0</v>
      </c>
      <c r="BD25" s="5">
        <v>0</v>
      </c>
      <c r="BE25" s="5">
        <v>0</v>
      </c>
      <c r="BF25" s="5">
        <v>0</v>
      </c>
      <c r="BG25" s="5">
        <v>0</v>
      </c>
      <c r="BH25" s="5">
        <v>0</v>
      </c>
      <c r="BI25" s="5">
        <v>1</v>
      </c>
      <c r="BJ25" s="5">
        <v>0</v>
      </c>
      <c r="BK25" s="5">
        <v>0</v>
      </c>
      <c r="BL25" s="5">
        <v>0</v>
      </c>
      <c r="BM25" s="5">
        <v>0</v>
      </c>
      <c r="BN25" s="5">
        <v>0</v>
      </c>
      <c r="BO25" s="5">
        <v>0</v>
      </c>
      <c r="BP25" s="5">
        <v>0</v>
      </c>
      <c r="BQ25" s="5">
        <v>0</v>
      </c>
      <c r="BR25" s="5">
        <v>0</v>
      </c>
      <c r="BS25" s="5">
        <v>0</v>
      </c>
      <c r="BT25" s="5">
        <v>0</v>
      </c>
      <c r="BU25" s="5">
        <v>0</v>
      </c>
    </row>
    <row r="26" spans="1:73" x14ac:dyDescent="0.3">
      <c r="A26" s="4" t="s">
        <v>172</v>
      </c>
      <c r="B26" s="5">
        <v>0</v>
      </c>
      <c r="C26" s="5">
        <v>0</v>
      </c>
      <c r="D26" s="5">
        <v>0</v>
      </c>
      <c r="E26" s="5">
        <v>0</v>
      </c>
      <c r="F26" s="5">
        <v>0</v>
      </c>
      <c r="G26" s="5">
        <v>0</v>
      </c>
      <c r="H26" s="5">
        <v>0</v>
      </c>
      <c r="I26" s="5">
        <v>0</v>
      </c>
      <c r="J26" s="5">
        <v>0</v>
      </c>
      <c r="K26" s="5">
        <v>0</v>
      </c>
      <c r="L26" s="5">
        <v>0</v>
      </c>
      <c r="M26" s="5">
        <v>0</v>
      </c>
      <c r="N26" s="5">
        <v>0</v>
      </c>
      <c r="O26" s="5">
        <v>0</v>
      </c>
      <c r="P26" s="5">
        <v>0</v>
      </c>
      <c r="Q26" s="5">
        <v>0</v>
      </c>
      <c r="R26" s="5">
        <v>1</v>
      </c>
      <c r="S26" s="5">
        <v>0</v>
      </c>
      <c r="T26" s="5">
        <v>0</v>
      </c>
      <c r="U26" s="5">
        <v>0</v>
      </c>
      <c r="V26" s="5">
        <v>0</v>
      </c>
      <c r="W26" s="5">
        <v>0</v>
      </c>
      <c r="X26" s="5">
        <v>0</v>
      </c>
      <c r="Y26" s="5">
        <v>0</v>
      </c>
      <c r="Z26" s="5">
        <v>0</v>
      </c>
      <c r="AA26" s="5">
        <v>0</v>
      </c>
      <c r="AB26" s="5">
        <v>0</v>
      </c>
      <c r="AC26" s="5">
        <v>0</v>
      </c>
      <c r="AD26" s="5">
        <v>0</v>
      </c>
      <c r="AE26" s="5">
        <v>0</v>
      </c>
      <c r="AF26" s="5">
        <v>0</v>
      </c>
      <c r="AG26" s="5">
        <v>0</v>
      </c>
      <c r="AH26" s="5">
        <v>0</v>
      </c>
      <c r="AI26" s="5">
        <v>1</v>
      </c>
      <c r="AJ26" s="5">
        <v>0</v>
      </c>
      <c r="AK26" s="5">
        <v>0</v>
      </c>
      <c r="AL26" s="5">
        <v>0</v>
      </c>
      <c r="AM26" s="5">
        <v>0</v>
      </c>
      <c r="AN26" s="5">
        <v>0</v>
      </c>
      <c r="AO26" s="5">
        <v>0</v>
      </c>
      <c r="AP26" s="5">
        <v>0</v>
      </c>
      <c r="AQ26" s="5">
        <v>0</v>
      </c>
      <c r="AR26" s="5">
        <v>0</v>
      </c>
      <c r="AS26" s="5">
        <v>0</v>
      </c>
      <c r="AT26" s="5">
        <v>0</v>
      </c>
      <c r="AU26" s="5">
        <v>0</v>
      </c>
      <c r="AV26" s="5">
        <v>0</v>
      </c>
      <c r="AW26" s="5">
        <v>0</v>
      </c>
      <c r="AX26" s="5">
        <v>0</v>
      </c>
      <c r="AY26" s="5">
        <v>0</v>
      </c>
      <c r="AZ26" s="5">
        <v>0</v>
      </c>
      <c r="BA26" s="5">
        <v>0</v>
      </c>
      <c r="BB26" s="5">
        <v>0</v>
      </c>
      <c r="BC26" s="5">
        <v>0</v>
      </c>
      <c r="BD26" s="5">
        <v>0</v>
      </c>
      <c r="BE26" s="5">
        <v>0</v>
      </c>
      <c r="BF26" s="5">
        <v>0</v>
      </c>
      <c r="BG26" s="5">
        <v>0</v>
      </c>
      <c r="BH26" s="5">
        <v>0</v>
      </c>
      <c r="BI26" s="5">
        <v>0</v>
      </c>
      <c r="BJ26" s="5">
        <v>0</v>
      </c>
      <c r="BK26" s="5">
        <v>0</v>
      </c>
      <c r="BL26" s="5">
        <v>0</v>
      </c>
      <c r="BM26" s="5">
        <v>0</v>
      </c>
      <c r="BN26" s="5">
        <v>0</v>
      </c>
      <c r="BO26" s="5">
        <v>0</v>
      </c>
      <c r="BP26" s="5">
        <v>0</v>
      </c>
      <c r="BQ26" s="5">
        <v>0</v>
      </c>
      <c r="BR26" s="5">
        <v>0</v>
      </c>
      <c r="BS26" s="5">
        <v>0</v>
      </c>
      <c r="BT26" s="5">
        <v>0</v>
      </c>
      <c r="BU26" s="5">
        <v>0</v>
      </c>
    </row>
    <row r="27" spans="1:73" x14ac:dyDescent="0.3">
      <c r="A27" s="4" t="s">
        <v>193</v>
      </c>
      <c r="B27" s="5">
        <v>0</v>
      </c>
      <c r="C27" s="5">
        <v>0</v>
      </c>
      <c r="D27" s="5">
        <v>0</v>
      </c>
      <c r="E27" s="5">
        <v>0</v>
      </c>
      <c r="F27" s="5">
        <v>0</v>
      </c>
      <c r="G27" s="5">
        <v>0</v>
      </c>
      <c r="H27" s="5">
        <v>0</v>
      </c>
      <c r="I27" s="5">
        <v>0</v>
      </c>
      <c r="J27" s="5">
        <v>0</v>
      </c>
      <c r="K27" s="5">
        <v>0</v>
      </c>
      <c r="L27" s="5">
        <v>0</v>
      </c>
      <c r="M27" s="5">
        <v>0</v>
      </c>
      <c r="N27" s="5">
        <v>0</v>
      </c>
      <c r="O27" s="5">
        <v>0</v>
      </c>
      <c r="P27" s="5">
        <v>0</v>
      </c>
      <c r="Q27" s="5">
        <v>0</v>
      </c>
      <c r="R27" s="5">
        <v>4</v>
      </c>
      <c r="S27" s="5">
        <v>2</v>
      </c>
      <c r="T27" s="5">
        <v>0</v>
      </c>
      <c r="U27" s="5">
        <v>0</v>
      </c>
      <c r="V27" s="5">
        <v>1</v>
      </c>
      <c r="W27" s="5">
        <v>0</v>
      </c>
      <c r="X27" s="5">
        <v>0</v>
      </c>
      <c r="Y27" s="5">
        <v>0</v>
      </c>
      <c r="Z27" s="5">
        <v>0</v>
      </c>
      <c r="AA27" s="5">
        <v>0</v>
      </c>
      <c r="AB27" s="5">
        <v>0</v>
      </c>
      <c r="AC27" s="5">
        <v>0</v>
      </c>
      <c r="AD27" s="5">
        <v>0</v>
      </c>
      <c r="AE27" s="5">
        <v>0</v>
      </c>
      <c r="AF27" s="5">
        <v>0</v>
      </c>
      <c r="AG27" s="5">
        <v>0</v>
      </c>
      <c r="AH27" s="5">
        <v>0</v>
      </c>
      <c r="AI27" s="5">
        <v>1</v>
      </c>
      <c r="AJ27" s="5">
        <v>0</v>
      </c>
      <c r="AK27" s="5">
        <v>0</v>
      </c>
      <c r="AL27" s="5">
        <v>0</v>
      </c>
      <c r="AM27" s="5">
        <v>0</v>
      </c>
      <c r="AN27" s="5">
        <v>0</v>
      </c>
      <c r="AO27" s="5">
        <v>0</v>
      </c>
      <c r="AP27" s="5">
        <v>0</v>
      </c>
      <c r="AQ27" s="5">
        <v>0</v>
      </c>
      <c r="AR27" s="5">
        <v>0</v>
      </c>
      <c r="AS27" s="5">
        <v>0</v>
      </c>
      <c r="AT27" s="5">
        <v>0</v>
      </c>
      <c r="AU27" s="5">
        <v>0</v>
      </c>
      <c r="AV27" s="5">
        <v>0</v>
      </c>
      <c r="AW27" s="5">
        <v>0</v>
      </c>
      <c r="AX27" s="5">
        <v>0</v>
      </c>
      <c r="AY27" s="5">
        <v>0</v>
      </c>
      <c r="AZ27" s="5">
        <v>0</v>
      </c>
      <c r="BA27" s="5">
        <v>0</v>
      </c>
      <c r="BB27" s="5">
        <v>0</v>
      </c>
      <c r="BC27" s="5">
        <v>0</v>
      </c>
      <c r="BD27" s="5">
        <v>0</v>
      </c>
      <c r="BE27" s="5">
        <v>0</v>
      </c>
      <c r="BF27" s="5">
        <v>0</v>
      </c>
      <c r="BG27" s="5">
        <v>0</v>
      </c>
      <c r="BH27" s="5">
        <v>0</v>
      </c>
      <c r="BI27" s="5">
        <v>3</v>
      </c>
      <c r="BJ27" s="5">
        <v>0</v>
      </c>
      <c r="BK27" s="5">
        <v>0</v>
      </c>
      <c r="BL27" s="5">
        <v>0</v>
      </c>
      <c r="BM27" s="5">
        <v>0</v>
      </c>
      <c r="BN27" s="5">
        <v>0</v>
      </c>
      <c r="BO27" s="5">
        <v>0</v>
      </c>
      <c r="BP27" s="5">
        <v>0</v>
      </c>
      <c r="BQ27" s="5">
        <v>0</v>
      </c>
      <c r="BR27" s="5">
        <v>0</v>
      </c>
      <c r="BS27" s="5">
        <v>0</v>
      </c>
      <c r="BT27" s="5">
        <v>0</v>
      </c>
      <c r="BU27" s="5">
        <v>0</v>
      </c>
    </row>
    <row r="28" spans="1:73" x14ac:dyDescent="0.3">
      <c r="A28" s="4" t="s">
        <v>192</v>
      </c>
      <c r="B28" s="5">
        <v>0</v>
      </c>
      <c r="C28" s="5">
        <v>0</v>
      </c>
      <c r="D28" s="5">
        <v>0</v>
      </c>
      <c r="E28" s="5">
        <v>0</v>
      </c>
      <c r="F28" s="5">
        <v>0</v>
      </c>
      <c r="G28" s="5">
        <v>0</v>
      </c>
      <c r="H28" s="5">
        <v>0</v>
      </c>
      <c r="I28" s="5">
        <v>0</v>
      </c>
      <c r="J28" s="5">
        <v>0</v>
      </c>
      <c r="K28" s="5">
        <v>0</v>
      </c>
      <c r="L28" s="5">
        <v>0</v>
      </c>
      <c r="M28" s="5">
        <v>0</v>
      </c>
      <c r="N28" s="5">
        <v>1</v>
      </c>
      <c r="O28" s="5">
        <v>0</v>
      </c>
      <c r="P28" s="5">
        <v>0</v>
      </c>
      <c r="Q28" s="5">
        <v>0</v>
      </c>
      <c r="R28" s="5">
        <v>0</v>
      </c>
      <c r="S28" s="5">
        <v>0</v>
      </c>
      <c r="T28" s="5">
        <v>0</v>
      </c>
      <c r="U28" s="5">
        <v>0</v>
      </c>
      <c r="V28" s="5">
        <v>1</v>
      </c>
      <c r="W28" s="5">
        <v>0</v>
      </c>
      <c r="X28" s="5">
        <v>1</v>
      </c>
      <c r="Y28" s="5">
        <v>0</v>
      </c>
      <c r="Z28" s="5">
        <v>0</v>
      </c>
      <c r="AA28" s="5">
        <v>0</v>
      </c>
      <c r="AB28" s="5">
        <v>0</v>
      </c>
      <c r="AC28" s="5">
        <v>0</v>
      </c>
      <c r="AD28" s="5">
        <v>0</v>
      </c>
      <c r="AE28" s="5">
        <v>1</v>
      </c>
      <c r="AF28" s="5">
        <v>0</v>
      </c>
      <c r="AG28" s="5">
        <v>0</v>
      </c>
      <c r="AH28" s="5">
        <v>0</v>
      </c>
      <c r="AI28" s="5">
        <v>0</v>
      </c>
      <c r="AJ28" s="5">
        <v>0</v>
      </c>
      <c r="AK28" s="5">
        <v>0</v>
      </c>
      <c r="AL28" s="5">
        <v>0</v>
      </c>
      <c r="AM28" s="5">
        <v>0</v>
      </c>
      <c r="AN28" s="5">
        <v>0</v>
      </c>
      <c r="AO28" s="5">
        <v>0</v>
      </c>
      <c r="AP28" s="5">
        <v>0</v>
      </c>
      <c r="AQ28" s="5">
        <v>0</v>
      </c>
      <c r="AR28" s="5">
        <v>0</v>
      </c>
      <c r="AS28" s="5">
        <v>0</v>
      </c>
      <c r="AT28" s="5">
        <v>0</v>
      </c>
      <c r="AU28" s="5">
        <v>0</v>
      </c>
      <c r="AV28" s="5">
        <v>0</v>
      </c>
      <c r="AW28" s="5">
        <v>0</v>
      </c>
      <c r="AX28" s="5">
        <v>0</v>
      </c>
      <c r="AY28" s="5">
        <v>0</v>
      </c>
      <c r="AZ28" s="5">
        <v>0</v>
      </c>
      <c r="BA28" s="5">
        <v>0</v>
      </c>
      <c r="BB28" s="5">
        <v>0</v>
      </c>
      <c r="BC28" s="5">
        <v>0</v>
      </c>
      <c r="BD28" s="5">
        <v>0</v>
      </c>
      <c r="BE28" s="5">
        <v>0</v>
      </c>
      <c r="BF28" s="5">
        <v>0</v>
      </c>
      <c r="BG28" s="5">
        <v>0</v>
      </c>
      <c r="BH28" s="5">
        <v>0</v>
      </c>
      <c r="BI28" s="5">
        <v>1</v>
      </c>
      <c r="BJ28" s="5">
        <v>1</v>
      </c>
      <c r="BK28" s="5">
        <v>0</v>
      </c>
      <c r="BL28" s="5">
        <v>0</v>
      </c>
      <c r="BM28" s="5">
        <v>0</v>
      </c>
      <c r="BN28" s="5">
        <v>0</v>
      </c>
      <c r="BO28" s="5">
        <v>0</v>
      </c>
      <c r="BP28" s="5">
        <v>0</v>
      </c>
      <c r="BQ28" s="5">
        <v>0</v>
      </c>
      <c r="BR28" s="5">
        <v>0</v>
      </c>
      <c r="BS28" s="5">
        <v>0</v>
      </c>
      <c r="BT28" s="5">
        <v>0</v>
      </c>
      <c r="BU28" s="5">
        <v>0</v>
      </c>
    </row>
    <row r="29" spans="1:73" x14ac:dyDescent="0.3">
      <c r="A29" s="4" t="s">
        <v>190</v>
      </c>
      <c r="B29" s="5">
        <v>0</v>
      </c>
      <c r="C29" s="5">
        <v>0</v>
      </c>
      <c r="D29" s="5">
        <v>0</v>
      </c>
      <c r="E29" s="5">
        <v>0</v>
      </c>
      <c r="F29" s="5">
        <v>0</v>
      </c>
      <c r="G29" s="5">
        <v>0</v>
      </c>
      <c r="H29" s="5">
        <v>0</v>
      </c>
      <c r="I29" s="5">
        <v>0</v>
      </c>
      <c r="J29" s="5">
        <v>0</v>
      </c>
      <c r="K29" s="5">
        <v>0</v>
      </c>
      <c r="L29" s="5">
        <v>0</v>
      </c>
      <c r="M29" s="5">
        <v>0</v>
      </c>
      <c r="N29" s="5">
        <v>0</v>
      </c>
      <c r="O29" s="5">
        <v>0</v>
      </c>
      <c r="P29" s="5">
        <v>0</v>
      </c>
      <c r="Q29" s="5">
        <v>0</v>
      </c>
      <c r="R29" s="5">
        <v>0</v>
      </c>
      <c r="S29" s="5">
        <v>0</v>
      </c>
      <c r="T29" s="5">
        <v>0</v>
      </c>
      <c r="U29" s="5">
        <v>0</v>
      </c>
      <c r="V29" s="5">
        <v>0</v>
      </c>
      <c r="W29" s="5">
        <v>0</v>
      </c>
      <c r="X29" s="5">
        <v>0</v>
      </c>
      <c r="Y29" s="5">
        <v>0</v>
      </c>
      <c r="Z29" s="5">
        <v>0</v>
      </c>
      <c r="AA29" s="5">
        <v>0</v>
      </c>
      <c r="AB29" s="5">
        <v>0</v>
      </c>
      <c r="AC29" s="5">
        <v>0</v>
      </c>
      <c r="AD29" s="5">
        <v>0</v>
      </c>
      <c r="AE29" s="5">
        <v>0</v>
      </c>
      <c r="AF29" s="5">
        <v>0</v>
      </c>
      <c r="AG29" s="5">
        <v>0</v>
      </c>
      <c r="AH29" s="5">
        <v>0</v>
      </c>
      <c r="AI29" s="5">
        <v>1</v>
      </c>
      <c r="AJ29" s="5">
        <v>0</v>
      </c>
      <c r="AK29" s="5">
        <v>0</v>
      </c>
      <c r="AL29" s="5">
        <v>0</v>
      </c>
      <c r="AM29" s="5">
        <v>0</v>
      </c>
      <c r="AN29" s="5">
        <v>0</v>
      </c>
      <c r="AO29" s="5">
        <v>0</v>
      </c>
      <c r="AP29" s="5">
        <v>0</v>
      </c>
      <c r="AQ29" s="5">
        <v>0</v>
      </c>
      <c r="AR29" s="5">
        <v>0</v>
      </c>
      <c r="AS29" s="5">
        <v>0</v>
      </c>
      <c r="AT29" s="5">
        <v>0</v>
      </c>
      <c r="AU29" s="5">
        <v>0</v>
      </c>
      <c r="AV29" s="5">
        <v>0</v>
      </c>
      <c r="AW29" s="5">
        <v>0</v>
      </c>
      <c r="AX29" s="5">
        <v>0</v>
      </c>
      <c r="AY29" s="5">
        <v>0</v>
      </c>
      <c r="AZ29" s="5">
        <v>0</v>
      </c>
      <c r="BA29" s="5">
        <v>0</v>
      </c>
      <c r="BB29" s="5">
        <v>0</v>
      </c>
      <c r="BC29" s="5">
        <v>0</v>
      </c>
      <c r="BD29" s="5">
        <v>0</v>
      </c>
      <c r="BE29" s="5">
        <v>0</v>
      </c>
      <c r="BF29" s="5">
        <v>3</v>
      </c>
      <c r="BG29" s="5">
        <v>0</v>
      </c>
      <c r="BH29" s="5">
        <v>1</v>
      </c>
      <c r="BI29" s="5">
        <v>7</v>
      </c>
      <c r="BJ29" s="5">
        <v>0</v>
      </c>
      <c r="BK29" s="5">
        <v>0</v>
      </c>
      <c r="BL29" s="5">
        <v>0</v>
      </c>
      <c r="BM29" s="5">
        <v>0</v>
      </c>
      <c r="BN29" s="5">
        <v>0</v>
      </c>
      <c r="BO29" s="5">
        <v>0</v>
      </c>
      <c r="BP29" s="5">
        <v>0</v>
      </c>
      <c r="BQ29" s="5">
        <v>0</v>
      </c>
      <c r="BR29" s="5">
        <v>0</v>
      </c>
      <c r="BS29" s="5">
        <v>0</v>
      </c>
      <c r="BT29" s="5">
        <v>0</v>
      </c>
      <c r="BU29" s="5">
        <v>0</v>
      </c>
    </row>
    <row r="30" spans="1:73" x14ac:dyDescent="0.3">
      <c r="A30" s="4" t="s">
        <v>198</v>
      </c>
      <c r="B30" s="5">
        <v>0</v>
      </c>
      <c r="C30" s="5">
        <v>0</v>
      </c>
      <c r="D30" s="5">
        <v>0</v>
      </c>
      <c r="E30" s="5">
        <v>0</v>
      </c>
      <c r="F30" s="5">
        <v>0</v>
      </c>
      <c r="G30" s="5">
        <v>0</v>
      </c>
      <c r="H30" s="5">
        <v>0</v>
      </c>
      <c r="I30" s="5">
        <v>0</v>
      </c>
      <c r="J30" s="5">
        <v>0</v>
      </c>
      <c r="K30" s="5">
        <v>0</v>
      </c>
      <c r="L30" s="5">
        <v>0</v>
      </c>
      <c r="M30" s="5">
        <v>0</v>
      </c>
      <c r="N30" s="5">
        <v>0</v>
      </c>
      <c r="O30" s="5">
        <v>0</v>
      </c>
      <c r="P30" s="5">
        <v>0</v>
      </c>
      <c r="Q30" s="5">
        <v>0</v>
      </c>
      <c r="R30" s="5">
        <v>1</v>
      </c>
      <c r="S30" s="5">
        <v>0</v>
      </c>
      <c r="T30" s="5">
        <v>0</v>
      </c>
      <c r="U30" s="5">
        <v>0</v>
      </c>
      <c r="V30" s="5">
        <v>0</v>
      </c>
      <c r="W30" s="5">
        <v>0</v>
      </c>
      <c r="X30" s="5">
        <v>0</v>
      </c>
      <c r="Y30" s="5">
        <v>0</v>
      </c>
      <c r="Z30" s="5">
        <v>0</v>
      </c>
      <c r="AA30" s="5">
        <v>0</v>
      </c>
      <c r="AB30" s="5">
        <v>0</v>
      </c>
      <c r="AC30" s="5">
        <v>0</v>
      </c>
      <c r="AD30" s="5">
        <v>0</v>
      </c>
      <c r="AE30" s="5">
        <v>0</v>
      </c>
      <c r="AF30" s="5">
        <v>0</v>
      </c>
      <c r="AG30" s="5">
        <v>0</v>
      </c>
      <c r="AH30" s="5">
        <v>0</v>
      </c>
      <c r="AI30" s="5">
        <v>1</v>
      </c>
      <c r="AJ30" s="5">
        <v>0</v>
      </c>
      <c r="AK30" s="5">
        <v>0</v>
      </c>
      <c r="AL30" s="5">
        <v>0</v>
      </c>
      <c r="AM30" s="5">
        <v>0</v>
      </c>
      <c r="AN30" s="5">
        <v>0</v>
      </c>
      <c r="AO30" s="5">
        <v>0</v>
      </c>
      <c r="AP30" s="5">
        <v>0</v>
      </c>
      <c r="AQ30" s="5">
        <v>0</v>
      </c>
      <c r="AR30" s="5">
        <v>0</v>
      </c>
      <c r="AS30" s="5">
        <v>0</v>
      </c>
      <c r="AT30" s="5">
        <v>0</v>
      </c>
      <c r="AU30" s="5">
        <v>0</v>
      </c>
      <c r="AV30" s="5">
        <v>0</v>
      </c>
      <c r="AW30" s="5">
        <v>0</v>
      </c>
      <c r="AX30" s="5">
        <v>0</v>
      </c>
      <c r="AY30" s="5">
        <v>0</v>
      </c>
      <c r="AZ30" s="5">
        <v>0</v>
      </c>
      <c r="BA30" s="5">
        <v>0</v>
      </c>
      <c r="BB30" s="5">
        <v>0</v>
      </c>
      <c r="BC30" s="5">
        <v>0</v>
      </c>
      <c r="BD30" s="5">
        <v>0</v>
      </c>
      <c r="BE30" s="5">
        <v>0</v>
      </c>
      <c r="BF30" s="5">
        <v>0</v>
      </c>
      <c r="BG30" s="5">
        <v>0</v>
      </c>
      <c r="BH30" s="5">
        <v>0</v>
      </c>
      <c r="BI30" s="5">
        <v>0</v>
      </c>
      <c r="BJ30" s="5">
        <v>0</v>
      </c>
      <c r="BK30" s="5">
        <v>0</v>
      </c>
      <c r="BL30" s="5">
        <v>0</v>
      </c>
      <c r="BM30" s="5">
        <v>0</v>
      </c>
      <c r="BN30" s="5">
        <v>0</v>
      </c>
      <c r="BO30" s="5">
        <v>0</v>
      </c>
      <c r="BP30" s="5">
        <v>0</v>
      </c>
      <c r="BQ30" s="5">
        <v>0</v>
      </c>
      <c r="BR30" s="5">
        <v>0</v>
      </c>
      <c r="BS30" s="5">
        <v>0</v>
      </c>
      <c r="BT30" s="5">
        <v>0</v>
      </c>
      <c r="BU30" s="5">
        <v>0</v>
      </c>
    </row>
    <row r="31" spans="1:73" x14ac:dyDescent="0.3">
      <c r="A31" s="4" t="s">
        <v>202</v>
      </c>
      <c r="B31" s="5">
        <v>0</v>
      </c>
      <c r="C31" s="5">
        <v>0</v>
      </c>
      <c r="D31" s="5">
        <v>0</v>
      </c>
      <c r="E31" s="5">
        <v>0</v>
      </c>
      <c r="F31" s="5">
        <v>1</v>
      </c>
      <c r="G31" s="5">
        <v>1</v>
      </c>
      <c r="H31" s="5">
        <v>0</v>
      </c>
      <c r="I31" s="5">
        <v>0</v>
      </c>
      <c r="J31" s="5">
        <v>0</v>
      </c>
      <c r="K31" s="5">
        <v>0</v>
      </c>
      <c r="L31" s="5">
        <v>0</v>
      </c>
      <c r="M31" s="5">
        <v>0</v>
      </c>
      <c r="N31" s="5">
        <v>0</v>
      </c>
      <c r="O31" s="5">
        <v>0</v>
      </c>
      <c r="P31" s="5">
        <v>0</v>
      </c>
      <c r="Q31" s="5">
        <v>0</v>
      </c>
      <c r="R31" s="5">
        <v>1</v>
      </c>
      <c r="S31" s="5">
        <v>0</v>
      </c>
      <c r="T31" s="5">
        <v>0</v>
      </c>
      <c r="U31" s="5">
        <v>0</v>
      </c>
      <c r="V31" s="5">
        <v>0</v>
      </c>
      <c r="W31" s="5">
        <v>0</v>
      </c>
      <c r="X31" s="5">
        <v>2</v>
      </c>
      <c r="Y31" s="5">
        <v>0</v>
      </c>
      <c r="Z31" s="5">
        <v>0</v>
      </c>
      <c r="AA31" s="5">
        <v>0</v>
      </c>
      <c r="AB31" s="5">
        <v>0</v>
      </c>
      <c r="AC31" s="5">
        <v>0</v>
      </c>
      <c r="AD31" s="5">
        <v>0</v>
      </c>
      <c r="AE31" s="5">
        <v>0</v>
      </c>
      <c r="AF31" s="5">
        <v>0</v>
      </c>
      <c r="AG31" s="5">
        <v>0</v>
      </c>
      <c r="AH31" s="5">
        <v>2</v>
      </c>
      <c r="AI31" s="5">
        <v>0</v>
      </c>
      <c r="AJ31" s="5">
        <v>0</v>
      </c>
      <c r="AK31" s="5">
        <v>0</v>
      </c>
      <c r="AL31" s="5">
        <v>0</v>
      </c>
      <c r="AM31" s="5">
        <v>0</v>
      </c>
      <c r="AN31" s="5">
        <v>0</v>
      </c>
      <c r="AO31" s="5">
        <v>0</v>
      </c>
      <c r="AP31" s="5">
        <v>0</v>
      </c>
      <c r="AQ31" s="5">
        <v>0</v>
      </c>
      <c r="AR31" s="5">
        <v>0</v>
      </c>
      <c r="AS31" s="5">
        <v>0</v>
      </c>
      <c r="AT31" s="5">
        <v>0</v>
      </c>
      <c r="AU31" s="5">
        <v>0</v>
      </c>
      <c r="AV31" s="5">
        <v>0</v>
      </c>
      <c r="AW31" s="5">
        <v>0</v>
      </c>
      <c r="AX31" s="5">
        <v>0</v>
      </c>
      <c r="AY31" s="5">
        <v>0</v>
      </c>
      <c r="AZ31" s="5">
        <v>0</v>
      </c>
      <c r="BA31" s="5">
        <v>0</v>
      </c>
      <c r="BB31" s="5">
        <v>0</v>
      </c>
      <c r="BC31" s="5">
        <v>0</v>
      </c>
      <c r="BD31" s="5">
        <v>0</v>
      </c>
      <c r="BE31" s="5">
        <v>0</v>
      </c>
      <c r="BF31" s="5">
        <v>0</v>
      </c>
      <c r="BG31" s="5">
        <v>0</v>
      </c>
      <c r="BH31" s="5">
        <v>0</v>
      </c>
      <c r="BI31" s="5">
        <v>0</v>
      </c>
      <c r="BJ31" s="5">
        <v>0</v>
      </c>
      <c r="BK31" s="5">
        <v>0</v>
      </c>
      <c r="BL31" s="5">
        <v>0</v>
      </c>
      <c r="BM31" s="5">
        <v>0</v>
      </c>
      <c r="BN31" s="5">
        <v>0</v>
      </c>
      <c r="BO31" s="5">
        <v>0</v>
      </c>
      <c r="BP31" s="5">
        <v>0</v>
      </c>
      <c r="BQ31" s="5">
        <v>0</v>
      </c>
      <c r="BR31" s="5">
        <v>0</v>
      </c>
      <c r="BS31" s="5">
        <v>0</v>
      </c>
      <c r="BT31" s="5">
        <v>0</v>
      </c>
      <c r="BU31" s="5">
        <v>0</v>
      </c>
    </row>
    <row r="32" spans="1:73" x14ac:dyDescent="0.3">
      <c r="A32" s="4" t="s">
        <v>151</v>
      </c>
      <c r="B32" s="5">
        <v>0</v>
      </c>
      <c r="C32" s="5">
        <v>0</v>
      </c>
      <c r="D32" s="5">
        <v>0</v>
      </c>
      <c r="E32" s="5">
        <v>0</v>
      </c>
      <c r="F32" s="5">
        <v>0</v>
      </c>
      <c r="G32" s="5">
        <v>0</v>
      </c>
      <c r="H32" s="5">
        <v>1</v>
      </c>
      <c r="I32" s="5">
        <v>1</v>
      </c>
      <c r="J32" s="5">
        <v>0</v>
      </c>
      <c r="K32" s="5">
        <v>0</v>
      </c>
      <c r="L32" s="5">
        <v>0</v>
      </c>
      <c r="M32" s="5">
        <v>0</v>
      </c>
      <c r="N32" s="5">
        <v>0</v>
      </c>
      <c r="O32" s="5">
        <v>0</v>
      </c>
      <c r="P32" s="5">
        <v>0</v>
      </c>
      <c r="Q32" s="5">
        <v>0</v>
      </c>
      <c r="R32" s="5">
        <v>3</v>
      </c>
      <c r="S32" s="5">
        <v>0</v>
      </c>
      <c r="T32" s="5">
        <v>0</v>
      </c>
      <c r="U32" s="5">
        <v>0</v>
      </c>
      <c r="V32" s="5">
        <v>3</v>
      </c>
      <c r="W32" s="5">
        <v>0</v>
      </c>
      <c r="X32" s="5">
        <v>1</v>
      </c>
      <c r="Y32" s="5">
        <v>0</v>
      </c>
      <c r="Z32" s="5">
        <v>0</v>
      </c>
      <c r="AA32" s="5">
        <v>0</v>
      </c>
      <c r="AB32" s="5">
        <v>0</v>
      </c>
      <c r="AC32" s="5">
        <v>0</v>
      </c>
      <c r="AD32" s="5">
        <v>0</v>
      </c>
      <c r="AE32" s="5">
        <v>1</v>
      </c>
      <c r="AF32" s="5">
        <v>0</v>
      </c>
      <c r="AG32" s="5">
        <v>0</v>
      </c>
      <c r="AH32" s="5">
        <v>0</v>
      </c>
      <c r="AI32" s="5">
        <v>0</v>
      </c>
      <c r="AJ32" s="5">
        <v>0</v>
      </c>
      <c r="AK32" s="5">
        <v>0</v>
      </c>
      <c r="AL32" s="5">
        <v>0</v>
      </c>
      <c r="AM32" s="5">
        <v>0</v>
      </c>
      <c r="AN32" s="5">
        <v>0</v>
      </c>
      <c r="AO32" s="5">
        <v>0</v>
      </c>
      <c r="AP32" s="5">
        <v>0</v>
      </c>
      <c r="AQ32" s="5">
        <v>0</v>
      </c>
      <c r="AR32" s="5">
        <v>0</v>
      </c>
      <c r="AS32" s="5">
        <v>0</v>
      </c>
      <c r="AT32" s="5">
        <v>0</v>
      </c>
      <c r="AU32" s="5">
        <v>1</v>
      </c>
      <c r="AV32" s="5">
        <v>0</v>
      </c>
      <c r="AW32" s="5">
        <v>0</v>
      </c>
      <c r="AX32" s="5">
        <v>0</v>
      </c>
      <c r="AY32" s="5">
        <v>0</v>
      </c>
      <c r="AZ32" s="5">
        <v>2</v>
      </c>
      <c r="BA32" s="5">
        <v>0</v>
      </c>
      <c r="BB32" s="5">
        <v>0</v>
      </c>
      <c r="BC32" s="5">
        <v>0</v>
      </c>
      <c r="BD32" s="5">
        <v>0</v>
      </c>
      <c r="BE32" s="5">
        <v>0</v>
      </c>
      <c r="BF32" s="5">
        <v>1</v>
      </c>
      <c r="BG32" s="5">
        <v>0</v>
      </c>
      <c r="BH32" s="5">
        <v>2</v>
      </c>
      <c r="BI32" s="5">
        <v>16</v>
      </c>
      <c r="BJ32" s="5">
        <v>0</v>
      </c>
      <c r="BK32" s="5">
        <v>0</v>
      </c>
      <c r="BL32" s="5">
        <v>0</v>
      </c>
      <c r="BM32" s="5">
        <v>2</v>
      </c>
      <c r="BN32" s="5">
        <v>0</v>
      </c>
      <c r="BO32" s="5">
        <v>0</v>
      </c>
      <c r="BP32" s="5">
        <v>2</v>
      </c>
      <c r="BQ32" s="5">
        <v>0</v>
      </c>
      <c r="BR32" s="5">
        <v>0</v>
      </c>
      <c r="BS32" s="5">
        <v>0</v>
      </c>
      <c r="BT32" s="5">
        <v>0</v>
      </c>
      <c r="BU32" s="5">
        <v>0</v>
      </c>
    </row>
    <row r="33" spans="1:73" x14ac:dyDescent="0.3">
      <c r="A33" s="4" t="s">
        <v>185</v>
      </c>
      <c r="B33" s="5">
        <v>0</v>
      </c>
      <c r="C33" s="5">
        <v>0</v>
      </c>
      <c r="D33" s="5">
        <v>0</v>
      </c>
      <c r="E33" s="5">
        <v>0</v>
      </c>
      <c r="F33" s="5">
        <v>0</v>
      </c>
      <c r="G33" s="5">
        <v>0</v>
      </c>
      <c r="H33" s="5">
        <v>0</v>
      </c>
      <c r="I33" s="5">
        <v>0</v>
      </c>
      <c r="J33" s="5">
        <v>0</v>
      </c>
      <c r="K33" s="5">
        <v>0</v>
      </c>
      <c r="L33" s="5">
        <v>0</v>
      </c>
      <c r="M33" s="5">
        <v>0</v>
      </c>
      <c r="N33" s="5">
        <v>0</v>
      </c>
      <c r="O33" s="5">
        <v>1</v>
      </c>
      <c r="P33" s="5">
        <v>0</v>
      </c>
      <c r="Q33" s="5">
        <v>0</v>
      </c>
      <c r="R33" s="5">
        <v>4</v>
      </c>
      <c r="S33" s="5">
        <v>0</v>
      </c>
      <c r="T33" s="5">
        <v>0</v>
      </c>
      <c r="U33" s="5">
        <v>0</v>
      </c>
      <c r="V33" s="5">
        <v>1</v>
      </c>
      <c r="W33" s="5">
        <v>0</v>
      </c>
      <c r="X33" s="5">
        <v>4</v>
      </c>
      <c r="Y33" s="5">
        <v>0</v>
      </c>
      <c r="Z33" s="5">
        <v>0</v>
      </c>
      <c r="AA33" s="5">
        <v>0</v>
      </c>
      <c r="AB33" s="5">
        <v>0</v>
      </c>
      <c r="AC33" s="5">
        <v>0</v>
      </c>
      <c r="AD33" s="5">
        <v>0</v>
      </c>
      <c r="AE33" s="5">
        <v>0</v>
      </c>
      <c r="AF33" s="5">
        <v>1</v>
      </c>
      <c r="AG33" s="5">
        <v>0</v>
      </c>
      <c r="AH33" s="5">
        <v>3</v>
      </c>
      <c r="AI33" s="5">
        <v>1</v>
      </c>
      <c r="AJ33" s="5">
        <v>0</v>
      </c>
      <c r="AK33" s="5">
        <v>0</v>
      </c>
      <c r="AL33" s="5">
        <v>0</v>
      </c>
      <c r="AM33" s="5">
        <v>0</v>
      </c>
      <c r="AN33" s="5">
        <v>0</v>
      </c>
      <c r="AO33" s="5">
        <v>0</v>
      </c>
      <c r="AP33" s="5">
        <v>0</v>
      </c>
      <c r="AQ33" s="5">
        <v>0</v>
      </c>
      <c r="AR33" s="5">
        <v>0</v>
      </c>
      <c r="AS33" s="5">
        <v>0</v>
      </c>
      <c r="AT33" s="5">
        <v>0</v>
      </c>
      <c r="AU33" s="5">
        <v>0</v>
      </c>
      <c r="AV33" s="5">
        <v>0</v>
      </c>
      <c r="AW33" s="5">
        <v>0</v>
      </c>
      <c r="AX33" s="5">
        <v>0</v>
      </c>
      <c r="AY33" s="5">
        <v>0</v>
      </c>
      <c r="AZ33" s="5">
        <v>0</v>
      </c>
      <c r="BA33" s="5">
        <v>0</v>
      </c>
      <c r="BB33" s="5">
        <v>0</v>
      </c>
      <c r="BC33" s="5">
        <v>0</v>
      </c>
      <c r="BD33" s="5">
        <v>0</v>
      </c>
      <c r="BE33" s="5">
        <v>0</v>
      </c>
      <c r="BF33" s="5">
        <v>4</v>
      </c>
      <c r="BG33" s="5">
        <v>0</v>
      </c>
      <c r="BH33" s="5">
        <v>4</v>
      </c>
      <c r="BI33" s="5">
        <v>3</v>
      </c>
      <c r="BJ33" s="5">
        <v>0</v>
      </c>
      <c r="BK33" s="5">
        <v>0</v>
      </c>
      <c r="BL33" s="5">
        <v>0</v>
      </c>
      <c r="BM33" s="5">
        <v>1</v>
      </c>
      <c r="BN33" s="5">
        <v>0</v>
      </c>
      <c r="BO33" s="5">
        <v>0</v>
      </c>
      <c r="BP33" s="5">
        <v>0</v>
      </c>
      <c r="BQ33" s="5">
        <v>0</v>
      </c>
      <c r="BR33" s="5">
        <v>0</v>
      </c>
      <c r="BS33" s="5">
        <v>0</v>
      </c>
      <c r="BT33" s="5">
        <v>1</v>
      </c>
      <c r="BU33" s="5">
        <v>1</v>
      </c>
    </row>
    <row r="34" spans="1:73" x14ac:dyDescent="0.3">
      <c r="A34" s="4" t="s">
        <v>188</v>
      </c>
      <c r="B34" s="5">
        <v>1</v>
      </c>
      <c r="C34" s="5">
        <v>0</v>
      </c>
      <c r="D34" s="5">
        <v>2</v>
      </c>
      <c r="E34" s="5">
        <v>0</v>
      </c>
      <c r="F34" s="5">
        <v>1</v>
      </c>
      <c r="G34" s="5">
        <v>1</v>
      </c>
      <c r="H34" s="5">
        <v>0</v>
      </c>
      <c r="I34" s="5">
        <v>0</v>
      </c>
      <c r="J34" s="5">
        <v>1</v>
      </c>
      <c r="K34" s="5">
        <v>0</v>
      </c>
      <c r="L34" s="5">
        <v>0</v>
      </c>
      <c r="M34" s="5">
        <v>0</v>
      </c>
      <c r="N34" s="5">
        <v>2</v>
      </c>
      <c r="O34" s="5">
        <v>1</v>
      </c>
      <c r="P34" s="5">
        <v>0</v>
      </c>
      <c r="Q34" s="5">
        <v>1</v>
      </c>
      <c r="R34" s="5">
        <v>1</v>
      </c>
      <c r="S34" s="5">
        <v>2</v>
      </c>
      <c r="T34" s="5">
        <v>0</v>
      </c>
      <c r="U34" s="5">
        <v>0</v>
      </c>
      <c r="V34" s="5">
        <v>4</v>
      </c>
      <c r="W34" s="5">
        <v>0</v>
      </c>
      <c r="X34" s="5">
        <v>2</v>
      </c>
      <c r="Y34" s="5">
        <v>1</v>
      </c>
      <c r="Z34" s="5">
        <v>0</v>
      </c>
      <c r="AA34" s="5">
        <v>0</v>
      </c>
      <c r="AB34" s="5">
        <v>0</v>
      </c>
      <c r="AC34" s="5">
        <v>0</v>
      </c>
      <c r="AD34" s="5">
        <v>0</v>
      </c>
      <c r="AE34" s="5">
        <v>0</v>
      </c>
      <c r="AF34" s="5">
        <v>0</v>
      </c>
      <c r="AG34" s="5">
        <v>0</v>
      </c>
      <c r="AH34" s="5">
        <v>1</v>
      </c>
      <c r="AI34" s="5">
        <v>1</v>
      </c>
      <c r="AJ34" s="5">
        <v>0</v>
      </c>
      <c r="AK34" s="5">
        <v>1</v>
      </c>
      <c r="AL34" s="5">
        <v>0</v>
      </c>
      <c r="AM34" s="5">
        <v>0</v>
      </c>
      <c r="AN34" s="5">
        <v>0</v>
      </c>
      <c r="AO34" s="5">
        <v>0</v>
      </c>
      <c r="AP34" s="5">
        <v>0</v>
      </c>
      <c r="AQ34" s="5">
        <v>0</v>
      </c>
      <c r="AR34" s="5">
        <v>1</v>
      </c>
      <c r="AS34" s="5">
        <v>0</v>
      </c>
      <c r="AT34" s="5">
        <v>0</v>
      </c>
      <c r="AU34" s="5">
        <v>0</v>
      </c>
      <c r="AV34" s="5">
        <v>0</v>
      </c>
      <c r="AW34" s="5">
        <v>0</v>
      </c>
      <c r="AX34" s="5">
        <v>0</v>
      </c>
      <c r="AY34" s="5">
        <v>0</v>
      </c>
      <c r="AZ34" s="5">
        <v>0</v>
      </c>
      <c r="BA34" s="5">
        <v>0</v>
      </c>
      <c r="BB34" s="5">
        <v>0</v>
      </c>
      <c r="BC34" s="5">
        <v>0</v>
      </c>
      <c r="BD34" s="5">
        <v>0</v>
      </c>
      <c r="BE34" s="5">
        <v>0</v>
      </c>
      <c r="BF34" s="5">
        <v>0</v>
      </c>
      <c r="BG34" s="5">
        <v>0</v>
      </c>
      <c r="BH34" s="5">
        <v>1</v>
      </c>
      <c r="BI34" s="5">
        <v>4</v>
      </c>
      <c r="BJ34" s="5">
        <v>0</v>
      </c>
      <c r="BK34" s="5">
        <v>0</v>
      </c>
      <c r="BL34" s="5">
        <v>0</v>
      </c>
      <c r="BM34" s="5">
        <v>0</v>
      </c>
      <c r="BN34" s="5">
        <v>0</v>
      </c>
      <c r="BO34" s="5">
        <v>0</v>
      </c>
      <c r="BP34" s="5">
        <v>0</v>
      </c>
      <c r="BQ34" s="5">
        <v>0</v>
      </c>
      <c r="BR34" s="5">
        <v>0</v>
      </c>
      <c r="BS34" s="5">
        <v>0</v>
      </c>
      <c r="BT34" s="5">
        <v>0</v>
      </c>
      <c r="BU34" s="5">
        <v>0</v>
      </c>
    </row>
    <row r="35" spans="1:73" x14ac:dyDescent="0.3">
      <c r="A35" s="4" t="s">
        <v>177</v>
      </c>
      <c r="B35" s="5">
        <v>0</v>
      </c>
      <c r="C35" s="5">
        <v>0</v>
      </c>
      <c r="D35" s="5">
        <v>0</v>
      </c>
      <c r="E35" s="5">
        <v>0</v>
      </c>
      <c r="F35" s="5">
        <v>0</v>
      </c>
      <c r="G35" s="5">
        <v>0</v>
      </c>
      <c r="H35" s="5">
        <v>0</v>
      </c>
      <c r="I35" s="5">
        <v>0</v>
      </c>
      <c r="J35" s="5">
        <v>0</v>
      </c>
      <c r="K35" s="5">
        <v>0</v>
      </c>
      <c r="L35" s="5">
        <v>0</v>
      </c>
      <c r="M35" s="5">
        <v>0</v>
      </c>
      <c r="N35" s="5">
        <v>0</v>
      </c>
      <c r="O35" s="5">
        <v>0</v>
      </c>
      <c r="P35" s="5">
        <v>0</v>
      </c>
      <c r="Q35" s="5">
        <v>0</v>
      </c>
      <c r="R35" s="5">
        <v>1</v>
      </c>
      <c r="S35" s="5">
        <v>0</v>
      </c>
      <c r="T35" s="5">
        <v>0</v>
      </c>
      <c r="U35" s="5">
        <v>0</v>
      </c>
      <c r="V35" s="5">
        <v>0</v>
      </c>
      <c r="W35" s="5">
        <v>0</v>
      </c>
      <c r="X35" s="5">
        <v>0</v>
      </c>
      <c r="Y35" s="5">
        <v>0</v>
      </c>
      <c r="Z35" s="5">
        <v>0</v>
      </c>
      <c r="AA35" s="5">
        <v>0</v>
      </c>
      <c r="AB35" s="5">
        <v>0</v>
      </c>
      <c r="AC35" s="5">
        <v>0</v>
      </c>
      <c r="AD35" s="5">
        <v>0</v>
      </c>
      <c r="AE35" s="5">
        <v>0</v>
      </c>
      <c r="AF35" s="5">
        <v>0</v>
      </c>
      <c r="AG35" s="5">
        <v>0</v>
      </c>
      <c r="AH35" s="5">
        <v>0</v>
      </c>
      <c r="AI35" s="5">
        <v>0</v>
      </c>
      <c r="AJ35" s="5">
        <v>0</v>
      </c>
      <c r="AK35" s="5">
        <v>0</v>
      </c>
      <c r="AL35" s="5">
        <v>0</v>
      </c>
      <c r="AM35" s="5">
        <v>0</v>
      </c>
      <c r="AN35" s="5">
        <v>0</v>
      </c>
      <c r="AO35" s="5">
        <v>1</v>
      </c>
      <c r="AP35" s="5">
        <v>0</v>
      </c>
      <c r="AQ35" s="5">
        <v>0</v>
      </c>
      <c r="AR35" s="5">
        <v>0</v>
      </c>
      <c r="AS35" s="5">
        <v>0</v>
      </c>
      <c r="AT35" s="5">
        <v>0</v>
      </c>
      <c r="AU35" s="5">
        <v>0</v>
      </c>
      <c r="AV35" s="5">
        <v>0</v>
      </c>
      <c r="AW35" s="5">
        <v>0</v>
      </c>
      <c r="AX35" s="5">
        <v>0</v>
      </c>
      <c r="AY35" s="5">
        <v>0</v>
      </c>
      <c r="AZ35" s="5">
        <v>0</v>
      </c>
      <c r="BA35" s="5">
        <v>0</v>
      </c>
      <c r="BB35" s="5">
        <v>0</v>
      </c>
      <c r="BC35" s="5">
        <v>0</v>
      </c>
      <c r="BD35" s="5">
        <v>0</v>
      </c>
      <c r="BE35" s="5">
        <v>0</v>
      </c>
      <c r="BF35" s="5">
        <v>0</v>
      </c>
      <c r="BG35" s="5">
        <v>0</v>
      </c>
      <c r="BH35" s="5">
        <v>1</v>
      </c>
      <c r="BI35" s="5">
        <v>3</v>
      </c>
      <c r="BJ35" s="5">
        <v>0</v>
      </c>
      <c r="BK35" s="5">
        <v>0</v>
      </c>
      <c r="BL35" s="5">
        <v>0</v>
      </c>
      <c r="BM35" s="5">
        <v>0</v>
      </c>
      <c r="BN35" s="5">
        <v>0</v>
      </c>
      <c r="BO35" s="5">
        <v>0</v>
      </c>
      <c r="BP35" s="5">
        <v>0</v>
      </c>
      <c r="BQ35" s="5">
        <v>0</v>
      </c>
      <c r="BR35" s="5">
        <v>0</v>
      </c>
      <c r="BS35" s="5">
        <v>0</v>
      </c>
      <c r="BT35" s="5">
        <v>0</v>
      </c>
      <c r="BU35" s="5">
        <v>0</v>
      </c>
    </row>
    <row r="36" spans="1:73" x14ac:dyDescent="0.3">
      <c r="A36" s="4" t="s">
        <v>160</v>
      </c>
      <c r="B36" s="5">
        <v>0</v>
      </c>
      <c r="C36" s="5">
        <v>0</v>
      </c>
      <c r="D36" s="5">
        <v>0</v>
      </c>
      <c r="E36" s="5">
        <v>0</v>
      </c>
      <c r="F36" s="5">
        <v>1</v>
      </c>
      <c r="G36" s="5">
        <v>0</v>
      </c>
      <c r="H36" s="5">
        <v>0</v>
      </c>
      <c r="I36" s="5">
        <v>4</v>
      </c>
      <c r="J36" s="5">
        <v>0</v>
      </c>
      <c r="K36" s="5">
        <v>0</v>
      </c>
      <c r="L36" s="5">
        <v>0</v>
      </c>
      <c r="M36" s="5">
        <v>0</v>
      </c>
      <c r="N36" s="5">
        <v>1</v>
      </c>
      <c r="O36" s="5">
        <v>0</v>
      </c>
      <c r="P36" s="5">
        <v>0</v>
      </c>
      <c r="Q36" s="5">
        <v>1</v>
      </c>
      <c r="R36" s="5">
        <v>1</v>
      </c>
      <c r="S36" s="5">
        <v>0</v>
      </c>
      <c r="T36" s="5">
        <v>1</v>
      </c>
      <c r="U36" s="5">
        <v>0</v>
      </c>
      <c r="V36" s="5">
        <v>1</v>
      </c>
      <c r="W36" s="5">
        <v>0</v>
      </c>
      <c r="X36" s="5">
        <v>2</v>
      </c>
      <c r="Y36" s="5">
        <v>0</v>
      </c>
      <c r="Z36" s="5">
        <v>0</v>
      </c>
      <c r="AA36" s="5">
        <v>0</v>
      </c>
      <c r="AB36" s="5">
        <v>0</v>
      </c>
      <c r="AC36" s="5">
        <v>0</v>
      </c>
      <c r="AD36" s="5">
        <v>0</v>
      </c>
      <c r="AE36" s="5">
        <v>1</v>
      </c>
      <c r="AF36" s="5">
        <v>0</v>
      </c>
      <c r="AG36" s="5">
        <v>0</v>
      </c>
      <c r="AH36" s="5">
        <v>1</v>
      </c>
      <c r="AI36" s="5">
        <v>0</v>
      </c>
      <c r="AJ36" s="5">
        <v>0</v>
      </c>
      <c r="AK36" s="5">
        <v>0</v>
      </c>
      <c r="AL36" s="5">
        <v>0</v>
      </c>
      <c r="AM36" s="5">
        <v>0</v>
      </c>
      <c r="AN36" s="5">
        <v>0</v>
      </c>
      <c r="AO36" s="5">
        <v>0</v>
      </c>
      <c r="AP36" s="5">
        <v>0</v>
      </c>
      <c r="AQ36" s="5">
        <v>0</v>
      </c>
      <c r="AR36" s="5">
        <v>0</v>
      </c>
      <c r="AS36" s="5">
        <v>0</v>
      </c>
      <c r="AT36" s="5">
        <v>0</v>
      </c>
      <c r="AU36" s="5">
        <v>0</v>
      </c>
      <c r="AV36" s="5">
        <v>0</v>
      </c>
      <c r="AW36" s="5">
        <v>0</v>
      </c>
      <c r="AX36" s="5">
        <v>0</v>
      </c>
      <c r="AY36" s="5">
        <v>0</v>
      </c>
      <c r="AZ36" s="5">
        <v>1</v>
      </c>
      <c r="BA36" s="5">
        <v>0</v>
      </c>
      <c r="BB36" s="5">
        <v>0</v>
      </c>
      <c r="BC36" s="5">
        <v>0</v>
      </c>
      <c r="BD36" s="5">
        <v>0</v>
      </c>
      <c r="BE36" s="5">
        <v>0</v>
      </c>
      <c r="BF36" s="5">
        <v>4</v>
      </c>
      <c r="BG36" s="5">
        <v>0</v>
      </c>
      <c r="BH36" s="5">
        <v>4</v>
      </c>
      <c r="BI36" s="5">
        <v>8</v>
      </c>
      <c r="BJ36" s="5">
        <v>0</v>
      </c>
      <c r="BK36" s="5">
        <v>0</v>
      </c>
      <c r="BL36" s="5">
        <v>0</v>
      </c>
      <c r="BM36" s="5">
        <v>0</v>
      </c>
      <c r="BN36" s="5">
        <v>0</v>
      </c>
      <c r="BO36" s="5">
        <v>0</v>
      </c>
      <c r="BP36" s="5">
        <v>1</v>
      </c>
      <c r="BQ36" s="5">
        <v>0</v>
      </c>
      <c r="BR36" s="5">
        <v>0</v>
      </c>
      <c r="BS36" s="5">
        <v>0</v>
      </c>
      <c r="BT36" s="5">
        <v>0</v>
      </c>
      <c r="BU36" s="5">
        <v>0</v>
      </c>
    </row>
    <row r="37" spans="1:73" x14ac:dyDescent="0.3">
      <c r="A37" s="4" t="s">
        <v>168</v>
      </c>
      <c r="B37" s="5">
        <v>0</v>
      </c>
      <c r="C37" s="5">
        <v>0</v>
      </c>
      <c r="D37" s="5">
        <v>0</v>
      </c>
      <c r="E37" s="5">
        <v>0</v>
      </c>
      <c r="F37" s="5">
        <v>0</v>
      </c>
      <c r="G37" s="5">
        <v>0</v>
      </c>
      <c r="H37" s="5">
        <v>0</v>
      </c>
      <c r="I37" s="5">
        <v>0</v>
      </c>
      <c r="J37" s="5">
        <v>0</v>
      </c>
      <c r="K37" s="5">
        <v>0</v>
      </c>
      <c r="L37" s="5">
        <v>0</v>
      </c>
      <c r="M37" s="5">
        <v>0</v>
      </c>
      <c r="N37" s="5">
        <v>0</v>
      </c>
      <c r="O37" s="5">
        <v>0</v>
      </c>
      <c r="P37" s="5">
        <v>0</v>
      </c>
      <c r="Q37" s="5">
        <v>0</v>
      </c>
      <c r="R37" s="5">
        <v>0</v>
      </c>
      <c r="S37" s="5">
        <v>1</v>
      </c>
      <c r="T37" s="5">
        <v>0</v>
      </c>
      <c r="U37" s="5">
        <v>0</v>
      </c>
      <c r="V37" s="5">
        <v>0</v>
      </c>
      <c r="W37" s="5">
        <v>0</v>
      </c>
      <c r="X37" s="5">
        <v>1</v>
      </c>
      <c r="Y37" s="5">
        <v>0</v>
      </c>
      <c r="Z37" s="5">
        <v>0</v>
      </c>
      <c r="AA37" s="5">
        <v>0</v>
      </c>
      <c r="AB37" s="5">
        <v>0</v>
      </c>
      <c r="AC37" s="5">
        <v>0</v>
      </c>
      <c r="AD37" s="5">
        <v>0</v>
      </c>
      <c r="AE37" s="5">
        <v>0</v>
      </c>
      <c r="AF37" s="5">
        <v>0</v>
      </c>
      <c r="AG37" s="5">
        <v>0</v>
      </c>
      <c r="AH37" s="5">
        <v>1</v>
      </c>
      <c r="AI37" s="5">
        <v>3</v>
      </c>
      <c r="AJ37" s="5">
        <v>0</v>
      </c>
      <c r="AK37" s="5">
        <v>0</v>
      </c>
      <c r="AL37" s="5">
        <v>0</v>
      </c>
      <c r="AM37" s="5">
        <v>0</v>
      </c>
      <c r="AN37" s="5">
        <v>0</v>
      </c>
      <c r="AO37" s="5">
        <v>0</v>
      </c>
      <c r="AP37" s="5">
        <v>0</v>
      </c>
      <c r="AQ37" s="5">
        <v>0</v>
      </c>
      <c r="AR37" s="5">
        <v>0</v>
      </c>
      <c r="AS37" s="5">
        <v>0</v>
      </c>
      <c r="AT37" s="5">
        <v>0</v>
      </c>
      <c r="AU37" s="5">
        <v>0</v>
      </c>
      <c r="AV37" s="5">
        <v>0</v>
      </c>
      <c r="AW37" s="5">
        <v>0</v>
      </c>
      <c r="AX37" s="5">
        <v>0</v>
      </c>
      <c r="AY37" s="5">
        <v>0</v>
      </c>
      <c r="AZ37" s="5">
        <v>1</v>
      </c>
      <c r="BA37" s="5">
        <v>0</v>
      </c>
      <c r="BB37" s="5">
        <v>1</v>
      </c>
      <c r="BC37" s="5">
        <v>0</v>
      </c>
      <c r="BD37" s="5">
        <v>1</v>
      </c>
      <c r="BE37" s="5">
        <v>0</v>
      </c>
      <c r="BF37" s="5">
        <v>0</v>
      </c>
      <c r="BG37" s="5">
        <v>0</v>
      </c>
      <c r="BH37" s="5">
        <v>0</v>
      </c>
      <c r="BI37" s="5">
        <v>5</v>
      </c>
      <c r="BJ37" s="5">
        <v>0</v>
      </c>
      <c r="BK37" s="5">
        <v>0</v>
      </c>
      <c r="BL37" s="5">
        <v>0</v>
      </c>
      <c r="BM37" s="5">
        <v>0</v>
      </c>
      <c r="BN37" s="5">
        <v>0</v>
      </c>
      <c r="BO37" s="5">
        <v>0</v>
      </c>
      <c r="BP37" s="5">
        <v>1</v>
      </c>
      <c r="BQ37" s="5">
        <v>0</v>
      </c>
      <c r="BR37" s="5">
        <v>0</v>
      </c>
      <c r="BS37" s="5">
        <v>0</v>
      </c>
      <c r="BT37" s="5">
        <v>0</v>
      </c>
      <c r="BU37" s="5">
        <v>0</v>
      </c>
    </row>
    <row r="38" spans="1:73" x14ac:dyDescent="0.3">
      <c r="A38" s="4" t="s">
        <v>209</v>
      </c>
      <c r="B38" s="5">
        <v>0</v>
      </c>
      <c r="C38" s="5">
        <v>0</v>
      </c>
      <c r="D38" s="5">
        <v>0</v>
      </c>
      <c r="E38" s="5">
        <v>0</v>
      </c>
      <c r="F38" s="5">
        <v>0</v>
      </c>
      <c r="G38" s="5">
        <v>0</v>
      </c>
      <c r="H38" s="5">
        <v>0</v>
      </c>
      <c r="I38" s="5">
        <v>0</v>
      </c>
      <c r="J38" s="5">
        <v>0</v>
      </c>
      <c r="K38" s="5">
        <v>0</v>
      </c>
      <c r="L38" s="5">
        <v>0</v>
      </c>
      <c r="M38" s="5">
        <v>0</v>
      </c>
      <c r="N38" s="5">
        <v>1</v>
      </c>
      <c r="O38" s="5">
        <v>0</v>
      </c>
      <c r="P38" s="5">
        <v>0</v>
      </c>
      <c r="Q38" s="5">
        <v>0</v>
      </c>
      <c r="R38" s="5">
        <v>0</v>
      </c>
      <c r="S38" s="5">
        <v>0</v>
      </c>
      <c r="T38" s="5">
        <v>0</v>
      </c>
      <c r="U38" s="5">
        <v>0</v>
      </c>
      <c r="V38" s="5">
        <v>1</v>
      </c>
      <c r="W38" s="5">
        <v>0</v>
      </c>
      <c r="X38" s="5">
        <v>0</v>
      </c>
      <c r="Y38" s="5">
        <v>0</v>
      </c>
      <c r="Z38" s="5">
        <v>0</v>
      </c>
      <c r="AA38" s="5">
        <v>0</v>
      </c>
      <c r="AB38" s="5">
        <v>0</v>
      </c>
      <c r="AC38" s="5">
        <v>0</v>
      </c>
      <c r="AD38" s="5">
        <v>0</v>
      </c>
      <c r="AE38" s="5">
        <v>0</v>
      </c>
      <c r="AF38" s="5">
        <v>0</v>
      </c>
      <c r="AG38" s="5">
        <v>0</v>
      </c>
      <c r="AH38" s="5">
        <v>0</v>
      </c>
      <c r="AI38" s="5">
        <v>0</v>
      </c>
      <c r="AJ38" s="5">
        <v>0</v>
      </c>
      <c r="AK38" s="5">
        <v>0</v>
      </c>
      <c r="AL38" s="5">
        <v>0</v>
      </c>
      <c r="AM38" s="5">
        <v>0</v>
      </c>
      <c r="AN38" s="5">
        <v>0</v>
      </c>
      <c r="AO38" s="5">
        <v>0</v>
      </c>
      <c r="AP38" s="5">
        <v>0</v>
      </c>
      <c r="AQ38" s="5">
        <v>0</v>
      </c>
      <c r="AR38" s="5">
        <v>0</v>
      </c>
      <c r="AS38" s="5">
        <v>0</v>
      </c>
      <c r="AT38" s="5">
        <v>1</v>
      </c>
      <c r="AU38" s="5">
        <v>1</v>
      </c>
      <c r="AV38" s="5">
        <v>0</v>
      </c>
      <c r="AW38" s="5">
        <v>0</v>
      </c>
      <c r="AX38" s="5">
        <v>0</v>
      </c>
      <c r="AY38" s="5">
        <v>0</v>
      </c>
      <c r="AZ38" s="5">
        <v>0</v>
      </c>
      <c r="BA38" s="5">
        <v>0</v>
      </c>
      <c r="BB38" s="5">
        <v>0</v>
      </c>
      <c r="BC38" s="5">
        <v>0</v>
      </c>
      <c r="BD38" s="5">
        <v>0</v>
      </c>
      <c r="BE38" s="5">
        <v>0</v>
      </c>
      <c r="BF38" s="5">
        <v>0</v>
      </c>
      <c r="BG38" s="5">
        <v>0</v>
      </c>
      <c r="BH38" s="5">
        <v>0</v>
      </c>
      <c r="BI38" s="5">
        <v>1</v>
      </c>
      <c r="BJ38" s="5">
        <v>0</v>
      </c>
      <c r="BK38" s="5">
        <v>1</v>
      </c>
      <c r="BL38" s="5">
        <v>0</v>
      </c>
      <c r="BM38" s="5">
        <v>0</v>
      </c>
      <c r="BN38" s="5">
        <v>0</v>
      </c>
      <c r="BO38" s="5">
        <v>0</v>
      </c>
      <c r="BP38" s="5">
        <v>0</v>
      </c>
      <c r="BQ38" s="5">
        <v>0</v>
      </c>
      <c r="BR38" s="5">
        <v>0</v>
      </c>
      <c r="BS38" s="5">
        <v>0</v>
      </c>
      <c r="BT38" s="5">
        <v>0</v>
      </c>
      <c r="BU38" s="5">
        <v>0</v>
      </c>
    </row>
    <row r="39" spans="1:73" x14ac:dyDescent="0.3">
      <c r="A39" s="4" t="s">
        <v>180</v>
      </c>
      <c r="B39" s="5">
        <v>0</v>
      </c>
      <c r="C39" s="5">
        <v>0</v>
      </c>
      <c r="D39" s="5">
        <v>0</v>
      </c>
      <c r="E39" s="5">
        <v>0</v>
      </c>
      <c r="F39" s="5">
        <v>0</v>
      </c>
      <c r="G39" s="5">
        <v>0</v>
      </c>
      <c r="H39" s="5">
        <v>0</v>
      </c>
      <c r="I39" s="5">
        <v>0</v>
      </c>
      <c r="J39" s="5">
        <v>0</v>
      </c>
      <c r="K39" s="5">
        <v>0</v>
      </c>
      <c r="L39" s="5">
        <v>0</v>
      </c>
      <c r="M39" s="5">
        <v>0</v>
      </c>
      <c r="N39" s="5">
        <v>0</v>
      </c>
      <c r="O39" s="5">
        <v>0</v>
      </c>
      <c r="P39" s="5">
        <v>0</v>
      </c>
      <c r="Q39" s="5">
        <v>0</v>
      </c>
      <c r="R39" s="5">
        <v>2</v>
      </c>
      <c r="S39" s="5">
        <v>0</v>
      </c>
      <c r="T39" s="5">
        <v>0</v>
      </c>
      <c r="U39" s="5">
        <v>0</v>
      </c>
      <c r="V39" s="5">
        <v>0</v>
      </c>
      <c r="W39" s="5">
        <v>0</v>
      </c>
      <c r="X39" s="5">
        <v>0</v>
      </c>
      <c r="Y39" s="5">
        <v>0</v>
      </c>
      <c r="Z39" s="5">
        <v>0</v>
      </c>
      <c r="AA39" s="5">
        <v>0</v>
      </c>
      <c r="AB39" s="5">
        <v>0</v>
      </c>
      <c r="AC39" s="5">
        <v>0</v>
      </c>
      <c r="AD39" s="5">
        <v>0</v>
      </c>
      <c r="AE39" s="5">
        <v>0</v>
      </c>
      <c r="AF39" s="5">
        <v>0</v>
      </c>
      <c r="AG39" s="5">
        <v>0</v>
      </c>
      <c r="AH39" s="5">
        <v>0</v>
      </c>
      <c r="AI39" s="5">
        <v>0</v>
      </c>
      <c r="AJ39" s="5">
        <v>0</v>
      </c>
      <c r="AK39" s="5">
        <v>0</v>
      </c>
      <c r="AL39" s="5">
        <v>0</v>
      </c>
      <c r="AM39" s="5">
        <v>0</v>
      </c>
      <c r="AN39" s="5">
        <v>0</v>
      </c>
      <c r="AO39" s="5">
        <v>0</v>
      </c>
      <c r="AP39" s="5">
        <v>0</v>
      </c>
      <c r="AQ39" s="5">
        <v>0</v>
      </c>
      <c r="AR39" s="5">
        <v>0</v>
      </c>
      <c r="AS39" s="5">
        <v>0</v>
      </c>
      <c r="AT39" s="5">
        <v>0</v>
      </c>
      <c r="AU39" s="5">
        <v>0</v>
      </c>
      <c r="AV39" s="5">
        <v>0</v>
      </c>
      <c r="AW39" s="5">
        <v>0</v>
      </c>
      <c r="AX39" s="5">
        <v>0</v>
      </c>
      <c r="AY39" s="5">
        <v>0</v>
      </c>
      <c r="AZ39" s="5">
        <v>0</v>
      </c>
      <c r="BA39" s="5">
        <v>0</v>
      </c>
      <c r="BB39" s="5">
        <v>0</v>
      </c>
      <c r="BC39" s="5">
        <v>0</v>
      </c>
      <c r="BD39" s="5">
        <v>0</v>
      </c>
      <c r="BE39" s="5">
        <v>0</v>
      </c>
      <c r="BF39" s="5">
        <v>0</v>
      </c>
      <c r="BG39" s="5">
        <v>0</v>
      </c>
      <c r="BH39" s="5">
        <v>0</v>
      </c>
      <c r="BI39" s="5">
        <v>0</v>
      </c>
      <c r="BJ39" s="5">
        <v>0</v>
      </c>
      <c r="BK39" s="5">
        <v>0</v>
      </c>
      <c r="BL39" s="5">
        <v>0</v>
      </c>
      <c r="BM39" s="5">
        <v>0</v>
      </c>
      <c r="BN39" s="5">
        <v>0</v>
      </c>
      <c r="BO39" s="5">
        <v>0</v>
      </c>
      <c r="BP39" s="5">
        <v>0</v>
      </c>
      <c r="BQ39" s="5">
        <v>0</v>
      </c>
      <c r="BR39" s="5">
        <v>0</v>
      </c>
      <c r="BS39" s="5">
        <v>0</v>
      </c>
      <c r="BT39" s="5">
        <v>0</v>
      </c>
      <c r="BU39" s="5">
        <v>0</v>
      </c>
    </row>
    <row r="40" spans="1:73" x14ac:dyDescent="0.3">
      <c r="A40" s="4" t="s">
        <v>169</v>
      </c>
      <c r="B40" s="5">
        <v>0</v>
      </c>
      <c r="C40" s="5">
        <v>0</v>
      </c>
      <c r="D40" s="5">
        <v>1</v>
      </c>
      <c r="E40" s="5">
        <v>2</v>
      </c>
      <c r="F40" s="5">
        <v>0</v>
      </c>
      <c r="G40" s="5">
        <v>0</v>
      </c>
      <c r="H40" s="5">
        <v>0</v>
      </c>
      <c r="I40" s="5">
        <v>0</v>
      </c>
      <c r="J40" s="5">
        <v>0</v>
      </c>
      <c r="K40" s="5">
        <v>0</v>
      </c>
      <c r="L40" s="5">
        <v>0</v>
      </c>
      <c r="M40" s="5">
        <v>0</v>
      </c>
      <c r="N40" s="5">
        <v>0</v>
      </c>
      <c r="O40" s="5">
        <v>1</v>
      </c>
      <c r="P40" s="5">
        <v>0</v>
      </c>
      <c r="Q40" s="5">
        <v>0</v>
      </c>
      <c r="R40" s="5">
        <v>1</v>
      </c>
      <c r="S40" s="5">
        <v>0</v>
      </c>
      <c r="T40" s="5">
        <v>0</v>
      </c>
      <c r="U40" s="5">
        <v>0</v>
      </c>
      <c r="V40" s="5">
        <v>0</v>
      </c>
      <c r="W40" s="5">
        <v>0</v>
      </c>
      <c r="X40" s="5">
        <v>1</v>
      </c>
      <c r="Y40" s="5">
        <v>0</v>
      </c>
      <c r="Z40" s="5">
        <v>0</v>
      </c>
      <c r="AA40" s="5">
        <v>0</v>
      </c>
      <c r="AB40" s="5">
        <v>0</v>
      </c>
      <c r="AC40" s="5">
        <v>0</v>
      </c>
      <c r="AD40" s="5">
        <v>0</v>
      </c>
      <c r="AE40" s="5">
        <v>1</v>
      </c>
      <c r="AF40" s="5">
        <v>0</v>
      </c>
      <c r="AG40" s="5">
        <v>0</v>
      </c>
      <c r="AH40" s="5">
        <v>0</v>
      </c>
      <c r="AI40" s="5">
        <v>0</v>
      </c>
      <c r="AJ40" s="5">
        <v>0</v>
      </c>
      <c r="AK40" s="5">
        <v>0</v>
      </c>
      <c r="AL40" s="5">
        <v>0</v>
      </c>
      <c r="AM40" s="5">
        <v>0</v>
      </c>
      <c r="AN40" s="5">
        <v>0</v>
      </c>
      <c r="AO40" s="5">
        <v>0</v>
      </c>
      <c r="AP40" s="5">
        <v>0</v>
      </c>
      <c r="AQ40" s="5">
        <v>0</v>
      </c>
      <c r="AR40" s="5">
        <v>0</v>
      </c>
      <c r="AS40" s="5">
        <v>0</v>
      </c>
      <c r="AT40" s="5">
        <v>0</v>
      </c>
      <c r="AU40" s="5">
        <v>0</v>
      </c>
      <c r="AV40" s="5">
        <v>0</v>
      </c>
      <c r="AW40" s="5">
        <v>0</v>
      </c>
      <c r="AX40" s="5">
        <v>0</v>
      </c>
      <c r="AY40" s="5">
        <v>0</v>
      </c>
      <c r="AZ40" s="5">
        <v>6</v>
      </c>
      <c r="BA40" s="5">
        <v>0</v>
      </c>
      <c r="BB40" s="5">
        <v>0</v>
      </c>
      <c r="BC40" s="5">
        <v>0</v>
      </c>
      <c r="BD40" s="5">
        <v>0</v>
      </c>
      <c r="BE40" s="5">
        <v>0</v>
      </c>
      <c r="BF40" s="5">
        <v>0</v>
      </c>
      <c r="BG40" s="5">
        <v>1</v>
      </c>
      <c r="BH40" s="5">
        <v>1</v>
      </c>
      <c r="BI40" s="5">
        <v>1</v>
      </c>
      <c r="BJ40" s="5">
        <v>0</v>
      </c>
      <c r="BK40" s="5">
        <v>0</v>
      </c>
      <c r="BL40" s="5">
        <v>0</v>
      </c>
      <c r="BM40" s="5">
        <v>0</v>
      </c>
      <c r="BN40" s="5">
        <v>0</v>
      </c>
      <c r="BO40" s="5">
        <v>0</v>
      </c>
      <c r="BP40" s="5">
        <v>0</v>
      </c>
      <c r="BQ40" s="5">
        <v>0</v>
      </c>
      <c r="BR40" s="5">
        <v>1</v>
      </c>
      <c r="BS40" s="5">
        <v>0</v>
      </c>
      <c r="BT40" s="5">
        <v>0</v>
      </c>
      <c r="BU40" s="5">
        <v>0</v>
      </c>
    </row>
    <row r="41" spans="1:73" x14ac:dyDescent="0.3">
      <c r="A41" s="4" t="s">
        <v>159</v>
      </c>
      <c r="B41" s="5">
        <v>0</v>
      </c>
      <c r="C41" s="5">
        <v>0</v>
      </c>
      <c r="D41" s="5">
        <v>0</v>
      </c>
      <c r="E41" s="5">
        <v>0</v>
      </c>
      <c r="F41" s="5">
        <v>0</v>
      </c>
      <c r="G41" s="5">
        <v>0</v>
      </c>
      <c r="H41" s="5">
        <v>0</v>
      </c>
      <c r="I41" s="5">
        <v>0</v>
      </c>
      <c r="J41" s="5">
        <v>0</v>
      </c>
      <c r="K41" s="5">
        <v>0</v>
      </c>
      <c r="L41" s="5">
        <v>0</v>
      </c>
      <c r="M41" s="5">
        <v>1</v>
      </c>
      <c r="N41" s="5">
        <v>1</v>
      </c>
      <c r="O41" s="5">
        <v>0</v>
      </c>
      <c r="P41" s="5">
        <v>0</v>
      </c>
      <c r="Q41" s="5">
        <v>0</v>
      </c>
      <c r="R41" s="5">
        <v>0</v>
      </c>
      <c r="S41" s="5">
        <v>0</v>
      </c>
      <c r="T41" s="5">
        <v>0</v>
      </c>
      <c r="U41" s="5">
        <v>0</v>
      </c>
      <c r="V41" s="5">
        <v>4</v>
      </c>
      <c r="W41" s="5">
        <v>1</v>
      </c>
      <c r="X41" s="5">
        <v>2</v>
      </c>
      <c r="Y41" s="5">
        <v>0</v>
      </c>
      <c r="Z41" s="5">
        <v>0</v>
      </c>
      <c r="AA41" s="5">
        <v>0</v>
      </c>
      <c r="AB41" s="5">
        <v>0</v>
      </c>
      <c r="AC41" s="5">
        <v>0</v>
      </c>
      <c r="AD41" s="5">
        <v>0</v>
      </c>
      <c r="AE41" s="5">
        <v>0</v>
      </c>
      <c r="AF41" s="5">
        <v>0</v>
      </c>
      <c r="AG41" s="5">
        <v>0</v>
      </c>
      <c r="AH41" s="5">
        <v>2</v>
      </c>
      <c r="AI41" s="5">
        <v>2</v>
      </c>
      <c r="AJ41" s="5">
        <v>0</v>
      </c>
      <c r="AK41" s="5">
        <v>0</v>
      </c>
      <c r="AL41" s="5">
        <v>0</v>
      </c>
      <c r="AM41" s="5">
        <v>0</v>
      </c>
      <c r="AN41" s="5">
        <v>0</v>
      </c>
      <c r="AO41" s="5">
        <v>0</v>
      </c>
      <c r="AP41" s="5">
        <v>0</v>
      </c>
      <c r="AQ41" s="5">
        <v>0</v>
      </c>
      <c r="AR41" s="5">
        <v>0</v>
      </c>
      <c r="AS41" s="5">
        <v>0</v>
      </c>
      <c r="AT41" s="5">
        <v>0</v>
      </c>
      <c r="AU41" s="5">
        <v>0</v>
      </c>
      <c r="AV41" s="5">
        <v>0</v>
      </c>
      <c r="AW41" s="5">
        <v>0</v>
      </c>
      <c r="AX41" s="5">
        <v>0</v>
      </c>
      <c r="AY41" s="5">
        <v>0</v>
      </c>
      <c r="AZ41" s="5">
        <v>0</v>
      </c>
      <c r="BA41" s="5">
        <v>0</v>
      </c>
      <c r="BB41" s="5">
        <v>0</v>
      </c>
      <c r="BC41" s="5">
        <v>0</v>
      </c>
      <c r="BD41" s="5">
        <v>0</v>
      </c>
      <c r="BE41" s="5">
        <v>0</v>
      </c>
      <c r="BF41" s="5">
        <v>1</v>
      </c>
      <c r="BG41" s="5">
        <v>0</v>
      </c>
      <c r="BH41" s="5">
        <v>1</v>
      </c>
      <c r="BI41" s="5">
        <v>5</v>
      </c>
      <c r="BJ41" s="5">
        <v>0</v>
      </c>
      <c r="BK41" s="5">
        <v>0</v>
      </c>
      <c r="BL41" s="5">
        <v>0</v>
      </c>
      <c r="BM41" s="5">
        <v>0</v>
      </c>
      <c r="BN41" s="5">
        <v>0</v>
      </c>
      <c r="BO41" s="5">
        <v>0</v>
      </c>
      <c r="BP41" s="5">
        <v>0</v>
      </c>
      <c r="BQ41" s="5">
        <v>0</v>
      </c>
      <c r="BR41" s="5">
        <v>1</v>
      </c>
      <c r="BS41" s="5">
        <v>0</v>
      </c>
      <c r="BT41" s="5">
        <v>0</v>
      </c>
      <c r="BU41" s="5">
        <v>0</v>
      </c>
    </row>
    <row r="42" spans="1:73" x14ac:dyDescent="0.3">
      <c r="A42" s="4" t="s">
        <v>154</v>
      </c>
      <c r="B42" s="5">
        <v>0</v>
      </c>
      <c r="C42" s="5">
        <v>0</v>
      </c>
      <c r="D42" s="5">
        <v>0</v>
      </c>
      <c r="E42" s="5">
        <v>0</v>
      </c>
      <c r="F42" s="5">
        <v>0</v>
      </c>
      <c r="G42" s="5">
        <v>0</v>
      </c>
      <c r="H42" s="5">
        <v>0</v>
      </c>
      <c r="I42" s="5">
        <v>1</v>
      </c>
      <c r="J42" s="5">
        <v>0</v>
      </c>
      <c r="K42" s="5">
        <v>0</v>
      </c>
      <c r="L42" s="5">
        <v>0</v>
      </c>
      <c r="M42" s="5">
        <v>0</v>
      </c>
      <c r="N42" s="5">
        <v>2</v>
      </c>
      <c r="O42" s="5">
        <v>0</v>
      </c>
      <c r="P42" s="5">
        <v>0</v>
      </c>
      <c r="Q42" s="5">
        <v>0</v>
      </c>
      <c r="R42" s="5">
        <v>1</v>
      </c>
      <c r="S42" s="5">
        <v>0</v>
      </c>
      <c r="T42" s="5">
        <v>0</v>
      </c>
      <c r="U42" s="5">
        <v>0</v>
      </c>
      <c r="V42" s="5">
        <v>2</v>
      </c>
      <c r="W42" s="5">
        <v>0</v>
      </c>
      <c r="X42" s="5">
        <v>1</v>
      </c>
      <c r="Y42" s="5">
        <v>0</v>
      </c>
      <c r="Z42" s="5">
        <v>0</v>
      </c>
      <c r="AA42" s="5">
        <v>0</v>
      </c>
      <c r="AB42" s="5">
        <v>0</v>
      </c>
      <c r="AC42" s="5">
        <v>0</v>
      </c>
      <c r="AD42" s="5">
        <v>0</v>
      </c>
      <c r="AE42" s="5">
        <v>0</v>
      </c>
      <c r="AF42" s="5">
        <v>0</v>
      </c>
      <c r="AG42" s="5">
        <v>0</v>
      </c>
      <c r="AH42" s="5">
        <v>1</v>
      </c>
      <c r="AI42" s="5">
        <v>4</v>
      </c>
      <c r="AJ42" s="5">
        <v>0</v>
      </c>
      <c r="AK42" s="5">
        <v>0</v>
      </c>
      <c r="AL42" s="5">
        <v>0</v>
      </c>
      <c r="AM42" s="5">
        <v>0</v>
      </c>
      <c r="AN42" s="5">
        <v>0</v>
      </c>
      <c r="AO42" s="5">
        <v>0</v>
      </c>
      <c r="AP42" s="5">
        <v>0</v>
      </c>
      <c r="AQ42" s="5">
        <v>0</v>
      </c>
      <c r="AR42" s="5">
        <v>0</v>
      </c>
      <c r="AS42" s="5">
        <v>0</v>
      </c>
      <c r="AT42" s="5">
        <v>0</v>
      </c>
      <c r="AU42" s="5">
        <v>1</v>
      </c>
      <c r="AV42" s="5">
        <v>0</v>
      </c>
      <c r="AW42" s="5">
        <v>0</v>
      </c>
      <c r="AX42" s="5">
        <v>0</v>
      </c>
      <c r="AY42" s="5">
        <v>0</v>
      </c>
      <c r="AZ42" s="5">
        <v>0</v>
      </c>
      <c r="BA42" s="5">
        <v>0</v>
      </c>
      <c r="BB42" s="5">
        <v>0</v>
      </c>
      <c r="BC42" s="5">
        <v>0</v>
      </c>
      <c r="BD42" s="5">
        <v>1</v>
      </c>
      <c r="BE42" s="5">
        <v>0</v>
      </c>
      <c r="BF42" s="5">
        <v>0</v>
      </c>
      <c r="BG42" s="5">
        <v>1</v>
      </c>
      <c r="BH42" s="5">
        <v>1</v>
      </c>
      <c r="BI42" s="5">
        <v>14</v>
      </c>
      <c r="BJ42" s="5">
        <v>0</v>
      </c>
      <c r="BK42" s="5">
        <v>0</v>
      </c>
      <c r="BL42" s="5">
        <v>0</v>
      </c>
      <c r="BM42" s="5">
        <v>0</v>
      </c>
      <c r="BN42" s="5">
        <v>0</v>
      </c>
      <c r="BO42" s="5">
        <v>0</v>
      </c>
      <c r="BP42" s="5">
        <v>3</v>
      </c>
      <c r="BQ42" s="5">
        <v>0</v>
      </c>
      <c r="BR42" s="5">
        <v>0</v>
      </c>
      <c r="BS42" s="5">
        <v>0</v>
      </c>
      <c r="BT42" s="5">
        <v>0</v>
      </c>
      <c r="BU42" s="5">
        <v>0</v>
      </c>
    </row>
    <row r="43" spans="1:73" x14ac:dyDescent="0.3">
      <c r="A43" s="4" t="s">
        <v>186</v>
      </c>
      <c r="B43" s="5">
        <v>0</v>
      </c>
      <c r="C43" s="5">
        <v>0</v>
      </c>
      <c r="D43" s="5">
        <v>3</v>
      </c>
      <c r="E43" s="5">
        <v>0</v>
      </c>
      <c r="F43" s="5">
        <v>0</v>
      </c>
      <c r="G43" s="5">
        <v>1</v>
      </c>
      <c r="H43" s="5">
        <v>0</v>
      </c>
      <c r="I43" s="5">
        <v>0</v>
      </c>
      <c r="J43" s="5">
        <v>0</v>
      </c>
      <c r="K43" s="5">
        <v>0</v>
      </c>
      <c r="L43" s="5">
        <v>0</v>
      </c>
      <c r="M43" s="5">
        <v>0</v>
      </c>
      <c r="N43" s="5">
        <v>1</v>
      </c>
      <c r="O43" s="5">
        <v>0</v>
      </c>
      <c r="P43" s="5">
        <v>0</v>
      </c>
      <c r="Q43" s="5">
        <v>0</v>
      </c>
      <c r="R43" s="5">
        <v>0</v>
      </c>
      <c r="S43" s="5">
        <v>0</v>
      </c>
      <c r="T43" s="5">
        <v>0</v>
      </c>
      <c r="U43" s="5">
        <v>0</v>
      </c>
      <c r="V43" s="5">
        <v>2</v>
      </c>
      <c r="W43" s="5">
        <v>0</v>
      </c>
      <c r="X43" s="5">
        <v>1</v>
      </c>
      <c r="Y43" s="5">
        <v>0</v>
      </c>
      <c r="Z43" s="5">
        <v>0</v>
      </c>
      <c r="AA43" s="5">
        <v>0</v>
      </c>
      <c r="AB43" s="5">
        <v>0</v>
      </c>
      <c r="AC43" s="5">
        <v>0</v>
      </c>
      <c r="AD43" s="5">
        <v>0</v>
      </c>
      <c r="AE43" s="5">
        <v>0</v>
      </c>
      <c r="AF43" s="5">
        <v>0</v>
      </c>
      <c r="AG43" s="5">
        <v>0</v>
      </c>
      <c r="AH43" s="5">
        <v>1</v>
      </c>
      <c r="AI43" s="5">
        <v>3</v>
      </c>
      <c r="AJ43" s="5">
        <v>0</v>
      </c>
      <c r="AK43" s="5">
        <v>0</v>
      </c>
      <c r="AL43" s="5">
        <v>0</v>
      </c>
      <c r="AM43" s="5">
        <v>0</v>
      </c>
      <c r="AN43" s="5">
        <v>0</v>
      </c>
      <c r="AO43" s="5">
        <v>0</v>
      </c>
      <c r="AP43" s="5">
        <v>0</v>
      </c>
      <c r="AQ43" s="5">
        <v>0</v>
      </c>
      <c r="AR43" s="5">
        <v>0</v>
      </c>
      <c r="AS43" s="5">
        <v>0</v>
      </c>
      <c r="AT43" s="5">
        <v>0</v>
      </c>
      <c r="AU43" s="5">
        <v>0</v>
      </c>
      <c r="AV43" s="5">
        <v>1</v>
      </c>
      <c r="AW43" s="5">
        <v>0</v>
      </c>
      <c r="AX43" s="5">
        <v>1</v>
      </c>
      <c r="AY43" s="5">
        <v>0</v>
      </c>
      <c r="AZ43" s="5">
        <v>1</v>
      </c>
      <c r="BA43" s="5">
        <v>0</v>
      </c>
      <c r="BB43" s="5">
        <v>0</v>
      </c>
      <c r="BC43" s="5">
        <v>0</v>
      </c>
      <c r="BD43" s="5">
        <v>0</v>
      </c>
      <c r="BE43" s="5">
        <v>0</v>
      </c>
      <c r="BF43" s="5">
        <v>1</v>
      </c>
      <c r="BG43" s="5">
        <v>0</v>
      </c>
      <c r="BH43" s="5">
        <v>0</v>
      </c>
      <c r="BI43" s="5">
        <v>1</v>
      </c>
      <c r="BJ43" s="5">
        <v>0</v>
      </c>
      <c r="BK43" s="5">
        <v>0</v>
      </c>
      <c r="BL43" s="5">
        <v>0</v>
      </c>
      <c r="BM43" s="5">
        <v>0</v>
      </c>
      <c r="BN43" s="5">
        <v>0</v>
      </c>
      <c r="BO43" s="5">
        <v>0</v>
      </c>
      <c r="BP43" s="5">
        <v>0</v>
      </c>
      <c r="BQ43" s="5">
        <v>0</v>
      </c>
      <c r="BR43" s="5">
        <v>0</v>
      </c>
      <c r="BS43" s="5">
        <v>0</v>
      </c>
      <c r="BT43" s="5">
        <v>0</v>
      </c>
      <c r="BU43" s="5">
        <v>0</v>
      </c>
    </row>
    <row r="44" spans="1:73" x14ac:dyDescent="0.3">
      <c r="A44" s="4" t="s">
        <v>178</v>
      </c>
      <c r="B44" s="5">
        <v>0</v>
      </c>
      <c r="C44" s="5">
        <v>0</v>
      </c>
      <c r="D44" s="5">
        <v>0</v>
      </c>
      <c r="E44" s="5">
        <v>0</v>
      </c>
      <c r="F44" s="5">
        <v>0</v>
      </c>
      <c r="G44" s="5">
        <v>0</v>
      </c>
      <c r="H44" s="5">
        <v>0</v>
      </c>
      <c r="I44" s="5">
        <v>0</v>
      </c>
      <c r="J44" s="5">
        <v>0</v>
      </c>
      <c r="K44" s="5">
        <v>0</v>
      </c>
      <c r="L44" s="5">
        <v>0</v>
      </c>
      <c r="M44" s="5">
        <v>0</v>
      </c>
      <c r="N44" s="5">
        <v>1</v>
      </c>
      <c r="O44" s="5">
        <v>0</v>
      </c>
      <c r="P44" s="5">
        <v>0</v>
      </c>
      <c r="Q44" s="5">
        <v>0</v>
      </c>
      <c r="R44" s="5">
        <v>2</v>
      </c>
      <c r="S44" s="5">
        <v>0</v>
      </c>
      <c r="T44" s="5">
        <v>0</v>
      </c>
      <c r="U44" s="5">
        <v>0</v>
      </c>
      <c r="V44" s="5">
        <v>1</v>
      </c>
      <c r="W44" s="5">
        <v>0</v>
      </c>
      <c r="X44" s="5">
        <v>0</v>
      </c>
      <c r="Y44" s="5">
        <v>0</v>
      </c>
      <c r="Z44" s="5">
        <v>0</v>
      </c>
      <c r="AA44" s="5">
        <v>0</v>
      </c>
      <c r="AB44" s="5">
        <v>0</v>
      </c>
      <c r="AC44" s="5">
        <v>0</v>
      </c>
      <c r="AD44" s="5">
        <v>0</v>
      </c>
      <c r="AE44" s="5">
        <v>0</v>
      </c>
      <c r="AF44" s="5">
        <v>0</v>
      </c>
      <c r="AG44" s="5">
        <v>0</v>
      </c>
      <c r="AH44" s="5">
        <v>0</v>
      </c>
      <c r="AI44" s="5">
        <v>0</v>
      </c>
      <c r="AJ44" s="5">
        <v>0</v>
      </c>
      <c r="AK44" s="5">
        <v>0</v>
      </c>
      <c r="AL44" s="5">
        <v>0</v>
      </c>
      <c r="AM44" s="5">
        <v>0</v>
      </c>
      <c r="AN44" s="5">
        <v>0</v>
      </c>
      <c r="AO44" s="5">
        <v>0</v>
      </c>
      <c r="AP44" s="5">
        <v>0</v>
      </c>
      <c r="AQ44" s="5">
        <v>0</v>
      </c>
      <c r="AR44" s="5">
        <v>0</v>
      </c>
      <c r="AS44" s="5">
        <v>0</v>
      </c>
      <c r="AT44" s="5">
        <v>0</v>
      </c>
      <c r="AU44" s="5">
        <v>0</v>
      </c>
      <c r="AV44" s="5">
        <v>0</v>
      </c>
      <c r="AW44" s="5">
        <v>0</v>
      </c>
      <c r="AX44" s="5">
        <v>0</v>
      </c>
      <c r="AY44" s="5">
        <v>0</v>
      </c>
      <c r="AZ44" s="5">
        <v>0</v>
      </c>
      <c r="BA44" s="5">
        <v>0</v>
      </c>
      <c r="BB44" s="5">
        <v>0</v>
      </c>
      <c r="BC44" s="5">
        <v>0</v>
      </c>
      <c r="BD44" s="5">
        <v>0</v>
      </c>
      <c r="BE44" s="5">
        <v>0</v>
      </c>
      <c r="BF44" s="5">
        <v>0</v>
      </c>
      <c r="BG44" s="5">
        <v>0</v>
      </c>
      <c r="BH44" s="5">
        <v>0</v>
      </c>
      <c r="BI44" s="5">
        <v>0</v>
      </c>
      <c r="BJ44" s="5">
        <v>0</v>
      </c>
      <c r="BK44" s="5">
        <v>0</v>
      </c>
      <c r="BL44" s="5">
        <v>0</v>
      </c>
      <c r="BM44" s="5">
        <v>0</v>
      </c>
      <c r="BN44" s="5">
        <v>0</v>
      </c>
      <c r="BO44" s="5">
        <v>0</v>
      </c>
      <c r="BP44" s="5">
        <v>0</v>
      </c>
      <c r="BQ44" s="5">
        <v>0</v>
      </c>
      <c r="BR44" s="5">
        <v>0</v>
      </c>
      <c r="BS44" s="5">
        <v>0</v>
      </c>
      <c r="BT44" s="5">
        <v>0</v>
      </c>
      <c r="BU44" s="5">
        <v>0</v>
      </c>
    </row>
    <row r="45" spans="1:73" x14ac:dyDescent="0.3">
      <c r="A45" s="4" t="s">
        <v>163</v>
      </c>
      <c r="B45" s="5">
        <v>0</v>
      </c>
      <c r="C45" s="5">
        <v>0</v>
      </c>
      <c r="D45" s="5">
        <v>0</v>
      </c>
      <c r="E45" s="5">
        <v>0</v>
      </c>
      <c r="F45" s="5">
        <v>0</v>
      </c>
      <c r="G45" s="5">
        <v>0</v>
      </c>
      <c r="H45" s="5">
        <v>0</v>
      </c>
      <c r="I45" s="5">
        <v>0</v>
      </c>
      <c r="J45" s="5">
        <v>0</v>
      </c>
      <c r="K45" s="5">
        <v>0</v>
      </c>
      <c r="L45" s="5">
        <v>0</v>
      </c>
      <c r="M45" s="5">
        <v>0</v>
      </c>
      <c r="N45" s="5">
        <v>0</v>
      </c>
      <c r="O45" s="5">
        <v>0</v>
      </c>
      <c r="P45" s="5">
        <v>0</v>
      </c>
      <c r="Q45" s="5">
        <v>0</v>
      </c>
      <c r="R45" s="5">
        <v>1</v>
      </c>
      <c r="S45" s="5">
        <v>0</v>
      </c>
      <c r="T45" s="5">
        <v>0</v>
      </c>
      <c r="U45" s="5">
        <v>0</v>
      </c>
      <c r="V45" s="5">
        <v>0</v>
      </c>
      <c r="W45" s="5">
        <v>0</v>
      </c>
      <c r="X45" s="5">
        <v>1</v>
      </c>
      <c r="Y45" s="5">
        <v>0</v>
      </c>
      <c r="Z45" s="5">
        <v>1</v>
      </c>
      <c r="AA45" s="5">
        <v>0</v>
      </c>
      <c r="AB45" s="5">
        <v>0</v>
      </c>
      <c r="AC45" s="5">
        <v>0</v>
      </c>
      <c r="AD45" s="5">
        <v>0</v>
      </c>
      <c r="AE45" s="5">
        <v>0</v>
      </c>
      <c r="AF45" s="5">
        <v>0</v>
      </c>
      <c r="AG45" s="5">
        <v>0</v>
      </c>
      <c r="AH45" s="5">
        <v>0</v>
      </c>
      <c r="AI45" s="5">
        <v>0</v>
      </c>
      <c r="AJ45" s="5">
        <v>0</v>
      </c>
      <c r="AK45" s="5">
        <v>0</v>
      </c>
      <c r="AL45" s="5">
        <v>0</v>
      </c>
      <c r="AM45" s="5">
        <v>0</v>
      </c>
      <c r="AN45" s="5">
        <v>0</v>
      </c>
      <c r="AO45" s="5">
        <v>0</v>
      </c>
      <c r="AP45" s="5">
        <v>0</v>
      </c>
      <c r="AQ45" s="5">
        <v>0</v>
      </c>
      <c r="AR45" s="5">
        <v>0</v>
      </c>
      <c r="AS45" s="5">
        <v>0</v>
      </c>
      <c r="AT45" s="5">
        <v>0</v>
      </c>
      <c r="AU45" s="5">
        <v>0</v>
      </c>
      <c r="AV45" s="5">
        <v>0</v>
      </c>
      <c r="AW45" s="5">
        <v>0</v>
      </c>
      <c r="AX45" s="5">
        <v>0</v>
      </c>
      <c r="AY45" s="5">
        <v>0</v>
      </c>
      <c r="AZ45" s="5">
        <v>0</v>
      </c>
      <c r="BA45" s="5">
        <v>0</v>
      </c>
      <c r="BB45" s="5">
        <v>0</v>
      </c>
      <c r="BC45" s="5">
        <v>0</v>
      </c>
      <c r="BD45" s="5">
        <v>0</v>
      </c>
      <c r="BE45" s="5">
        <v>0</v>
      </c>
      <c r="BF45" s="5">
        <v>0</v>
      </c>
      <c r="BG45" s="5">
        <v>0</v>
      </c>
      <c r="BH45" s="5">
        <v>0</v>
      </c>
      <c r="BI45" s="5">
        <v>0</v>
      </c>
      <c r="BJ45" s="5">
        <v>0</v>
      </c>
      <c r="BK45" s="5">
        <v>0</v>
      </c>
      <c r="BL45" s="5">
        <v>0</v>
      </c>
      <c r="BM45" s="5">
        <v>0</v>
      </c>
      <c r="BN45" s="5">
        <v>0</v>
      </c>
      <c r="BO45" s="5">
        <v>0</v>
      </c>
      <c r="BP45" s="5">
        <v>0</v>
      </c>
      <c r="BQ45" s="5">
        <v>0</v>
      </c>
      <c r="BR45" s="5">
        <v>0</v>
      </c>
      <c r="BS45" s="5">
        <v>0</v>
      </c>
      <c r="BT45" s="5">
        <v>0</v>
      </c>
      <c r="BU45" s="5">
        <v>0</v>
      </c>
    </row>
    <row r="46" spans="1:73" x14ac:dyDescent="0.3">
      <c r="A46" s="4" t="s">
        <v>181</v>
      </c>
      <c r="B46" s="5">
        <v>0</v>
      </c>
      <c r="C46" s="5">
        <v>0</v>
      </c>
      <c r="D46" s="5">
        <v>0</v>
      </c>
      <c r="E46" s="5">
        <v>0</v>
      </c>
      <c r="F46" s="5">
        <v>0</v>
      </c>
      <c r="G46" s="5">
        <v>0</v>
      </c>
      <c r="H46" s="5">
        <v>0</v>
      </c>
      <c r="I46" s="5">
        <v>0</v>
      </c>
      <c r="J46" s="5">
        <v>0</v>
      </c>
      <c r="K46" s="5">
        <v>0</v>
      </c>
      <c r="L46" s="5">
        <v>0</v>
      </c>
      <c r="M46" s="5">
        <v>0</v>
      </c>
      <c r="N46" s="5">
        <v>1</v>
      </c>
      <c r="O46" s="5">
        <v>0</v>
      </c>
      <c r="P46" s="5">
        <v>0</v>
      </c>
      <c r="Q46" s="5">
        <v>0</v>
      </c>
      <c r="R46" s="5">
        <v>0</v>
      </c>
      <c r="S46" s="5">
        <v>0</v>
      </c>
      <c r="T46" s="5">
        <v>0</v>
      </c>
      <c r="U46" s="5">
        <v>0</v>
      </c>
      <c r="V46" s="5">
        <v>0</v>
      </c>
      <c r="W46" s="5">
        <v>0</v>
      </c>
      <c r="X46" s="5">
        <v>0</v>
      </c>
      <c r="Y46" s="5">
        <v>0</v>
      </c>
      <c r="Z46" s="5">
        <v>0</v>
      </c>
      <c r="AA46" s="5">
        <v>0</v>
      </c>
      <c r="AB46" s="5">
        <v>0</v>
      </c>
      <c r="AC46" s="5">
        <v>0</v>
      </c>
      <c r="AD46" s="5">
        <v>0</v>
      </c>
      <c r="AE46" s="5">
        <v>0</v>
      </c>
      <c r="AF46" s="5">
        <v>0</v>
      </c>
      <c r="AG46" s="5">
        <v>0</v>
      </c>
      <c r="AH46" s="5">
        <v>0</v>
      </c>
      <c r="AI46" s="5">
        <v>1</v>
      </c>
      <c r="AJ46" s="5">
        <v>0</v>
      </c>
      <c r="AK46" s="5">
        <v>0</v>
      </c>
      <c r="AL46" s="5">
        <v>0</v>
      </c>
      <c r="AM46" s="5">
        <v>0</v>
      </c>
      <c r="AN46" s="5">
        <v>0</v>
      </c>
      <c r="AO46" s="5">
        <v>0</v>
      </c>
      <c r="AP46" s="5">
        <v>0</v>
      </c>
      <c r="AQ46" s="5">
        <v>0</v>
      </c>
      <c r="AR46" s="5">
        <v>0</v>
      </c>
      <c r="AS46" s="5">
        <v>0</v>
      </c>
      <c r="AT46" s="5">
        <v>0</v>
      </c>
      <c r="AU46" s="5">
        <v>0</v>
      </c>
      <c r="AV46" s="5">
        <v>0</v>
      </c>
      <c r="AW46" s="5">
        <v>0</v>
      </c>
      <c r="AX46" s="5">
        <v>0</v>
      </c>
      <c r="AY46" s="5">
        <v>0</v>
      </c>
      <c r="AZ46" s="5">
        <v>0</v>
      </c>
      <c r="BA46" s="5">
        <v>0</v>
      </c>
      <c r="BB46" s="5">
        <v>0</v>
      </c>
      <c r="BC46" s="5">
        <v>0</v>
      </c>
      <c r="BD46" s="5">
        <v>0</v>
      </c>
      <c r="BE46" s="5">
        <v>0</v>
      </c>
      <c r="BF46" s="5">
        <v>0</v>
      </c>
      <c r="BG46" s="5">
        <v>0</v>
      </c>
      <c r="BH46" s="5">
        <v>3</v>
      </c>
      <c r="BI46" s="5">
        <v>7</v>
      </c>
      <c r="BJ46" s="5">
        <v>0</v>
      </c>
      <c r="BK46" s="5">
        <v>0</v>
      </c>
      <c r="BL46" s="5">
        <v>1</v>
      </c>
      <c r="BM46" s="5">
        <v>0</v>
      </c>
      <c r="BN46" s="5">
        <v>0</v>
      </c>
      <c r="BO46" s="5">
        <v>0</v>
      </c>
      <c r="BP46" s="5">
        <v>0</v>
      </c>
      <c r="BQ46" s="5">
        <v>0</v>
      </c>
      <c r="BR46" s="5">
        <v>0</v>
      </c>
      <c r="BS46" s="5">
        <v>0</v>
      </c>
      <c r="BT46" s="5">
        <v>0</v>
      </c>
      <c r="BU46" s="5">
        <v>0</v>
      </c>
    </row>
    <row r="47" spans="1:73" x14ac:dyDescent="0.3">
      <c r="A47" s="4" t="s">
        <v>174</v>
      </c>
      <c r="B47" s="5">
        <v>0</v>
      </c>
      <c r="C47" s="5">
        <v>0</v>
      </c>
      <c r="D47" s="5">
        <v>1</v>
      </c>
      <c r="E47" s="5">
        <v>0</v>
      </c>
      <c r="F47" s="5">
        <v>1</v>
      </c>
      <c r="G47" s="5">
        <v>1</v>
      </c>
      <c r="H47" s="5">
        <v>0</v>
      </c>
      <c r="I47" s="5">
        <v>0</v>
      </c>
      <c r="J47" s="5">
        <v>0</v>
      </c>
      <c r="K47" s="5">
        <v>1</v>
      </c>
      <c r="L47" s="5">
        <v>0</v>
      </c>
      <c r="M47" s="5">
        <v>0</v>
      </c>
      <c r="N47" s="5">
        <v>0</v>
      </c>
      <c r="O47" s="5">
        <v>0</v>
      </c>
      <c r="P47" s="5">
        <v>0</v>
      </c>
      <c r="Q47" s="5">
        <v>1</v>
      </c>
      <c r="R47" s="5">
        <v>4</v>
      </c>
      <c r="S47" s="5">
        <v>1</v>
      </c>
      <c r="T47" s="5">
        <v>0</v>
      </c>
      <c r="U47" s="5">
        <v>0</v>
      </c>
      <c r="V47" s="5">
        <v>1</v>
      </c>
      <c r="W47" s="5">
        <v>0</v>
      </c>
      <c r="X47" s="5">
        <v>10</v>
      </c>
      <c r="Y47" s="5">
        <v>1</v>
      </c>
      <c r="Z47" s="5">
        <v>0</v>
      </c>
      <c r="AA47" s="5">
        <v>0</v>
      </c>
      <c r="AB47" s="5">
        <v>0</v>
      </c>
      <c r="AC47" s="5">
        <v>0</v>
      </c>
      <c r="AD47" s="5">
        <v>0</v>
      </c>
      <c r="AE47" s="5">
        <v>1</v>
      </c>
      <c r="AF47" s="5">
        <v>0</v>
      </c>
      <c r="AG47" s="5">
        <v>2</v>
      </c>
      <c r="AH47" s="5">
        <v>6</v>
      </c>
      <c r="AI47" s="5">
        <v>2</v>
      </c>
      <c r="AJ47" s="5">
        <v>0</v>
      </c>
      <c r="AK47" s="5">
        <v>0</v>
      </c>
      <c r="AL47" s="5">
        <v>0</v>
      </c>
      <c r="AM47" s="5">
        <v>0</v>
      </c>
      <c r="AN47" s="5">
        <v>1</v>
      </c>
      <c r="AO47" s="5">
        <v>0</v>
      </c>
      <c r="AP47" s="5">
        <v>0</v>
      </c>
      <c r="AQ47" s="5">
        <v>0</v>
      </c>
      <c r="AR47" s="5">
        <v>0</v>
      </c>
      <c r="AS47" s="5">
        <v>0</v>
      </c>
      <c r="AT47" s="5">
        <v>0</v>
      </c>
      <c r="AU47" s="5">
        <v>0</v>
      </c>
      <c r="AV47" s="5">
        <v>0</v>
      </c>
      <c r="AW47" s="5">
        <v>0</v>
      </c>
      <c r="AX47" s="5">
        <v>0</v>
      </c>
      <c r="AY47" s="5">
        <v>0</v>
      </c>
      <c r="AZ47" s="5">
        <v>0</v>
      </c>
      <c r="BA47" s="5">
        <v>0</v>
      </c>
      <c r="BB47" s="5">
        <v>0</v>
      </c>
      <c r="BC47" s="5">
        <v>1</v>
      </c>
      <c r="BD47" s="5">
        <v>0</v>
      </c>
      <c r="BE47" s="5">
        <v>0</v>
      </c>
      <c r="BF47" s="5">
        <v>11</v>
      </c>
      <c r="BG47" s="5">
        <v>0</v>
      </c>
      <c r="BH47" s="5">
        <v>0</v>
      </c>
      <c r="BI47" s="5">
        <v>9</v>
      </c>
      <c r="BJ47" s="5">
        <v>0</v>
      </c>
      <c r="BK47" s="5">
        <v>0</v>
      </c>
      <c r="BL47" s="5">
        <v>0</v>
      </c>
      <c r="BM47" s="5">
        <v>0</v>
      </c>
      <c r="BN47" s="5">
        <v>0</v>
      </c>
      <c r="BO47" s="5">
        <v>0</v>
      </c>
      <c r="BP47" s="5">
        <v>0</v>
      </c>
      <c r="BQ47" s="5">
        <v>0</v>
      </c>
      <c r="BR47" s="5">
        <v>0</v>
      </c>
      <c r="BS47" s="5">
        <v>0</v>
      </c>
      <c r="BT47" s="5">
        <v>0</v>
      </c>
      <c r="BU47" s="5">
        <v>0</v>
      </c>
    </row>
    <row r="48" spans="1:73" x14ac:dyDescent="0.3">
      <c r="A48" s="4" t="s">
        <v>176</v>
      </c>
      <c r="B48" s="5">
        <v>0</v>
      </c>
      <c r="C48" s="5">
        <v>0</v>
      </c>
      <c r="D48" s="5">
        <v>0</v>
      </c>
      <c r="E48" s="5">
        <v>0</v>
      </c>
      <c r="F48" s="5">
        <v>0</v>
      </c>
      <c r="G48" s="5">
        <v>0</v>
      </c>
      <c r="H48" s="5">
        <v>0</v>
      </c>
      <c r="I48" s="5">
        <v>0</v>
      </c>
      <c r="J48" s="5">
        <v>0</v>
      </c>
      <c r="K48" s="5">
        <v>0</v>
      </c>
      <c r="L48" s="5">
        <v>0</v>
      </c>
      <c r="M48" s="5">
        <v>0</v>
      </c>
      <c r="N48" s="5">
        <v>0</v>
      </c>
      <c r="O48" s="5">
        <v>0</v>
      </c>
      <c r="P48" s="5">
        <v>0</v>
      </c>
      <c r="Q48" s="5">
        <v>0</v>
      </c>
      <c r="R48" s="5">
        <v>2</v>
      </c>
      <c r="S48" s="5">
        <v>1</v>
      </c>
      <c r="T48" s="5">
        <v>0</v>
      </c>
      <c r="U48" s="5">
        <v>0</v>
      </c>
      <c r="V48" s="5">
        <v>3</v>
      </c>
      <c r="W48" s="5">
        <v>0</v>
      </c>
      <c r="X48" s="5">
        <v>0</v>
      </c>
      <c r="Y48" s="5">
        <v>0</v>
      </c>
      <c r="Z48" s="5">
        <v>0</v>
      </c>
      <c r="AA48" s="5">
        <v>0</v>
      </c>
      <c r="AB48" s="5">
        <v>0</v>
      </c>
      <c r="AC48" s="5">
        <v>0</v>
      </c>
      <c r="AD48" s="5">
        <v>0</v>
      </c>
      <c r="AE48" s="5">
        <v>0</v>
      </c>
      <c r="AF48" s="5">
        <v>0</v>
      </c>
      <c r="AG48" s="5">
        <v>0</v>
      </c>
      <c r="AH48" s="5">
        <v>0</v>
      </c>
      <c r="AI48" s="5">
        <v>0</v>
      </c>
      <c r="AJ48" s="5">
        <v>0</v>
      </c>
      <c r="AK48" s="5">
        <v>0</v>
      </c>
      <c r="AL48" s="5">
        <v>0</v>
      </c>
      <c r="AM48" s="5">
        <v>0</v>
      </c>
      <c r="AN48" s="5">
        <v>0</v>
      </c>
      <c r="AO48" s="5">
        <v>1</v>
      </c>
      <c r="AP48" s="5">
        <v>0</v>
      </c>
      <c r="AQ48" s="5">
        <v>0</v>
      </c>
      <c r="AR48" s="5">
        <v>0</v>
      </c>
      <c r="AS48" s="5">
        <v>0</v>
      </c>
      <c r="AT48" s="5">
        <v>0</v>
      </c>
      <c r="AU48" s="5">
        <v>0</v>
      </c>
      <c r="AV48" s="5">
        <v>0</v>
      </c>
      <c r="AW48" s="5">
        <v>0</v>
      </c>
      <c r="AX48" s="5">
        <v>0</v>
      </c>
      <c r="AY48" s="5">
        <v>0</v>
      </c>
      <c r="AZ48" s="5">
        <v>0</v>
      </c>
      <c r="BA48" s="5">
        <v>0</v>
      </c>
      <c r="BB48" s="5">
        <v>0</v>
      </c>
      <c r="BC48" s="5">
        <v>0</v>
      </c>
      <c r="BD48" s="5">
        <v>0</v>
      </c>
      <c r="BE48" s="5">
        <v>0</v>
      </c>
      <c r="BF48" s="5">
        <v>0</v>
      </c>
      <c r="BG48" s="5">
        <v>0</v>
      </c>
      <c r="BH48" s="5">
        <v>0</v>
      </c>
      <c r="BI48" s="5">
        <v>0</v>
      </c>
      <c r="BJ48" s="5">
        <v>0</v>
      </c>
      <c r="BK48" s="5">
        <v>0</v>
      </c>
      <c r="BL48" s="5">
        <v>0</v>
      </c>
      <c r="BM48" s="5">
        <v>0</v>
      </c>
      <c r="BN48" s="5">
        <v>0</v>
      </c>
      <c r="BO48" s="5">
        <v>0</v>
      </c>
      <c r="BP48" s="5">
        <v>0</v>
      </c>
      <c r="BQ48" s="5">
        <v>0</v>
      </c>
      <c r="BR48" s="5">
        <v>0</v>
      </c>
      <c r="BS48" s="5">
        <v>0</v>
      </c>
      <c r="BT48" s="5">
        <v>0</v>
      </c>
      <c r="BU48" s="5">
        <v>0</v>
      </c>
    </row>
    <row r="49" spans="1:73" x14ac:dyDescent="0.3">
      <c r="A49" s="4" t="s">
        <v>200</v>
      </c>
      <c r="B49" s="5">
        <v>0</v>
      </c>
      <c r="C49" s="5">
        <v>0</v>
      </c>
      <c r="D49" s="5">
        <v>0</v>
      </c>
      <c r="E49" s="5">
        <v>0</v>
      </c>
      <c r="F49" s="5">
        <v>0</v>
      </c>
      <c r="G49" s="5">
        <v>0</v>
      </c>
      <c r="H49" s="5">
        <v>0</v>
      </c>
      <c r="I49" s="5">
        <v>0</v>
      </c>
      <c r="J49" s="5">
        <v>0</v>
      </c>
      <c r="K49" s="5">
        <v>0</v>
      </c>
      <c r="L49" s="5">
        <v>0</v>
      </c>
      <c r="M49" s="5">
        <v>0</v>
      </c>
      <c r="N49" s="5">
        <v>0</v>
      </c>
      <c r="O49" s="5">
        <v>0</v>
      </c>
      <c r="P49" s="5">
        <v>0</v>
      </c>
      <c r="Q49" s="5">
        <v>0</v>
      </c>
      <c r="R49" s="5">
        <v>0</v>
      </c>
      <c r="S49" s="5">
        <v>0</v>
      </c>
      <c r="T49" s="5">
        <v>0</v>
      </c>
      <c r="U49" s="5">
        <v>0</v>
      </c>
      <c r="V49" s="5">
        <v>0</v>
      </c>
      <c r="W49" s="5">
        <v>0</v>
      </c>
      <c r="X49" s="5">
        <v>2</v>
      </c>
      <c r="Y49" s="5">
        <v>0</v>
      </c>
      <c r="Z49" s="5">
        <v>0</v>
      </c>
      <c r="AA49" s="5">
        <v>0</v>
      </c>
      <c r="AB49" s="5">
        <v>1</v>
      </c>
      <c r="AC49" s="5">
        <v>0</v>
      </c>
      <c r="AD49" s="5">
        <v>0</v>
      </c>
      <c r="AE49" s="5">
        <v>0</v>
      </c>
      <c r="AF49" s="5">
        <v>0</v>
      </c>
      <c r="AG49" s="5">
        <v>0</v>
      </c>
      <c r="AH49" s="5">
        <v>1</v>
      </c>
      <c r="AI49" s="5">
        <v>0</v>
      </c>
      <c r="AJ49" s="5">
        <v>0</v>
      </c>
      <c r="AK49" s="5">
        <v>0</v>
      </c>
      <c r="AL49" s="5">
        <v>0</v>
      </c>
      <c r="AM49" s="5">
        <v>0</v>
      </c>
      <c r="AN49" s="5">
        <v>0</v>
      </c>
      <c r="AO49" s="5">
        <v>0</v>
      </c>
      <c r="AP49" s="5">
        <v>0</v>
      </c>
      <c r="AQ49" s="5">
        <v>0</v>
      </c>
      <c r="AR49" s="5">
        <v>0</v>
      </c>
      <c r="AS49" s="5">
        <v>0</v>
      </c>
      <c r="AT49" s="5">
        <v>0</v>
      </c>
      <c r="AU49" s="5">
        <v>0</v>
      </c>
      <c r="AV49" s="5">
        <v>0</v>
      </c>
      <c r="AW49" s="5">
        <v>0</v>
      </c>
      <c r="AX49" s="5">
        <v>0</v>
      </c>
      <c r="AY49" s="5">
        <v>0</v>
      </c>
      <c r="AZ49" s="5">
        <v>0</v>
      </c>
      <c r="BA49" s="5">
        <v>0</v>
      </c>
      <c r="BB49" s="5">
        <v>0</v>
      </c>
      <c r="BC49" s="5">
        <v>0</v>
      </c>
      <c r="BD49" s="5">
        <v>0</v>
      </c>
      <c r="BE49" s="5">
        <v>0</v>
      </c>
      <c r="BF49" s="5">
        <v>0</v>
      </c>
      <c r="BG49" s="5">
        <v>0</v>
      </c>
      <c r="BH49" s="5">
        <v>0</v>
      </c>
      <c r="BI49" s="5">
        <v>0</v>
      </c>
      <c r="BJ49" s="5">
        <v>0</v>
      </c>
      <c r="BK49" s="5">
        <v>0</v>
      </c>
      <c r="BL49" s="5">
        <v>0</v>
      </c>
      <c r="BM49" s="5">
        <v>0</v>
      </c>
      <c r="BN49" s="5">
        <v>0</v>
      </c>
      <c r="BO49" s="5">
        <v>0</v>
      </c>
      <c r="BP49" s="5">
        <v>0</v>
      </c>
      <c r="BQ49" s="5">
        <v>0</v>
      </c>
      <c r="BR49" s="5">
        <v>0</v>
      </c>
      <c r="BS49" s="5">
        <v>0</v>
      </c>
      <c r="BT49" s="5">
        <v>0</v>
      </c>
      <c r="BU49" s="5">
        <v>0</v>
      </c>
    </row>
    <row r="50" spans="1:73" x14ac:dyDescent="0.3">
      <c r="A50" s="4" t="s">
        <v>199</v>
      </c>
      <c r="B50" s="5">
        <v>0</v>
      </c>
      <c r="C50" s="5">
        <v>0</v>
      </c>
      <c r="D50" s="5">
        <v>0</v>
      </c>
      <c r="E50" s="5">
        <v>0</v>
      </c>
      <c r="F50" s="5">
        <v>0</v>
      </c>
      <c r="G50" s="5">
        <v>0</v>
      </c>
      <c r="H50" s="5">
        <v>0</v>
      </c>
      <c r="I50" s="5">
        <v>1</v>
      </c>
      <c r="J50" s="5">
        <v>0</v>
      </c>
      <c r="K50" s="5">
        <v>0</v>
      </c>
      <c r="L50" s="5">
        <v>0</v>
      </c>
      <c r="M50" s="5">
        <v>0</v>
      </c>
      <c r="N50" s="5">
        <v>3</v>
      </c>
      <c r="O50" s="5">
        <v>0</v>
      </c>
      <c r="P50" s="5">
        <v>0</v>
      </c>
      <c r="Q50" s="5">
        <v>0</v>
      </c>
      <c r="R50" s="5">
        <v>0</v>
      </c>
      <c r="S50" s="5">
        <v>0</v>
      </c>
      <c r="T50" s="5">
        <v>0</v>
      </c>
      <c r="U50" s="5">
        <v>0</v>
      </c>
      <c r="V50" s="5">
        <v>0</v>
      </c>
      <c r="W50" s="5">
        <v>0</v>
      </c>
      <c r="X50" s="5">
        <v>0</v>
      </c>
      <c r="Y50" s="5">
        <v>0</v>
      </c>
      <c r="Z50" s="5">
        <v>0</v>
      </c>
      <c r="AA50" s="5">
        <v>0</v>
      </c>
      <c r="AB50" s="5">
        <v>0</v>
      </c>
      <c r="AC50" s="5">
        <v>0</v>
      </c>
      <c r="AD50" s="5">
        <v>0</v>
      </c>
      <c r="AE50" s="5">
        <v>0</v>
      </c>
      <c r="AF50" s="5">
        <v>0</v>
      </c>
      <c r="AG50" s="5">
        <v>0</v>
      </c>
      <c r="AH50" s="5">
        <v>0</v>
      </c>
      <c r="AI50" s="5">
        <v>0</v>
      </c>
      <c r="AJ50" s="5">
        <v>0</v>
      </c>
      <c r="AK50" s="5">
        <v>0</v>
      </c>
      <c r="AL50" s="5">
        <v>0</v>
      </c>
      <c r="AM50" s="5">
        <v>0</v>
      </c>
      <c r="AN50" s="5">
        <v>0</v>
      </c>
      <c r="AO50" s="5">
        <v>0</v>
      </c>
      <c r="AP50" s="5">
        <v>0</v>
      </c>
      <c r="AQ50" s="5">
        <v>0</v>
      </c>
      <c r="AR50" s="5">
        <v>0</v>
      </c>
      <c r="AS50" s="5">
        <v>0</v>
      </c>
      <c r="AT50" s="5">
        <v>0</v>
      </c>
      <c r="AU50" s="5">
        <v>0</v>
      </c>
      <c r="AV50" s="5">
        <v>0</v>
      </c>
      <c r="AW50" s="5">
        <v>0</v>
      </c>
      <c r="AX50" s="5">
        <v>0</v>
      </c>
      <c r="AY50" s="5">
        <v>0</v>
      </c>
      <c r="AZ50" s="5">
        <v>0</v>
      </c>
      <c r="BA50" s="5">
        <v>0</v>
      </c>
      <c r="BB50" s="5">
        <v>0</v>
      </c>
      <c r="BC50" s="5">
        <v>0</v>
      </c>
      <c r="BD50" s="5">
        <v>1</v>
      </c>
      <c r="BE50" s="5">
        <v>0</v>
      </c>
      <c r="BF50" s="5">
        <v>3</v>
      </c>
      <c r="BG50" s="5">
        <v>0</v>
      </c>
      <c r="BH50" s="5">
        <v>1</v>
      </c>
      <c r="BI50" s="5">
        <v>1</v>
      </c>
      <c r="BJ50" s="5">
        <v>0</v>
      </c>
      <c r="BK50" s="5">
        <v>0</v>
      </c>
      <c r="BL50" s="5">
        <v>0</v>
      </c>
      <c r="BM50" s="5">
        <v>0</v>
      </c>
      <c r="BN50" s="5">
        <v>0</v>
      </c>
      <c r="BO50" s="5">
        <v>0</v>
      </c>
      <c r="BP50" s="5">
        <v>0</v>
      </c>
      <c r="BQ50" s="5">
        <v>0</v>
      </c>
      <c r="BR50" s="5">
        <v>0</v>
      </c>
      <c r="BS50" s="5">
        <v>0</v>
      </c>
      <c r="BT50" s="5">
        <v>0</v>
      </c>
      <c r="BU50" s="5">
        <v>0</v>
      </c>
    </row>
    <row r="51" spans="1:73" x14ac:dyDescent="0.3">
      <c r="A51" s="4" t="s">
        <v>206</v>
      </c>
      <c r="B51" s="5">
        <v>0</v>
      </c>
      <c r="C51" s="5">
        <v>1</v>
      </c>
      <c r="D51" s="5">
        <v>2</v>
      </c>
      <c r="E51" s="5">
        <v>0</v>
      </c>
      <c r="F51" s="5">
        <v>0</v>
      </c>
      <c r="G51" s="5">
        <v>1</v>
      </c>
      <c r="H51" s="5">
        <v>0</v>
      </c>
      <c r="I51" s="5">
        <v>0</v>
      </c>
      <c r="J51" s="5">
        <v>0</v>
      </c>
      <c r="K51" s="5">
        <v>0</v>
      </c>
      <c r="L51" s="5">
        <v>0</v>
      </c>
      <c r="M51" s="5">
        <v>0</v>
      </c>
      <c r="N51" s="5">
        <v>0</v>
      </c>
      <c r="O51" s="5">
        <v>2</v>
      </c>
      <c r="P51" s="5">
        <v>0</v>
      </c>
      <c r="Q51" s="5">
        <v>0</v>
      </c>
      <c r="R51" s="5">
        <v>0</v>
      </c>
      <c r="S51" s="5">
        <v>1</v>
      </c>
      <c r="T51" s="5">
        <v>0</v>
      </c>
      <c r="U51" s="5">
        <v>0</v>
      </c>
      <c r="V51" s="5">
        <v>2</v>
      </c>
      <c r="W51" s="5">
        <v>0</v>
      </c>
      <c r="X51" s="5">
        <v>0</v>
      </c>
      <c r="Y51" s="5">
        <v>0</v>
      </c>
      <c r="Z51" s="5">
        <v>0</v>
      </c>
      <c r="AA51" s="5">
        <v>0</v>
      </c>
      <c r="AB51" s="5">
        <v>0</v>
      </c>
      <c r="AC51" s="5">
        <v>0</v>
      </c>
      <c r="AD51" s="5">
        <v>0</v>
      </c>
      <c r="AE51" s="5">
        <v>0</v>
      </c>
      <c r="AF51" s="5">
        <v>0</v>
      </c>
      <c r="AG51" s="5">
        <v>0</v>
      </c>
      <c r="AH51" s="5">
        <v>0</v>
      </c>
      <c r="AI51" s="5">
        <v>0</v>
      </c>
      <c r="AJ51" s="5">
        <v>0</v>
      </c>
      <c r="AK51" s="5">
        <v>0</v>
      </c>
      <c r="AL51" s="5">
        <v>0</v>
      </c>
      <c r="AM51" s="5">
        <v>0</v>
      </c>
      <c r="AN51" s="5">
        <v>0</v>
      </c>
      <c r="AO51" s="5">
        <v>0</v>
      </c>
      <c r="AP51" s="5">
        <v>1</v>
      </c>
      <c r="AQ51" s="5">
        <v>0</v>
      </c>
      <c r="AR51" s="5">
        <v>0</v>
      </c>
      <c r="AS51" s="5">
        <v>0</v>
      </c>
      <c r="AT51" s="5">
        <v>0</v>
      </c>
      <c r="AU51" s="5">
        <v>0</v>
      </c>
      <c r="AV51" s="5">
        <v>0</v>
      </c>
      <c r="AW51" s="5">
        <v>0</v>
      </c>
      <c r="AX51" s="5">
        <v>0</v>
      </c>
      <c r="AY51" s="5">
        <v>0</v>
      </c>
      <c r="AZ51" s="5">
        <v>0</v>
      </c>
      <c r="BA51" s="5">
        <v>0</v>
      </c>
      <c r="BB51" s="5">
        <v>0</v>
      </c>
      <c r="BC51" s="5">
        <v>1</v>
      </c>
      <c r="BD51" s="5">
        <v>0</v>
      </c>
      <c r="BE51" s="5">
        <v>0</v>
      </c>
      <c r="BF51" s="5">
        <v>1</v>
      </c>
      <c r="BG51" s="5">
        <v>0</v>
      </c>
      <c r="BH51" s="5">
        <v>0</v>
      </c>
      <c r="BI51" s="5">
        <v>3</v>
      </c>
      <c r="BJ51" s="5">
        <v>0</v>
      </c>
      <c r="BK51" s="5">
        <v>0</v>
      </c>
      <c r="BL51" s="5">
        <v>0</v>
      </c>
      <c r="BM51" s="5">
        <v>0</v>
      </c>
      <c r="BN51" s="5">
        <v>0</v>
      </c>
      <c r="BO51" s="5">
        <v>1</v>
      </c>
      <c r="BP51" s="5">
        <v>0</v>
      </c>
      <c r="BQ51" s="5">
        <v>0</v>
      </c>
      <c r="BR51" s="5">
        <v>0</v>
      </c>
      <c r="BS51" s="5">
        <v>0</v>
      </c>
      <c r="BT51" s="5">
        <v>0</v>
      </c>
      <c r="BU51" s="5">
        <v>0</v>
      </c>
    </row>
    <row r="52" spans="1:73" x14ac:dyDescent="0.3">
      <c r="A52" s="4" t="s">
        <v>158</v>
      </c>
      <c r="B52" s="5">
        <v>0</v>
      </c>
      <c r="C52" s="5">
        <v>1</v>
      </c>
      <c r="D52" s="5">
        <v>0</v>
      </c>
      <c r="E52" s="5">
        <v>0</v>
      </c>
      <c r="F52" s="5">
        <v>0</v>
      </c>
      <c r="G52" s="5">
        <v>0</v>
      </c>
      <c r="H52" s="5">
        <v>0</v>
      </c>
      <c r="I52" s="5">
        <v>0</v>
      </c>
      <c r="J52" s="5">
        <v>0</v>
      </c>
      <c r="K52" s="5">
        <v>0</v>
      </c>
      <c r="L52" s="5">
        <v>0</v>
      </c>
      <c r="M52" s="5">
        <v>0</v>
      </c>
      <c r="N52" s="5">
        <v>1</v>
      </c>
      <c r="O52" s="5">
        <v>0</v>
      </c>
      <c r="P52" s="5">
        <v>0</v>
      </c>
      <c r="Q52" s="5">
        <v>0</v>
      </c>
      <c r="R52" s="5">
        <v>1</v>
      </c>
      <c r="S52" s="5">
        <v>0</v>
      </c>
      <c r="T52" s="5">
        <v>0</v>
      </c>
      <c r="U52" s="5">
        <v>0</v>
      </c>
      <c r="V52" s="5">
        <v>0</v>
      </c>
      <c r="W52" s="5">
        <v>0</v>
      </c>
      <c r="X52" s="5">
        <v>2</v>
      </c>
      <c r="Y52" s="5">
        <v>0</v>
      </c>
      <c r="Z52" s="5">
        <v>0</v>
      </c>
      <c r="AA52" s="5">
        <v>0</v>
      </c>
      <c r="AB52" s="5">
        <v>0</v>
      </c>
      <c r="AC52" s="5">
        <v>0</v>
      </c>
      <c r="AD52" s="5">
        <v>0</v>
      </c>
      <c r="AE52" s="5">
        <v>2</v>
      </c>
      <c r="AF52" s="5">
        <v>0</v>
      </c>
      <c r="AG52" s="5">
        <v>0</v>
      </c>
      <c r="AH52" s="5">
        <v>0</v>
      </c>
      <c r="AI52" s="5">
        <v>2</v>
      </c>
      <c r="AJ52" s="5">
        <v>0</v>
      </c>
      <c r="AK52" s="5">
        <v>0</v>
      </c>
      <c r="AL52" s="5">
        <v>0</v>
      </c>
      <c r="AM52" s="5">
        <v>0</v>
      </c>
      <c r="AN52" s="5">
        <v>0</v>
      </c>
      <c r="AO52" s="5">
        <v>0</v>
      </c>
      <c r="AP52" s="5">
        <v>0</v>
      </c>
      <c r="AQ52" s="5">
        <v>0</v>
      </c>
      <c r="AR52" s="5">
        <v>0</v>
      </c>
      <c r="AS52" s="5">
        <v>0</v>
      </c>
      <c r="AT52" s="5">
        <v>0</v>
      </c>
      <c r="AU52" s="5">
        <v>0</v>
      </c>
      <c r="AV52" s="5">
        <v>0</v>
      </c>
      <c r="AW52" s="5">
        <v>0</v>
      </c>
      <c r="AX52" s="5">
        <v>0</v>
      </c>
      <c r="AY52" s="5">
        <v>0</v>
      </c>
      <c r="AZ52" s="5">
        <v>0</v>
      </c>
      <c r="BA52" s="5">
        <v>0</v>
      </c>
      <c r="BB52" s="5">
        <v>0</v>
      </c>
      <c r="BC52" s="5">
        <v>1</v>
      </c>
      <c r="BD52" s="5">
        <v>0</v>
      </c>
      <c r="BE52" s="5">
        <v>0</v>
      </c>
      <c r="BF52" s="5">
        <v>0</v>
      </c>
      <c r="BG52" s="5">
        <v>0</v>
      </c>
      <c r="BH52" s="5">
        <v>1</v>
      </c>
      <c r="BI52" s="5">
        <v>5</v>
      </c>
      <c r="BJ52" s="5">
        <v>0</v>
      </c>
      <c r="BK52" s="5">
        <v>0</v>
      </c>
      <c r="BL52" s="5">
        <v>0</v>
      </c>
      <c r="BM52" s="5">
        <v>0</v>
      </c>
      <c r="BN52" s="5">
        <v>0</v>
      </c>
      <c r="BO52" s="5">
        <v>0</v>
      </c>
      <c r="BP52" s="5">
        <v>0</v>
      </c>
      <c r="BQ52" s="5">
        <v>0</v>
      </c>
      <c r="BR52" s="5">
        <v>0</v>
      </c>
      <c r="BS52" s="5">
        <v>0</v>
      </c>
      <c r="BT52" s="5">
        <v>0</v>
      </c>
      <c r="BU52" s="5">
        <v>0</v>
      </c>
    </row>
    <row r="53" spans="1:73" x14ac:dyDescent="0.3">
      <c r="A53" s="4" t="s">
        <v>210</v>
      </c>
      <c r="B53" s="5">
        <v>0</v>
      </c>
      <c r="C53" s="5">
        <v>0</v>
      </c>
      <c r="D53" s="5">
        <v>0</v>
      </c>
      <c r="E53" s="5">
        <v>0</v>
      </c>
      <c r="F53" s="5">
        <v>0</v>
      </c>
      <c r="G53" s="5">
        <v>0</v>
      </c>
      <c r="H53" s="5">
        <v>0</v>
      </c>
      <c r="I53" s="5">
        <v>0</v>
      </c>
      <c r="J53" s="5">
        <v>0</v>
      </c>
      <c r="K53" s="5">
        <v>0</v>
      </c>
      <c r="L53" s="5">
        <v>0</v>
      </c>
      <c r="M53" s="5">
        <v>0</v>
      </c>
      <c r="N53" s="5">
        <v>2</v>
      </c>
      <c r="O53" s="5">
        <v>1</v>
      </c>
      <c r="P53" s="5">
        <v>0</v>
      </c>
      <c r="Q53" s="5">
        <v>0</v>
      </c>
      <c r="R53" s="5">
        <v>2</v>
      </c>
      <c r="S53" s="5">
        <v>0</v>
      </c>
      <c r="T53" s="5">
        <v>0</v>
      </c>
      <c r="U53" s="5">
        <v>0</v>
      </c>
      <c r="V53" s="5">
        <v>1</v>
      </c>
      <c r="W53" s="5">
        <v>0</v>
      </c>
      <c r="X53" s="5">
        <v>3</v>
      </c>
      <c r="Y53" s="5">
        <v>0</v>
      </c>
      <c r="Z53" s="5">
        <v>0</v>
      </c>
      <c r="AA53" s="5">
        <v>0</v>
      </c>
      <c r="AB53" s="5">
        <v>0</v>
      </c>
      <c r="AC53" s="5">
        <v>1</v>
      </c>
      <c r="AD53" s="5">
        <v>0</v>
      </c>
      <c r="AE53" s="5">
        <v>0</v>
      </c>
      <c r="AF53" s="5">
        <v>0</v>
      </c>
      <c r="AG53" s="5">
        <v>0</v>
      </c>
      <c r="AH53" s="5">
        <v>2</v>
      </c>
      <c r="AI53" s="5">
        <v>0</v>
      </c>
      <c r="AJ53" s="5">
        <v>0</v>
      </c>
      <c r="AK53" s="5">
        <v>0</v>
      </c>
      <c r="AL53" s="5">
        <v>0</v>
      </c>
      <c r="AM53" s="5">
        <v>0</v>
      </c>
      <c r="AN53" s="5">
        <v>0</v>
      </c>
      <c r="AO53" s="5">
        <v>0</v>
      </c>
      <c r="AP53" s="5">
        <v>0</v>
      </c>
      <c r="AQ53" s="5">
        <v>0</v>
      </c>
      <c r="AR53" s="5">
        <v>0</v>
      </c>
      <c r="AS53" s="5">
        <v>0</v>
      </c>
      <c r="AT53" s="5">
        <v>0</v>
      </c>
      <c r="AU53" s="5">
        <v>0</v>
      </c>
      <c r="AV53" s="5">
        <v>0</v>
      </c>
      <c r="AW53" s="5">
        <v>0</v>
      </c>
      <c r="AX53" s="5">
        <v>0</v>
      </c>
      <c r="AY53" s="5">
        <v>0</v>
      </c>
      <c r="AZ53" s="5">
        <v>0</v>
      </c>
      <c r="BA53" s="5">
        <v>0</v>
      </c>
      <c r="BB53" s="5">
        <v>0</v>
      </c>
      <c r="BC53" s="5">
        <v>0</v>
      </c>
      <c r="BD53" s="5">
        <v>0</v>
      </c>
      <c r="BE53" s="5">
        <v>0</v>
      </c>
      <c r="BF53" s="5">
        <v>0</v>
      </c>
      <c r="BG53" s="5">
        <v>1</v>
      </c>
      <c r="BH53" s="5">
        <v>0</v>
      </c>
      <c r="BI53" s="5">
        <v>2</v>
      </c>
      <c r="BJ53" s="5">
        <v>0</v>
      </c>
      <c r="BK53" s="5">
        <v>0</v>
      </c>
      <c r="BL53" s="5">
        <v>0</v>
      </c>
      <c r="BM53" s="5">
        <v>0</v>
      </c>
      <c r="BN53" s="5">
        <v>0</v>
      </c>
      <c r="BO53" s="5">
        <v>0</v>
      </c>
      <c r="BP53" s="5">
        <v>0</v>
      </c>
      <c r="BQ53" s="5">
        <v>0</v>
      </c>
      <c r="BR53" s="5">
        <v>0</v>
      </c>
      <c r="BS53" s="5">
        <v>0</v>
      </c>
      <c r="BT53" s="5">
        <v>0</v>
      </c>
      <c r="BU53" s="5">
        <v>0</v>
      </c>
    </row>
    <row r="54" spans="1:73" x14ac:dyDescent="0.3">
      <c r="A54" s="4" t="s">
        <v>155</v>
      </c>
      <c r="B54" s="5">
        <v>0</v>
      </c>
      <c r="C54" s="5">
        <v>0</v>
      </c>
      <c r="D54" s="5">
        <v>0</v>
      </c>
      <c r="E54" s="5">
        <v>0</v>
      </c>
      <c r="F54" s="5">
        <v>0</v>
      </c>
      <c r="G54" s="5">
        <v>0</v>
      </c>
      <c r="H54" s="5">
        <v>0</v>
      </c>
      <c r="I54" s="5">
        <v>1</v>
      </c>
      <c r="J54" s="5">
        <v>0</v>
      </c>
      <c r="K54" s="5">
        <v>0</v>
      </c>
      <c r="L54" s="5">
        <v>0</v>
      </c>
      <c r="M54" s="5">
        <v>0</v>
      </c>
      <c r="N54" s="5">
        <v>2</v>
      </c>
      <c r="O54" s="5">
        <v>0</v>
      </c>
      <c r="P54" s="5">
        <v>0</v>
      </c>
      <c r="Q54" s="5">
        <v>0</v>
      </c>
      <c r="R54" s="5">
        <v>0</v>
      </c>
      <c r="S54" s="5">
        <v>1</v>
      </c>
      <c r="T54" s="5">
        <v>0</v>
      </c>
      <c r="U54" s="5">
        <v>0</v>
      </c>
      <c r="V54" s="5">
        <v>1</v>
      </c>
      <c r="W54" s="5">
        <v>0</v>
      </c>
      <c r="X54" s="5">
        <v>4</v>
      </c>
      <c r="Y54" s="5">
        <v>0</v>
      </c>
      <c r="Z54" s="5">
        <v>0</v>
      </c>
      <c r="AA54" s="5">
        <v>0</v>
      </c>
      <c r="AB54" s="5">
        <v>0</v>
      </c>
      <c r="AC54" s="5">
        <v>0</v>
      </c>
      <c r="AD54" s="5">
        <v>1</v>
      </c>
      <c r="AE54" s="5">
        <v>3</v>
      </c>
      <c r="AF54" s="5">
        <v>0</v>
      </c>
      <c r="AG54" s="5">
        <v>0</v>
      </c>
      <c r="AH54" s="5">
        <v>0</v>
      </c>
      <c r="AI54" s="5">
        <v>3</v>
      </c>
      <c r="AJ54" s="5">
        <v>0</v>
      </c>
      <c r="AK54" s="5">
        <v>0</v>
      </c>
      <c r="AL54" s="5">
        <v>0</v>
      </c>
      <c r="AM54" s="5">
        <v>0</v>
      </c>
      <c r="AN54" s="5">
        <v>0</v>
      </c>
      <c r="AO54" s="5">
        <v>0</v>
      </c>
      <c r="AP54" s="5">
        <v>0</v>
      </c>
      <c r="AQ54" s="5">
        <v>0</v>
      </c>
      <c r="AR54" s="5">
        <v>0</v>
      </c>
      <c r="AS54" s="5">
        <v>0</v>
      </c>
      <c r="AT54" s="5">
        <v>0</v>
      </c>
      <c r="AU54" s="5">
        <v>1</v>
      </c>
      <c r="AV54" s="5">
        <v>0</v>
      </c>
      <c r="AW54" s="5">
        <v>0</v>
      </c>
      <c r="AX54" s="5">
        <v>0</v>
      </c>
      <c r="AY54" s="5">
        <v>0</v>
      </c>
      <c r="AZ54" s="5">
        <v>1</v>
      </c>
      <c r="BA54" s="5">
        <v>0</v>
      </c>
      <c r="BB54" s="5">
        <v>0</v>
      </c>
      <c r="BC54" s="5">
        <v>0</v>
      </c>
      <c r="BD54" s="5">
        <v>0</v>
      </c>
      <c r="BE54" s="5">
        <v>0</v>
      </c>
      <c r="BF54" s="5">
        <v>1</v>
      </c>
      <c r="BG54" s="5">
        <v>0</v>
      </c>
      <c r="BH54" s="5">
        <v>7</v>
      </c>
      <c r="BI54" s="5">
        <v>7</v>
      </c>
      <c r="BJ54" s="5">
        <v>0</v>
      </c>
      <c r="BK54" s="5">
        <v>0</v>
      </c>
      <c r="BL54" s="5">
        <v>0</v>
      </c>
      <c r="BM54" s="5">
        <v>1</v>
      </c>
      <c r="BN54" s="5">
        <v>0</v>
      </c>
      <c r="BO54" s="5">
        <v>0</v>
      </c>
      <c r="BP54" s="5">
        <v>1</v>
      </c>
      <c r="BQ54" s="5">
        <v>0</v>
      </c>
      <c r="BR54" s="5">
        <v>0</v>
      </c>
      <c r="BS54" s="5">
        <v>0</v>
      </c>
      <c r="BT54" s="5">
        <v>0</v>
      </c>
      <c r="BU54" s="5">
        <v>0</v>
      </c>
    </row>
    <row r="55" spans="1:73" x14ac:dyDescent="0.3">
      <c r="A55" s="4" t="s">
        <v>194</v>
      </c>
      <c r="B55" s="5">
        <v>0</v>
      </c>
      <c r="C55" s="5">
        <v>0</v>
      </c>
      <c r="D55" s="5">
        <v>0</v>
      </c>
      <c r="E55" s="5">
        <v>0</v>
      </c>
      <c r="F55" s="5">
        <v>0</v>
      </c>
      <c r="G55" s="5">
        <v>0</v>
      </c>
      <c r="H55" s="5">
        <v>0</v>
      </c>
      <c r="I55" s="5">
        <v>0</v>
      </c>
      <c r="J55" s="5">
        <v>0</v>
      </c>
      <c r="K55" s="5">
        <v>0</v>
      </c>
      <c r="L55" s="5">
        <v>0</v>
      </c>
      <c r="M55" s="5">
        <v>0</v>
      </c>
      <c r="N55" s="5">
        <v>0</v>
      </c>
      <c r="O55" s="5">
        <v>2</v>
      </c>
      <c r="P55" s="5">
        <v>0</v>
      </c>
      <c r="Q55" s="5">
        <v>0</v>
      </c>
      <c r="R55" s="5">
        <v>0</v>
      </c>
      <c r="S55" s="5">
        <v>2</v>
      </c>
      <c r="T55" s="5">
        <v>0</v>
      </c>
      <c r="U55" s="5">
        <v>0</v>
      </c>
      <c r="V55" s="5">
        <v>0</v>
      </c>
      <c r="W55" s="5">
        <v>0</v>
      </c>
      <c r="X55" s="5">
        <v>0</v>
      </c>
      <c r="Y55" s="5">
        <v>0</v>
      </c>
      <c r="Z55" s="5">
        <v>0</v>
      </c>
      <c r="AA55" s="5">
        <v>0</v>
      </c>
      <c r="AB55" s="5">
        <v>0</v>
      </c>
      <c r="AC55" s="5">
        <v>0</v>
      </c>
      <c r="AD55" s="5">
        <v>0</v>
      </c>
      <c r="AE55" s="5">
        <v>0</v>
      </c>
      <c r="AF55" s="5">
        <v>0</v>
      </c>
      <c r="AG55" s="5">
        <v>0</v>
      </c>
      <c r="AH55" s="5">
        <v>0</v>
      </c>
      <c r="AI55" s="5">
        <v>2</v>
      </c>
      <c r="AJ55" s="5">
        <v>1</v>
      </c>
      <c r="AK55" s="5">
        <v>0</v>
      </c>
      <c r="AL55" s="5">
        <v>0</v>
      </c>
      <c r="AM55" s="5">
        <v>0</v>
      </c>
      <c r="AN55" s="5">
        <v>0</v>
      </c>
      <c r="AO55" s="5">
        <v>0</v>
      </c>
      <c r="AP55" s="5">
        <v>0</v>
      </c>
      <c r="AQ55" s="5">
        <v>0</v>
      </c>
      <c r="AR55" s="5">
        <v>0</v>
      </c>
      <c r="AS55" s="5">
        <v>0</v>
      </c>
      <c r="AT55" s="5">
        <v>0</v>
      </c>
      <c r="AU55" s="5">
        <v>0</v>
      </c>
      <c r="AV55" s="5">
        <v>0</v>
      </c>
      <c r="AW55" s="5">
        <v>0</v>
      </c>
      <c r="AX55" s="5">
        <v>0</v>
      </c>
      <c r="AY55" s="5">
        <v>0</v>
      </c>
      <c r="AZ55" s="5">
        <v>0</v>
      </c>
      <c r="BA55" s="5">
        <v>0</v>
      </c>
      <c r="BB55" s="5">
        <v>0</v>
      </c>
      <c r="BC55" s="5">
        <v>0</v>
      </c>
      <c r="BD55" s="5">
        <v>1</v>
      </c>
      <c r="BE55" s="5">
        <v>0</v>
      </c>
      <c r="BF55" s="5">
        <v>1</v>
      </c>
      <c r="BG55" s="5">
        <v>0</v>
      </c>
      <c r="BH55" s="5">
        <v>0</v>
      </c>
      <c r="BI55" s="5">
        <v>2</v>
      </c>
      <c r="BJ55" s="5">
        <v>0</v>
      </c>
      <c r="BK55" s="5">
        <v>0</v>
      </c>
      <c r="BL55" s="5">
        <v>0</v>
      </c>
      <c r="BM55" s="5">
        <v>0</v>
      </c>
      <c r="BN55" s="5">
        <v>0</v>
      </c>
      <c r="BO55" s="5">
        <v>0</v>
      </c>
      <c r="BP55" s="5">
        <v>0</v>
      </c>
      <c r="BQ55" s="5">
        <v>0</v>
      </c>
      <c r="BR55" s="5">
        <v>0</v>
      </c>
      <c r="BS55" s="5">
        <v>0</v>
      </c>
      <c r="BT55" s="5">
        <v>0</v>
      </c>
      <c r="BU55" s="5">
        <v>0</v>
      </c>
    </row>
    <row r="56" spans="1:73" x14ac:dyDescent="0.3">
      <c r="A56" s="4" t="s">
        <v>196</v>
      </c>
      <c r="B56" s="5">
        <v>0</v>
      </c>
      <c r="C56" s="5">
        <v>0</v>
      </c>
      <c r="D56" s="5">
        <v>0</v>
      </c>
      <c r="E56" s="5">
        <v>0</v>
      </c>
      <c r="F56" s="5">
        <v>0</v>
      </c>
      <c r="G56" s="5">
        <v>0</v>
      </c>
      <c r="H56" s="5">
        <v>0</v>
      </c>
      <c r="I56" s="5">
        <v>0</v>
      </c>
      <c r="J56" s="5">
        <v>0</v>
      </c>
      <c r="K56" s="5">
        <v>0</v>
      </c>
      <c r="L56" s="5">
        <v>0</v>
      </c>
      <c r="M56" s="5">
        <v>0</v>
      </c>
      <c r="N56" s="5">
        <v>0</v>
      </c>
      <c r="O56" s="5">
        <v>0</v>
      </c>
      <c r="P56" s="5">
        <v>0</v>
      </c>
      <c r="Q56" s="5">
        <v>0</v>
      </c>
      <c r="R56" s="5">
        <v>1</v>
      </c>
      <c r="S56" s="5">
        <v>0</v>
      </c>
      <c r="T56" s="5">
        <v>0</v>
      </c>
      <c r="U56" s="5">
        <v>0</v>
      </c>
      <c r="V56" s="5">
        <v>0</v>
      </c>
      <c r="W56" s="5">
        <v>0</v>
      </c>
      <c r="X56" s="5">
        <v>1</v>
      </c>
      <c r="Y56" s="5">
        <v>0</v>
      </c>
      <c r="Z56" s="5">
        <v>0</v>
      </c>
      <c r="AA56" s="5">
        <v>0</v>
      </c>
      <c r="AB56" s="5">
        <v>0</v>
      </c>
      <c r="AC56" s="5">
        <v>0</v>
      </c>
      <c r="AD56" s="5">
        <v>0</v>
      </c>
      <c r="AE56" s="5">
        <v>0</v>
      </c>
      <c r="AF56" s="5">
        <v>0</v>
      </c>
      <c r="AG56" s="5">
        <v>0</v>
      </c>
      <c r="AH56" s="5">
        <v>1</v>
      </c>
      <c r="AI56" s="5">
        <v>1</v>
      </c>
      <c r="AJ56" s="5">
        <v>0</v>
      </c>
      <c r="AK56" s="5">
        <v>0</v>
      </c>
      <c r="AL56" s="5">
        <v>0</v>
      </c>
      <c r="AM56" s="5">
        <v>0</v>
      </c>
      <c r="AN56" s="5">
        <v>0</v>
      </c>
      <c r="AO56" s="5">
        <v>0</v>
      </c>
      <c r="AP56" s="5">
        <v>0</v>
      </c>
      <c r="AQ56" s="5">
        <v>0</v>
      </c>
      <c r="AR56" s="5">
        <v>0</v>
      </c>
      <c r="AS56" s="5">
        <v>0</v>
      </c>
      <c r="AT56" s="5">
        <v>0</v>
      </c>
      <c r="AU56" s="5">
        <v>0</v>
      </c>
      <c r="AV56" s="5">
        <v>0</v>
      </c>
      <c r="AW56" s="5">
        <v>0</v>
      </c>
      <c r="AX56" s="5">
        <v>0</v>
      </c>
      <c r="AY56" s="5">
        <v>0</v>
      </c>
      <c r="AZ56" s="5">
        <v>0</v>
      </c>
      <c r="BA56" s="5">
        <v>0</v>
      </c>
      <c r="BB56" s="5">
        <v>0</v>
      </c>
      <c r="BC56" s="5">
        <v>0</v>
      </c>
      <c r="BD56" s="5">
        <v>0</v>
      </c>
      <c r="BE56" s="5">
        <v>0</v>
      </c>
      <c r="BF56" s="5">
        <v>0</v>
      </c>
      <c r="BG56" s="5">
        <v>0</v>
      </c>
      <c r="BH56" s="5">
        <v>0</v>
      </c>
      <c r="BI56" s="5">
        <v>0</v>
      </c>
      <c r="BJ56" s="5">
        <v>0</v>
      </c>
      <c r="BK56" s="5">
        <v>0</v>
      </c>
      <c r="BL56" s="5">
        <v>0</v>
      </c>
      <c r="BM56" s="5">
        <v>0</v>
      </c>
      <c r="BN56" s="5">
        <v>0</v>
      </c>
      <c r="BO56" s="5">
        <v>0</v>
      </c>
      <c r="BP56" s="5">
        <v>0</v>
      </c>
      <c r="BQ56" s="5">
        <v>0</v>
      </c>
      <c r="BR56" s="5">
        <v>0</v>
      </c>
      <c r="BS56" s="5">
        <v>0</v>
      </c>
      <c r="BT56" s="5">
        <v>0</v>
      </c>
      <c r="BU56" s="5">
        <v>0</v>
      </c>
    </row>
    <row r="57" spans="1:73" x14ac:dyDescent="0.3">
      <c r="A57" s="4" t="s">
        <v>165</v>
      </c>
      <c r="B57" s="5">
        <v>0</v>
      </c>
      <c r="C57" s="5">
        <v>0</v>
      </c>
      <c r="D57" s="5">
        <v>0</v>
      </c>
      <c r="E57" s="5">
        <v>0</v>
      </c>
      <c r="F57" s="5">
        <v>0</v>
      </c>
      <c r="G57" s="5">
        <v>0</v>
      </c>
      <c r="H57" s="5">
        <v>0</v>
      </c>
      <c r="I57" s="5">
        <v>0</v>
      </c>
      <c r="J57" s="5">
        <v>0</v>
      </c>
      <c r="K57" s="5">
        <v>0</v>
      </c>
      <c r="L57" s="5">
        <v>0</v>
      </c>
      <c r="M57" s="5">
        <v>0</v>
      </c>
      <c r="N57" s="5">
        <v>0</v>
      </c>
      <c r="O57" s="5">
        <v>0</v>
      </c>
      <c r="P57" s="5">
        <v>0</v>
      </c>
      <c r="Q57" s="5">
        <v>0</v>
      </c>
      <c r="R57" s="5">
        <v>0</v>
      </c>
      <c r="S57" s="5">
        <v>0</v>
      </c>
      <c r="T57" s="5">
        <v>0</v>
      </c>
      <c r="U57" s="5">
        <v>0</v>
      </c>
      <c r="V57" s="5">
        <v>1</v>
      </c>
      <c r="W57" s="5">
        <v>0</v>
      </c>
      <c r="X57" s="5">
        <v>2</v>
      </c>
      <c r="Y57" s="5">
        <v>0</v>
      </c>
      <c r="Z57" s="5">
        <v>1</v>
      </c>
      <c r="AA57" s="5">
        <v>0</v>
      </c>
      <c r="AB57" s="5">
        <v>0</v>
      </c>
      <c r="AC57" s="5">
        <v>0</v>
      </c>
      <c r="AD57" s="5">
        <v>0</v>
      </c>
      <c r="AE57" s="5">
        <v>0</v>
      </c>
      <c r="AF57" s="5">
        <v>0</v>
      </c>
      <c r="AG57" s="5">
        <v>0</v>
      </c>
      <c r="AH57" s="5">
        <v>1</v>
      </c>
      <c r="AI57" s="5">
        <v>0</v>
      </c>
      <c r="AJ57" s="5">
        <v>0</v>
      </c>
      <c r="AK57" s="5">
        <v>0</v>
      </c>
      <c r="AL57" s="5">
        <v>0</v>
      </c>
      <c r="AM57" s="5">
        <v>0</v>
      </c>
      <c r="AN57" s="5">
        <v>0</v>
      </c>
      <c r="AO57" s="5">
        <v>0</v>
      </c>
      <c r="AP57" s="5">
        <v>0</v>
      </c>
      <c r="AQ57" s="5">
        <v>0</v>
      </c>
      <c r="AR57" s="5">
        <v>0</v>
      </c>
      <c r="AS57" s="5">
        <v>0</v>
      </c>
      <c r="AT57" s="5">
        <v>0</v>
      </c>
      <c r="AU57" s="5">
        <v>0</v>
      </c>
      <c r="AV57" s="5">
        <v>0</v>
      </c>
      <c r="AW57" s="5">
        <v>0</v>
      </c>
      <c r="AX57" s="5">
        <v>0</v>
      </c>
      <c r="AY57" s="5">
        <v>0</v>
      </c>
      <c r="AZ57" s="5">
        <v>0</v>
      </c>
      <c r="BA57" s="5">
        <v>0</v>
      </c>
      <c r="BB57" s="5">
        <v>0</v>
      </c>
      <c r="BC57" s="5">
        <v>0</v>
      </c>
      <c r="BD57" s="5">
        <v>0</v>
      </c>
      <c r="BE57" s="5">
        <v>0</v>
      </c>
      <c r="BF57" s="5">
        <v>0</v>
      </c>
      <c r="BG57" s="5">
        <v>0</v>
      </c>
      <c r="BH57" s="5">
        <v>0</v>
      </c>
      <c r="BI57" s="5">
        <v>1</v>
      </c>
      <c r="BJ57" s="5">
        <v>0</v>
      </c>
      <c r="BK57" s="5">
        <v>0</v>
      </c>
      <c r="BL57" s="5">
        <v>0</v>
      </c>
      <c r="BM57" s="5">
        <v>0</v>
      </c>
      <c r="BN57" s="5">
        <v>0</v>
      </c>
      <c r="BO57" s="5">
        <v>0</v>
      </c>
      <c r="BP57" s="5">
        <v>0</v>
      </c>
      <c r="BQ57" s="5">
        <v>0</v>
      </c>
      <c r="BR57" s="5">
        <v>0</v>
      </c>
      <c r="BS57" s="5">
        <v>0</v>
      </c>
      <c r="BT57" s="5">
        <v>0</v>
      </c>
      <c r="BU57" s="5">
        <v>0</v>
      </c>
    </row>
    <row r="58" spans="1:73" x14ac:dyDescent="0.3">
      <c r="A58" s="4" t="s">
        <v>179</v>
      </c>
      <c r="B58" s="5">
        <v>0</v>
      </c>
      <c r="C58" s="5">
        <v>2</v>
      </c>
      <c r="D58" s="5">
        <v>0</v>
      </c>
      <c r="E58" s="5">
        <v>0</v>
      </c>
      <c r="F58" s="5">
        <v>0</v>
      </c>
      <c r="G58" s="5">
        <v>0</v>
      </c>
      <c r="H58" s="5">
        <v>0</v>
      </c>
      <c r="I58" s="5">
        <v>0</v>
      </c>
      <c r="J58" s="5">
        <v>0</v>
      </c>
      <c r="K58" s="5">
        <v>0</v>
      </c>
      <c r="L58" s="5">
        <v>0</v>
      </c>
      <c r="M58" s="5">
        <v>0</v>
      </c>
      <c r="N58" s="5">
        <v>0</v>
      </c>
      <c r="O58" s="5">
        <v>0</v>
      </c>
      <c r="P58" s="5">
        <v>0</v>
      </c>
      <c r="Q58" s="5">
        <v>0</v>
      </c>
      <c r="R58" s="5">
        <v>0</v>
      </c>
      <c r="S58" s="5">
        <v>0</v>
      </c>
      <c r="T58" s="5">
        <v>0</v>
      </c>
      <c r="U58" s="5">
        <v>0</v>
      </c>
      <c r="V58" s="5">
        <v>0</v>
      </c>
      <c r="W58" s="5">
        <v>0</v>
      </c>
      <c r="X58" s="5">
        <v>0</v>
      </c>
      <c r="Y58" s="5">
        <v>0</v>
      </c>
      <c r="Z58" s="5">
        <v>0</v>
      </c>
      <c r="AA58" s="5">
        <v>0</v>
      </c>
      <c r="AB58" s="5">
        <v>0</v>
      </c>
      <c r="AC58" s="5">
        <v>0</v>
      </c>
      <c r="AD58" s="5">
        <v>0</v>
      </c>
      <c r="AE58" s="5">
        <v>0</v>
      </c>
      <c r="AF58" s="5">
        <v>0</v>
      </c>
      <c r="AG58" s="5">
        <v>0</v>
      </c>
      <c r="AH58" s="5">
        <v>0</v>
      </c>
      <c r="AI58" s="5">
        <v>1</v>
      </c>
      <c r="AJ58" s="5">
        <v>0</v>
      </c>
      <c r="AK58" s="5">
        <v>0</v>
      </c>
      <c r="AL58" s="5">
        <v>0</v>
      </c>
      <c r="AM58" s="5">
        <v>0</v>
      </c>
      <c r="AN58" s="5">
        <v>0</v>
      </c>
      <c r="AO58" s="5">
        <v>0</v>
      </c>
      <c r="AP58" s="5">
        <v>1</v>
      </c>
      <c r="AQ58" s="5">
        <v>0</v>
      </c>
      <c r="AR58" s="5">
        <v>0</v>
      </c>
      <c r="AS58" s="5">
        <v>0</v>
      </c>
      <c r="AT58" s="5">
        <v>0</v>
      </c>
      <c r="AU58" s="5">
        <v>0</v>
      </c>
      <c r="AV58" s="5">
        <v>0</v>
      </c>
      <c r="AW58" s="5">
        <v>0</v>
      </c>
      <c r="AX58" s="5">
        <v>0</v>
      </c>
      <c r="AY58" s="5">
        <v>0</v>
      </c>
      <c r="AZ58" s="5">
        <v>1</v>
      </c>
      <c r="BA58" s="5">
        <v>0</v>
      </c>
      <c r="BB58" s="5">
        <v>0</v>
      </c>
      <c r="BC58" s="5">
        <v>0</v>
      </c>
      <c r="BD58" s="5">
        <v>0</v>
      </c>
      <c r="BE58" s="5">
        <v>0</v>
      </c>
      <c r="BF58" s="5">
        <v>0</v>
      </c>
      <c r="BG58" s="5">
        <v>1</v>
      </c>
      <c r="BH58" s="5">
        <v>0</v>
      </c>
      <c r="BI58" s="5">
        <v>0</v>
      </c>
      <c r="BJ58" s="5">
        <v>0</v>
      </c>
      <c r="BK58" s="5">
        <v>0</v>
      </c>
      <c r="BL58" s="5">
        <v>0</v>
      </c>
      <c r="BM58" s="5">
        <v>0</v>
      </c>
      <c r="BN58" s="5">
        <v>0</v>
      </c>
      <c r="BO58" s="5">
        <v>0</v>
      </c>
      <c r="BP58" s="5">
        <v>0</v>
      </c>
      <c r="BQ58" s="5">
        <v>0</v>
      </c>
      <c r="BR58" s="5">
        <v>0</v>
      </c>
      <c r="BS58" s="5">
        <v>0</v>
      </c>
      <c r="BT58" s="5">
        <v>0</v>
      </c>
      <c r="BU58" s="5">
        <v>0</v>
      </c>
    </row>
    <row r="59" spans="1:73" x14ac:dyDescent="0.3">
      <c r="A59" s="4" t="s">
        <v>213</v>
      </c>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row>
    <row r="60" spans="1:73" x14ac:dyDescent="0.3">
      <c r="A60" s="4" t="s">
        <v>214</v>
      </c>
      <c r="B60" s="5">
        <v>1</v>
      </c>
      <c r="C60" s="5">
        <v>4</v>
      </c>
      <c r="D60" s="5">
        <v>10</v>
      </c>
      <c r="E60" s="5">
        <v>2</v>
      </c>
      <c r="F60" s="5">
        <v>4</v>
      </c>
      <c r="G60" s="5">
        <v>6</v>
      </c>
      <c r="H60" s="5">
        <v>1</v>
      </c>
      <c r="I60" s="5">
        <v>13</v>
      </c>
      <c r="J60" s="5">
        <v>1</v>
      </c>
      <c r="K60" s="5">
        <v>1</v>
      </c>
      <c r="L60" s="5">
        <v>0</v>
      </c>
      <c r="M60" s="5">
        <v>1</v>
      </c>
      <c r="N60" s="5">
        <v>31</v>
      </c>
      <c r="O60" s="5">
        <v>14</v>
      </c>
      <c r="P60" s="5">
        <v>0</v>
      </c>
      <c r="Q60" s="5">
        <v>5</v>
      </c>
      <c r="R60" s="5">
        <v>43</v>
      </c>
      <c r="S60" s="5">
        <v>17</v>
      </c>
      <c r="T60" s="5">
        <v>1</v>
      </c>
      <c r="U60" s="5">
        <v>1</v>
      </c>
      <c r="V60" s="5">
        <v>46</v>
      </c>
      <c r="W60" s="5">
        <v>1</v>
      </c>
      <c r="X60" s="5">
        <v>98</v>
      </c>
      <c r="Y60" s="5">
        <v>4</v>
      </c>
      <c r="Z60" s="5">
        <v>5</v>
      </c>
      <c r="AA60" s="5">
        <v>1</v>
      </c>
      <c r="AB60" s="5">
        <v>2</v>
      </c>
      <c r="AC60" s="5">
        <v>5</v>
      </c>
      <c r="AD60" s="5">
        <v>3</v>
      </c>
      <c r="AE60" s="5">
        <v>23</v>
      </c>
      <c r="AF60" s="5">
        <v>1</v>
      </c>
      <c r="AG60" s="5">
        <v>2</v>
      </c>
      <c r="AH60" s="5">
        <v>52</v>
      </c>
      <c r="AI60" s="5">
        <v>63</v>
      </c>
      <c r="AJ60" s="5">
        <v>1</v>
      </c>
      <c r="AK60" s="5">
        <v>1</v>
      </c>
      <c r="AL60" s="5">
        <v>0</v>
      </c>
      <c r="AM60" s="5">
        <v>1</v>
      </c>
      <c r="AN60" s="5">
        <v>1</v>
      </c>
      <c r="AO60" s="5">
        <v>3</v>
      </c>
      <c r="AP60" s="5">
        <v>2</v>
      </c>
      <c r="AQ60" s="5">
        <v>0</v>
      </c>
      <c r="AR60" s="5">
        <v>1</v>
      </c>
      <c r="AS60" s="5">
        <v>2</v>
      </c>
      <c r="AT60" s="5">
        <v>1</v>
      </c>
      <c r="AU60" s="5">
        <v>10</v>
      </c>
      <c r="AV60" s="5">
        <v>1</v>
      </c>
      <c r="AW60" s="5">
        <v>1</v>
      </c>
      <c r="AX60" s="5">
        <v>1</v>
      </c>
      <c r="AY60" s="5">
        <v>0</v>
      </c>
      <c r="AZ60" s="5">
        <v>24</v>
      </c>
      <c r="BA60" s="5">
        <v>0</v>
      </c>
      <c r="BB60" s="5">
        <v>1</v>
      </c>
      <c r="BC60" s="5">
        <v>8</v>
      </c>
      <c r="BD60" s="5">
        <v>4</v>
      </c>
      <c r="BE60" s="5">
        <v>2</v>
      </c>
      <c r="BF60" s="5">
        <v>39</v>
      </c>
      <c r="BG60" s="5">
        <v>4</v>
      </c>
      <c r="BH60" s="5">
        <v>35</v>
      </c>
      <c r="BI60" s="5">
        <v>215</v>
      </c>
      <c r="BJ60" s="5">
        <v>1</v>
      </c>
      <c r="BK60" s="5">
        <v>1</v>
      </c>
      <c r="BL60" s="5">
        <v>1</v>
      </c>
      <c r="BM60" s="5">
        <v>5</v>
      </c>
      <c r="BN60" s="5">
        <v>0</v>
      </c>
      <c r="BO60" s="5">
        <v>1</v>
      </c>
      <c r="BP60" s="5">
        <v>15</v>
      </c>
      <c r="BQ60" s="5">
        <v>0</v>
      </c>
      <c r="BR60" s="5">
        <v>4</v>
      </c>
      <c r="BS60" s="5">
        <v>1</v>
      </c>
      <c r="BT60" s="5">
        <v>1</v>
      </c>
      <c r="BU60" s="5">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7C595-C2D7-4A9C-97F7-176161DFD824}">
  <dimension ref="A1:BU60"/>
  <sheetViews>
    <sheetView workbookViewId="0">
      <selection activeCell="X2" sqref="X2"/>
    </sheetView>
  </sheetViews>
  <sheetFormatPr defaultRowHeight="14.4" x14ac:dyDescent="0.3"/>
  <sheetData>
    <row r="1" spans="1:73" x14ac:dyDescent="0.3">
      <c r="A1" t="s">
        <v>212</v>
      </c>
      <c r="B1" t="s">
        <v>215</v>
      </c>
      <c r="C1" t="s">
        <v>216</v>
      </c>
      <c r="D1" t="s">
        <v>217</v>
      </c>
      <c r="E1" t="s">
        <v>218</v>
      </c>
      <c r="F1" t="s">
        <v>219</v>
      </c>
      <c r="G1" t="s">
        <v>220</v>
      </c>
      <c r="H1" t="s">
        <v>221</v>
      </c>
      <c r="I1" t="s">
        <v>222</v>
      </c>
      <c r="J1" t="s">
        <v>223</v>
      </c>
      <c r="K1" t="s">
        <v>224</v>
      </c>
      <c r="L1" t="s">
        <v>225</v>
      </c>
      <c r="M1" t="s">
        <v>226</v>
      </c>
      <c r="N1" t="s">
        <v>227</v>
      </c>
      <c r="O1" t="s">
        <v>228</v>
      </c>
      <c r="P1" t="s">
        <v>229</v>
      </c>
      <c r="Q1" t="s">
        <v>230</v>
      </c>
      <c r="R1" t="s">
        <v>231</v>
      </c>
      <c r="S1" t="s">
        <v>232</v>
      </c>
      <c r="T1" t="s">
        <v>233</v>
      </c>
      <c r="U1" t="s">
        <v>234</v>
      </c>
      <c r="V1" t="s">
        <v>235</v>
      </c>
      <c r="W1" t="s">
        <v>236</v>
      </c>
      <c r="X1" t="s">
        <v>237</v>
      </c>
      <c r="Y1" t="s">
        <v>238</v>
      </c>
      <c r="Z1" t="s">
        <v>239</v>
      </c>
      <c r="AA1" t="s">
        <v>240</v>
      </c>
      <c r="AB1" t="s">
        <v>241</v>
      </c>
      <c r="AC1" t="s">
        <v>242</v>
      </c>
      <c r="AD1" t="s">
        <v>243</v>
      </c>
      <c r="AE1" t="s">
        <v>244</v>
      </c>
      <c r="AF1" t="s">
        <v>245</v>
      </c>
      <c r="AG1" t="s">
        <v>246</v>
      </c>
      <c r="AH1" t="s">
        <v>247</v>
      </c>
      <c r="AI1" t="s">
        <v>248</v>
      </c>
      <c r="AJ1" t="s">
        <v>249</v>
      </c>
      <c r="AK1" t="s">
        <v>250</v>
      </c>
      <c r="AL1" t="s">
        <v>251</v>
      </c>
      <c r="AM1" t="s">
        <v>252</v>
      </c>
      <c r="AN1" t="s">
        <v>253</v>
      </c>
      <c r="AO1" t="s">
        <v>254</v>
      </c>
      <c r="AP1" t="s">
        <v>255</v>
      </c>
      <c r="AQ1" t="s">
        <v>256</v>
      </c>
      <c r="AR1" t="s">
        <v>257</v>
      </c>
      <c r="AS1" t="s">
        <v>258</v>
      </c>
      <c r="AT1" t="s">
        <v>259</v>
      </c>
      <c r="AU1" t="s">
        <v>260</v>
      </c>
      <c r="AV1" t="s">
        <v>261</v>
      </c>
      <c r="AW1" t="s">
        <v>262</v>
      </c>
      <c r="AX1" t="s">
        <v>263</v>
      </c>
      <c r="AY1" t="s">
        <v>264</v>
      </c>
      <c r="AZ1" t="s">
        <v>265</v>
      </c>
      <c r="BA1" t="s">
        <v>266</v>
      </c>
      <c r="BB1" t="s">
        <v>267</v>
      </c>
      <c r="BC1" t="s">
        <v>268</v>
      </c>
      <c r="BD1" t="s">
        <v>269</v>
      </c>
      <c r="BE1" t="s">
        <v>270</v>
      </c>
      <c r="BF1" t="s">
        <v>271</v>
      </c>
      <c r="BG1" t="s">
        <v>272</v>
      </c>
      <c r="BH1" t="s">
        <v>273</v>
      </c>
      <c r="BI1" t="s">
        <v>274</v>
      </c>
      <c r="BJ1" t="s">
        <v>275</v>
      </c>
      <c r="BK1" t="s">
        <v>276</v>
      </c>
      <c r="BL1" t="s">
        <v>277</v>
      </c>
      <c r="BM1" t="s">
        <v>278</v>
      </c>
      <c r="BN1" t="s">
        <v>279</v>
      </c>
      <c r="BO1" t="s">
        <v>280</v>
      </c>
      <c r="BP1" t="s">
        <v>281</v>
      </c>
      <c r="BQ1" t="s">
        <v>282</v>
      </c>
      <c r="BR1" t="s">
        <v>283</v>
      </c>
      <c r="BS1" t="s">
        <v>284</v>
      </c>
      <c r="BT1" t="s">
        <v>285</v>
      </c>
      <c r="BU1" t="s">
        <v>286</v>
      </c>
    </row>
    <row r="2" spans="1:73" x14ac:dyDescent="0.3">
      <c r="A2" t="s">
        <v>167</v>
      </c>
      <c r="B2">
        <v>0</v>
      </c>
      <c r="C2">
        <v>0</v>
      </c>
      <c r="D2">
        <v>0</v>
      </c>
      <c r="E2">
        <v>0</v>
      </c>
      <c r="F2">
        <v>0</v>
      </c>
      <c r="G2">
        <v>0</v>
      </c>
      <c r="H2">
        <v>0</v>
      </c>
      <c r="I2">
        <v>0</v>
      </c>
      <c r="J2">
        <v>0</v>
      </c>
      <c r="K2">
        <v>0</v>
      </c>
      <c r="L2">
        <v>0</v>
      </c>
      <c r="M2">
        <v>0</v>
      </c>
      <c r="N2">
        <v>0</v>
      </c>
      <c r="O2">
        <v>0</v>
      </c>
      <c r="P2">
        <v>0</v>
      </c>
      <c r="Q2">
        <v>0</v>
      </c>
      <c r="R2">
        <v>0</v>
      </c>
      <c r="S2">
        <v>0</v>
      </c>
      <c r="T2">
        <v>0</v>
      </c>
      <c r="U2">
        <v>0</v>
      </c>
      <c r="V2">
        <v>0</v>
      </c>
      <c r="W2">
        <v>0</v>
      </c>
      <c r="X2">
        <v>1</v>
      </c>
      <c r="Y2">
        <v>0</v>
      </c>
      <c r="Z2">
        <v>0</v>
      </c>
      <c r="AA2">
        <v>0</v>
      </c>
      <c r="AB2">
        <v>0</v>
      </c>
      <c r="AC2">
        <v>0</v>
      </c>
      <c r="AD2">
        <v>1</v>
      </c>
      <c r="AE2">
        <v>0</v>
      </c>
      <c r="AF2">
        <v>0</v>
      </c>
      <c r="AG2">
        <v>0</v>
      </c>
      <c r="AH2">
        <v>0</v>
      </c>
      <c r="AI2">
        <v>2</v>
      </c>
      <c r="AJ2">
        <v>0</v>
      </c>
      <c r="AK2">
        <v>0</v>
      </c>
      <c r="AL2">
        <v>0</v>
      </c>
      <c r="AM2">
        <v>1</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2</v>
      </c>
      <c r="BJ2">
        <v>0</v>
      </c>
      <c r="BK2">
        <v>0</v>
      </c>
      <c r="BL2">
        <v>0</v>
      </c>
      <c r="BM2">
        <v>0</v>
      </c>
      <c r="BN2">
        <v>0</v>
      </c>
      <c r="BO2">
        <v>0</v>
      </c>
      <c r="BP2">
        <v>0</v>
      </c>
      <c r="BQ2">
        <v>0</v>
      </c>
      <c r="BR2">
        <v>0</v>
      </c>
      <c r="BS2">
        <v>0</v>
      </c>
      <c r="BT2">
        <v>0</v>
      </c>
      <c r="BU2">
        <v>0</v>
      </c>
    </row>
    <row r="3" spans="1:73" x14ac:dyDescent="0.3">
      <c r="A3" t="s">
        <v>166</v>
      </c>
      <c r="B3">
        <v>0</v>
      </c>
      <c r="C3">
        <v>0</v>
      </c>
      <c r="D3">
        <v>0</v>
      </c>
      <c r="E3">
        <v>0</v>
      </c>
      <c r="F3">
        <v>0</v>
      </c>
      <c r="G3">
        <v>0</v>
      </c>
      <c r="H3">
        <v>0</v>
      </c>
      <c r="I3">
        <v>0</v>
      </c>
      <c r="J3">
        <v>0</v>
      </c>
      <c r="K3">
        <v>0</v>
      </c>
      <c r="L3">
        <v>0</v>
      </c>
      <c r="M3">
        <v>0</v>
      </c>
      <c r="N3">
        <v>0</v>
      </c>
      <c r="O3">
        <v>0</v>
      </c>
      <c r="P3">
        <v>0</v>
      </c>
      <c r="Q3">
        <v>0</v>
      </c>
      <c r="R3">
        <v>0</v>
      </c>
      <c r="S3">
        <v>0</v>
      </c>
      <c r="T3">
        <v>0</v>
      </c>
      <c r="U3">
        <v>0</v>
      </c>
      <c r="V3">
        <v>0</v>
      </c>
      <c r="W3">
        <v>0</v>
      </c>
      <c r="X3">
        <v>3</v>
      </c>
      <c r="Y3">
        <v>0</v>
      </c>
      <c r="Z3">
        <v>0</v>
      </c>
      <c r="AA3">
        <v>0</v>
      </c>
      <c r="AB3">
        <v>0</v>
      </c>
      <c r="AC3">
        <v>2</v>
      </c>
      <c r="AD3">
        <v>0</v>
      </c>
      <c r="AE3">
        <v>0</v>
      </c>
      <c r="AF3">
        <v>0</v>
      </c>
      <c r="AG3">
        <v>0</v>
      </c>
      <c r="AH3">
        <v>1</v>
      </c>
      <c r="AI3">
        <v>1</v>
      </c>
      <c r="AJ3">
        <v>0</v>
      </c>
      <c r="AK3">
        <v>0</v>
      </c>
      <c r="AL3">
        <v>0</v>
      </c>
      <c r="AM3">
        <v>0</v>
      </c>
      <c r="AN3">
        <v>0</v>
      </c>
      <c r="AO3">
        <v>0</v>
      </c>
      <c r="AP3">
        <v>0</v>
      </c>
      <c r="AQ3">
        <v>0</v>
      </c>
      <c r="AR3">
        <v>0</v>
      </c>
      <c r="AS3">
        <v>0</v>
      </c>
      <c r="AT3">
        <v>0</v>
      </c>
      <c r="AU3">
        <v>0</v>
      </c>
      <c r="AV3">
        <v>0</v>
      </c>
      <c r="AW3">
        <v>0</v>
      </c>
      <c r="AX3">
        <v>0</v>
      </c>
      <c r="AY3">
        <v>0</v>
      </c>
      <c r="AZ3">
        <v>1</v>
      </c>
      <c r="BA3">
        <v>0</v>
      </c>
      <c r="BB3">
        <v>0</v>
      </c>
      <c r="BC3">
        <v>0</v>
      </c>
      <c r="BD3">
        <v>0</v>
      </c>
      <c r="BE3">
        <v>0</v>
      </c>
      <c r="BF3">
        <v>1</v>
      </c>
      <c r="BG3">
        <v>0</v>
      </c>
      <c r="BH3">
        <v>0</v>
      </c>
      <c r="BI3">
        <v>1</v>
      </c>
      <c r="BJ3">
        <v>0</v>
      </c>
      <c r="BK3">
        <v>0</v>
      </c>
      <c r="BL3">
        <v>0</v>
      </c>
      <c r="BM3">
        <v>0</v>
      </c>
      <c r="BN3">
        <v>0</v>
      </c>
      <c r="BO3">
        <v>0</v>
      </c>
      <c r="BP3">
        <v>0</v>
      </c>
      <c r="BQ3">
        <v>0</v>
      </c>
      <c r="BR3">
        <v>0</v>
      </c>
      <c r="BS3">
        <v>0</v>
      </c>
      <c r="BT3">
        <v>0</v>
      </c>
      <c r="BU3">
        <v>0</v>
      </c>
    </row>
    <row r="4" spans="1:73" x14ac:dyDescent="0.3">
      <c r="A4" t="s">
        <v>170</v>
      </c>
      <c r="B4">
        <v>0</v>
      </c>
      <c r="C4">
        <v>0</v>
      </c>
      <c r="D4">
        <v>0</v>
      </c>
      <c r="E4">
        <v>0</v>
      </c>
      <c r="F4">
        <v>0</v>
      </c>
      <c r="G4">
        <v>0</v>
      </c>
      <c r="H4">
        <v>0</v>
      </c>
      <c r="I4">
        <v>0</v>
      </c>
      <c r="J4">
        <v>0</v>
      </c>
      <c r="K4">
        <v>0</v>
      </c>
      <c r="L4">
        <v>0</v>
      </c>
      <c r="M4">
        <v>0</v>
      </c>
      <c r="N4">
        <v>0</v>
      </c>
      <c r="O4">
        <v>0</v>
      </c>
      <c r="P4">
        <v>0</v>
      </c>
      <c r="Q4">
        <v>0</v>
      </c>
      <c r="R4">
        <v>0</v>
      </c>
      <c r="S4">
        <v>0</v>
      </c>
      <c r="T4">
        <v>0</v>
      </c>
      <c r="U4">
        <v>0</v>
      </c>
      <c r="V4">
        <v>1</v>
      </c>
      <c r="W4">
        <v>0</v>
      </c>
      <c r="X4">
        <v>1</v>
      </c>
      <c r="Y4">
        <v>0</v>
      </c>
      <c r="Z4">
        <v>0</v>
      </c>
      <c r="AA4">
        <v>0</v>
      </c>
      <c r="AB4">
        <v>0</v>
      </c>
      <c r="AC4">
        <v>0</v>
      </c>
      <c r="AD4">
        <v>0</v>
      </c>
      <c r="AE4">
        <v>0</v>
      </c>
      <c r="AF4">
        <v>0</v>
      </c>
      <c r="AG4">
        <v>0</v>
      </c>
      <c r="AH4">
        <v>1</v>
      </c>
      <c r="AI4">
        <v>5</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1</v>
      </c>
      <c r="BI4">
        <v>6</v>
      </c>
      <c r="BJ4">
        <v>0</v>
      </c>
      <c r="BK4">
        <v>0</v>
      </c>
      <c r="BL4">
        <v>0</v>
      </c>
      <c r="BM4">
        <v>0</v>
      </c>
      <c r="BN4">
        <v>0</v>
      </c>
      <c r="BO4">
        <v>0</v>
      </c>
      <c r="BP4">
        <v>0</v>
      </c>
      <c r="BQ4">
        <v>0</v>
      </c>
      <c r="BR4">
        <v>0</v>
      </c>
      <c r="BS4">
        <v>1</v>
      </c>
      <c r="BT4">
        <v>0</v>
      </c>
      <c r="BU4">
        <v>0</v>
      </c>
    </row>
    <row r="5" spans="1:73" x14ac:dyDescent="0.3">
      <c r="A5" t="s">
        <v>171</v>
      </c>
      <c r="B5">
        <v>0</v>
      </c>
      <c r="C5">
        <v>0</v>
      </c>
      <c r="D5">
        <v>0</v>
      </c>
      <c r="E5">
        <v>0</v>
      </c>
      <c r="F5">
        <v>0</v>
      </c>
      <c r="G5">
        <v>0</v>
      </c>
      <c r="H5">
        <v>0</v>
      </c>
      <c r="I5">
        <v>0</v>
      </c>
      <c r="J5">
        <v>0</v>
      </c>
      <c r="K5">
        <v>0</v>
      </c>
      <c r="L5">
        <v>0</v>
      </c>
      <c r="M5">
        <v>0</v>
      </c>
      <c r="N5">
        <v>2</v>
      </c>
      <c r="O5">
        <v>1</v>
      </c>
      <c r="P5">
        <v>0</v>
      </c>
      <c r="Q5">
        <v>1</v>
      </c>
      <c r="R5">
        <v>0</v>
      </c>
      <c r="S5">
        <v>0</v>
      </c>
      <c r="T5">
        <v>0</v>
      </c>
      <c r="U5">
        <v>0</v>
      </c>
      <c r="V5">
        <v>2</v>
      </c>
      <c r="W5">
        <v>0</v>
      </c>
      <c r="X5">
        <v>6</v>
      </c>
      <c r="Y5">
        <v>0</v>
      </c>
      <c r="Z5">
        <v>0</v>
      </c>
      <c r="AA5">
        <v>0</v>
      </c>
      <c r="AB5">
        <v>0</v>
      </c>
      <c r="AC5">
        <v>0</v>
      </c>
      <c r="AD5">
        <v>0</v>
      </c>
      <c r="AE5">
        <v>1</v>
      </c>
      <c r="AF5">
        <v>0</v>
      </c>
      <c r="AG5">
        <v>0</v>
      </c>
      <c r="AH5">
        <v>5</v>
      </c>
      <c r="AI5">
        <v>1</v>
      </c>
      <c r="AJ5">
        <v>0</v>
      </c>
      <c r="AK5">
        <v>0</v>
      </c>
      <c r="AL5">
        <v>0</v>
      </c>
      <c r="AM5">
        <v>0</v>
      </c>
      <c r="AN5">
        <v>0</v>
      </c>
      <c r="AO5">
        <v>0</v>
      </c>
      <c r="AP5">
        <v>0</v>
      </c>
      <c r="AQ5">
        <v>0</v>
      </c>
      <c r="AR5">
        <v>0</v>
      </c>
      <c r="AS5">
        <v>0</v>
      </c>
      <c r="AT5">
        <v>0</v>
      </c>
      <c r="AU5">
        <v>0</v>
      </c>
      <c r="AV5">
        <v>0</v>
      </c>
      <c r="AW5">
        <v>0</v>
      </c>
      <c r="AX5">
        <v>0</v>
      </c>
      <c r="AY5">
        <v>0</v>
      </c>
      <c r="AZ5">
        <v>2</v>
      </c>
      <c r="BA5">
        <v>0</v>
      </c>
      <c r="BB5">
        <v>0</v>
      </c>
      <c r="BC5">
        <v>0</v>
      </c>
      <c r="BD5">
        <v>0</v>
      </c>
      <c r="BE5">
        <v>0</v>
      </c>
      <c r="BF5">
        <v>0</v>
      </c>
      <c r="BG5">
        <v>0</v>
      </c>
      <c r="BH5">
        <v>0</v>
      </c>
      <c r="BI5">
        <v>4</v>
      </c>
      <c r="BJ5">
        <v>0</v>
      </c>
      <c r="BK5">
        <v>0</v>
      </c>
      <c r="BL5">
        <v>0</v>
      </c>
      <c r="BM5">
        <v>0</v>
      </c>
      <c r="BN5">
        <v>0</v>
      </c>
      <c r="BO5">
        <v>0</v>
      </c>
      <c r="BP5">
        <v>0</v>
      </c>
      <c r="BQ5">
        <v>0</v>
      </c>
      <c r="BR5">
        <v>0</v>
      </c>
      <c r="BS5">
        <v>0</v>
      </c>
      <c r="BT5">
        <v>0</v>
      </c>
      <c r="BU5">
        <v>0</v>
      </c>
    </row>
    <row r="6" spans="1:73" x14ac:dyDescent="0.3">
      <c r="A6" t="s">
        <v>157</v>
      </c>
      <c r="B6">
        <v>0</v>
      </c>
      <c r="C6">
        <v>0</v>
      </c>
      <c r="D6">
        <v>0</v>
      </c>
      <c r="E6">
        <v>0</v>
      </c>
      <c r="F6">
        <v>0</v>
      </c>
      <c r="G6">
        <v>0</v>
      </c>
      <c r="H6">
        <v>0</v>
      </c>
      <c r="I6">
        <v>0</v>
      </c>
      <c r="J6">
        <v>0</v>
      </c>
      <c r="K6">
        <v>0</v>
      </c>
      <c r="L6">
        <v>0</v>
      </c>
      <c r="M6">
        <v>0</v>
      </c>
      <c r="N6">
        <v>0</v>
      </c>
      <c r="O6">
        <v>0</v>
      </c>
      <c r="P6">
        <v>0</v>
      </c>
      <c r="Q6">
        <v>0</v>
      </c>
      <c r="R6">
        <v>0</v>
      </c>
      <c r="S6">
        <v>0</v>
      </c>
      <c r="T6">
        <v>0</v>
      </c>
      <c r="U6">
        <v>0</v>
      </c>
      <c r="V6">
        <v>0</v>
      </c>
      <c r="W6">
        <v>0</v>
      </c>
      <c r="X6">
        <v>1</v>
      </c>
      <c r="Y6">
        <v>0</v>
      </c>
      <c r="Z6">
        <v>0</v>
      </c>
      <c r="AA6">
        <v>0</v>
      </c>
      <c r="AB6">
        <v>0</v>
      </c>
      <c r="AC6">
        <v>0</v>
      </c>
      <c r="AD6">
        <v>0</v>
      </c>
      <c r="AE6">
        <v>1</v>
      </c>
      <c r="AF6">
        <v>0</v>
      </c>
      <c r="AG6">
        <v>0</v>
      </c>
      <c r="AH6">
        <v>0</v>
      </c>
      <c r="AI6">
        <v>1</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9</v>
      </c>
      <c r="BJ6">
        <v>0</v>
      </c>
      <c r="BK6">
        <v>0</v>
      </c>
      <c r="BL6">
        <v>0</v>
      </c>
      <c r="BM6">
        <v>0</v>
      </c>
      <c r="BN6">
        <v>0</v>
      </c>
      <c r="BO6">
        <v>0</v>
      </c>
      <c r="BP6">
        <v>0</v>
      </c>
      <c r="BQ6">
        <v>0</v>
      </c>
      <c r="BR6">
        <v>0</v>
      </c>
      <c r="BS6">
        <v>0</v>
      </c>
      <c r="BT6">
        <v>0</v>
      </c>
      <c r="BU6">
        <v>0</v>
      </c>
    </row>
    <row r="7" spans="1:73" x14ac:dyDescent="0.3">
      <c r="A7" t="s">
        <v>191</v>
      </c>
      <c r="B7">
        <v>0</v>
      </c>
      <c r="C7">
        <v>0</v>
      </c>
      <c r="D7">
        <v>0</v>
      </c>
      <c r="E7">
        <v>0</v>
      </c>
      <c r="F7">
        <v>0</v>
      </c>
      <c r="G7">
        <v>0</v>
      </c>
      <c r="H7">
        <v>0</v>
      </c>
      <c r="I7">
        <v>0</v>
      </c>
      <c r="J7">
        <v>0</v>
      </c>
      <c r="K7">
        <v>0</v>
      </c>
      <c r="L7">
        <v>0</v>
      </c>
      <c r="M7">
        <v>0</v>
      </c>
      <c r="N7">
        <v>0</v>
      </c>
      <c r="O7">
        <v>0</v>
      </c>
      <c r="P7">
        <v>0</v>
      </c>
      <c r="Q7">
        <v>1</v>
      </c>
      <c r="R7">
        <v>2</v>
      </c>
      <c r="S7">
        <v>0</v>
      </c>
      <c r="T7">
        <v>0</v>
      </c>
      <c r="U7">
        <v>0</v>
      </c>
      <c r="V7">
        <v>0</v>
      </c>
      <c r="W7">
        <v>0</v>
      </c>
      <c r="X7">
        <v>1</v>
      </c>
      <c r="Y7">
        <v>0</v>
      </c>
      <c r="Z7">
        <v>0</v>
      </c>
      <c r="AA7">
        <v>1</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2</v>
      </c>
      <c r="BJ7">
        <v>0</v>
      </c>
      <c r="BK7">
        <v>0</v>
      </c>
      <c r="BL7">
        <v>0</v>
      </c>
      <c r="BM7">
        <v>0</v>
      </c>
      <c r="BN7">
        <v>0</v>
      </c>
      <c r="BO7">
        <v>0</v>
      </c>
      <c r="BP7">
        <v>0</v>
      </c>
      <c r="BQ7">
        <v>0</v>
      </c>
      <c r="BR7">
        <v>0</v>
      </c>
      <c r="BS7">
        <v>0</v>
      </c>
      <c r="BT7">
        <v>0</v>
      </c>
      <c r="BU7">
        <v>0</v>
      </c>
    </row>
    <row r="8" spans="1:73" x14ac:dyDescent="0.3">
      <c r="A8" t="s">
        <v>182</v>
      </c>
      <c r="B8">
        <v>0</v>
      </c>
      <c r="C8">
        <v>0</v>
      </c>
      <c r="D8">
        <v>0</v>
      </c>
      <c r="E8">
        <v>0</v>
      </c>
      <c r="F8">
        <v>0</v>
      </c>
      <c r="G8">
        <v>0</v>
      </c>
      <c r="H8">
        <v>0</v>
      </c>
      <c r="I8">
        <v>3</v>
      </c>
      <c r="J8">
        <v>0</v>
      </c>
      <c r="K8">
        <v>0</v>
      </c>
      <c r="L8">
        <v>0</v>
      </c>
      <c r="M8">
        <v>0</v>
      </c>
      <c r="N8">
        <v>0</v>
      </c>
      <c r="O8">
        <v>0</v>
      </c>
      <c r="P8">
        <v>0</v>
      </c>
      <c r="Q8">
        <v>0</v>
      </c>
      <c r="R8">
        <v>0</v>
      </c>
      <c r="S8">
        <v>0</v>
      </c>
      <c r="T8">
        <v>0</v>
      </c>
      <c r="U8">
        <v>0</v>
      </c>
      <c r="V8">
        <v>1</v>
      </c>
      <c r="W8">
        <v>0</v>
      </c>
      <c r="X8">
        <v>3</v>
      </c>
      <c r="Y8">
        <v>0</v>
      </c>
      <c r="Z8">
        <v>0</v>
      </c>
      <c r="AA8">
        <v>0</v>
      </c>
      <c r="AB8">
        <v>0</v>
      </c>
      <c r="AC8">
        <v>0</v>
      </c>
      <c r="AD8">
        <v>0</v>
      </c>
      <c r="AE8">
        <v>1</v>
      </c>
      <c r="AF8">
        <v>0</v>
      </c>
      <c r="AG8">
        <v>0</v>
      </c>
      <c r="AH8">
        <v>2</v>
      </c>
      <c r="AI8">
        <v>1</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1</v>
      </c>
      <c r="BI8">
        <v>5</v>
      </c>
      <c r="BJ8">
        <v>0</v>
      </c>
      <c r="BK8">
        <v>0</v>
      </c>
      <c r="BL8">
        <v>0</v>
      </c>
      <c r="BM8">
        <v>0</v>
      </c>
      <c r="BN8">
        <v>0</v>
      </c>
      <c r="BO8">
        <v>0</v>
      </c>
      <c r="BP8">
        <v>0</v>
      </c>
      <c r="BQ8">
        <v>0</v>
      </c>
      <c r="BR8">
        <v>0</v>
      </c>
      <c r="BS8">
        <v>0</v>
      </c>
      <c r="BT8">
        <v>0</v>
      </c>
      <c r="BU8">
        <v>0</v>
      </c>
    </row>
    <row r="9" spans="1:73" x14ac:dyDescent="0.3">
      <c r="A9" t="s">
        <v>187</v>
      </c>
      <c r="B9">
        <v>0</v>
      </c>
      <c r="C9">
        <v>0</v>
      </c>
      <c r="D9">
        <v>0</v>
      </c>
      <c r="E9">
        <v>0</v>
      </c>
      <c r="F9">
        <v>0</v>
      </c>
      <c r="G9">
        <v>0</v>
      </c>
      <c r="H9">
        <v>0</v>
      </c>
      <c r="I9">
        <v>0</v>
      </c>
      <c r="J9">
        <v>0</v>
      </c>
      <c r="K9">
        <v>0</v>
      </c>
      <c r="L9">
        <v>0</v>
      </c>
      <c r="M9">
        <v>0</v>
      </c>
      <c r="N9">
        <v>1</v>
      </c>
      <c r="O9">
        <v>0</v>
      </c>
      <c r="P9">
        <v>0</v>
      </c>
      <c r="Q9">
        <v>0</v>
      </c>
      <c r="R9">
        <v>0</v>
      </c>
      <c r="S9">
        <v>0</v>
      </c>
      <c r="T9">
        <v>0</v>
      </c>
      <c r="U9">
        <v>0</v>
      </c>
      <c r="V9">
        <v>1</v>
      </c>
      <c r="W9">
        <v>0</v>
      </c>
      <c r="X9">
        <v>1</v>
      </c>
      <c r="Y9">
        <v>0</v>
      </c>
      <c r="Z9">
        <v>0</v>
      </c>
      <c r="AA9">
        <v>0</v>
      </c>
      <c r="AB9">
        <v>0</v>
      </c>
      <c r="AC9">
        <v>0</v>
      </c>
      <c r="AD9">
        <v>0</v>
      </c>
      <c r="AE9">
        <v>0</v>
      </c>
      <c r="AF9">
        <v>0</v>
      </c>
      <c r="AG9">
        <v>0</v>
      </c>
      <c r="AH9">
        <v>1</v>
      </c>
      <c r="AI9">
        <v>1</v>
      </c>
      <c r="AJ9">
        <v>0</v>
      </c>
      <c r="AK9">
        <v>0</v>
      </c>
      <c r="AL9">
        <v>0</v>
      </c>
      <c r="AM9">
        <v>0</v>
      </c>
      <c r="AN9">
        <v>0</v>
      </c>
      <c r="AO9">
        <v>0</v>
      </c>
      <c r="AP9">
        <v>0</v>
      </c>
      <c r="AQ9">
        <v>0</v>
      </c>
      <c r="AR9">
        <v>0</v>
      </c>
      <c r="AS9">
        <v>0</v>
      </c>
      <c r="AT9">
        <v>0</v>
      </c>
      <c r="AU9">
        <v>0</v>
      </c>
      <c r="AV9">
        <v>0</v>
      </c>
      <c r="AW9">
        <v>1</v>
      </c>
      <c r="AX9">
        <v>0</v>
      </c>
      <c r="AY9">
        <v>0</v>
      </c>
      <c r="AZ9">
        <v>0</v>
      </c>
      <c r="BA9">
        <v>0</v>
      </c>
      <c r="BB9">
        <v>0</v>
      </c>
      <c r="BC9">
        <v>0</v>
      </c>
      <c r="BD9">
        <v>0</v>
      </c>
      <c r="BE9">
        <v>0</v>
      </c>
      <c r="BF9">
        <v>1</v>
      </c>
      <c r="BG9">
        <v>0</v>
      </c>
      <c r="BH9">
        <v>0</v>
      </c>
      <c r="BI9">
        <v>1</v>
      </c>
      <c r="BJ9">
        <v>0</v>
      </c>
      <c r="BK9">
        <v>0</v>
      </c>
      <c r="BL9">
        <v>0</v>
      </c>
      <c r="BM9">
        <v>0</v>
      </c>
      <c r="BN9">
        <v>0</v>
      </c>
      <c r="BO9">
        <v>0</v>
      </c>
      <c r="BP9">
        <v>0</v>
      </c>
      <c r="BQ9">
        <v>0</v>
      </c>
      <c r="BR9">
        <v>0</v>
      </c>
      <c r="BS9">
        <v>0</v>
      </c>
      <c r="BT9">
        <v>0</v>
      </c>
      <c r="BU9">
        <v>0</v>
      </c>
    </row>
    <row r="10" spans="1:73" x14ac:dyDescent="0.3">
      <c r="A10" t="s">
        <v>204</v>
      </c>
      <c r="B10">
        <v>0</v>
      </c>
      <c r="C10">
        <v>0</v>
      </c>
      <c r="D10">
        <v>0</v>
      </c>
      <c r="E10">
        <v>0</v>
      </c>
      <c r="F10">
        <v>0</v>
      </c>
      <c r="G10">
        <v>0</v>
      </c>
      <c r="H10">
        <v>0</v>
      </c>
      <c r="I10">
        <v>0</v>
      </c>
      <c r="J10">
        <v>0</v>
      </c>
      <c r="K10">
        <v>0</v>
      </c>
      <c r="L10">
        <v>0</v>
      </c>
      <c r="M10">
        <v>0</v>
      </c>
      <c r="N10">
        <v>1</v>
      </c>
      <c r="O10">
        <v>0</v>
      </c>
      <c r="P10">
        <v>0</v>
      </c>
      <c r="Q10">
        <v>0</v>
      </c>
      <c r="R10">
        <v>0</v>
      </c>
      <c r="S10">
        <v>1</v>
      </c>
      <c r="T10">
        <v>0</v>
      </c>
      <c r="U10">
        <v>0</v>
      </c>
      <c r="V10">
        <v>0</v>
      </c>
      <c r="W10">
        <v>0</v>
      </c>
      <c r="X10">
        <v>2</v>
      </c>
      <c r="Y10">
        <v>1</v>
      </c>
      <c r="Z10">
        <v>0</v>
      </c>
      <c r="AA10">
        <v>0</v>
      </c>
      <c r="AB10">
        <v>0</v>
      </c>
      <c r="AC10">
        <v>0</v>
      </c>
      <c r="AD10">
        <v>0</v>
      </c>
      <c r="AE10">
        <v>1</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1</v>
      </c>
      <c r="BD10">
        <v>0</v>
      </c>
      <c r="BE10">
        <v>0</v>
      </c>
      <c r="BF10">
        <v>0</v>
      </c>
      <c r="BG10">
        <v>0</v>
      </c>
      <c r="BH10">
        <v>0</v>
      </c>
      <c r="BI10">
        <v>5</v>
      </c>
      <c r="BJ10">
        <v>0</v>
      </c>
      <c r="BK10">
        <v>0</v>
      </c>
      <c r="BL10">
        <v>0</v>
      </c>
      <c r="BM10">
        <v>0</v>
      </c>
      <c r="BN10">
        <v>0</v>
      </c>
      <c r="BO10">
        <v>0</v>
      </c>
      <c r="BP10">
        <v>0</v>
      </c>
      <c r="BQ10">
        <v>0</v>
      </c>
      <c r="BR10">
        <v>0</v>
      </c>
      <c r="BS10">
        <v>0</v>
      </c>
      <c r="BT10">
        <v>0</v>
      </c>
      <c r="BU10">
        <v>0</v>
      </c>
    </row>
    <row r="11" spans="1:73" x14ac:dyDescent="0.3">
      <c r="A11" t="s">
        <v>184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1</v>
      </c>
      <c r="Y11">
        <v>0</v>
      </c>
      <c r="Z11">
        <v>0</v>
      </c>
      <c r="AA11">
        <v>0</v>
      </c>
      <c r="AB11">
        <v>0</v>
      </c>
      <c r="AC11">
        <v>0</v>
      </c>
      <c r="AD11">
        <v>0</v>
      </c>
      <c r="AE11">
        <v>0</v>
      </c>
      <c r="AF11">
        <v>0</v>
      </c>
      <c r="AG11">
        <v>0</v>
      </c>
      <c r="AH11">
        <v>1</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row>
    <row r="12" spans="1:73" x14ac:dyDescent="0.3">
      <c r="A12" t="s">
        <v>161</v>
      </c>
      <c r="B12">
        <v>0</v>
      </c>
      <c r="C12">
        <v>0</v>
      </c>
      <c r="D12">
        <v>0</v>
      </c>
      <c r="E12">
        <v>0</v>
      </c>
      <c r="F12">
        <v>0</v>
      </c>
      <c r="G12">
        <v>0</v>
      </c>
      <c r="H12">
        <v>0</v>
      </c>
      <c r="I12">
        <v>1</v>
      </c>
      <c r="J12">
        <v>0</v>
      </c>
      <c r="K12">
        <v>0</v>
      </c>
      <c r="L12">
        <v>0</v>
      </c>
      <c r="M12">
        <v>0</v>
      </c>
      <c r="N12">
        <v>0</v>
      </c>
      <c r="O12">
        <v>1</v>
      </c>
      <c r="P12">
        <v>0</v>
      </c>
      <c r="Q12">
        <v>0</v>
      </c>
      <c r="R12">
        <v>1</v>
      </c>
      <c r="S12">
        <v>0</v>
      </c>
      <c r="T12">
        <v>0</v>
      </c>
      <c r="U12">
        <v>0</v>
      </c>
      <c r="V12">
        <v>0</v>
      </c>
      <c r="W12">
        <v>0</v>
      </c>
      <c r="X12">
        <v>2</v>
      </c>
      <c r="Y12">
        <v>0</v>
      </c>
      <c r="Z12">
        <v>0</v>
      </c>
      <c r="AA12">
        <v>0</v>
      </c>
      <c r="AB12">
        <v>0</v>
      </c>
      <c r="AC12">
        <v>0</v>
      </c>
      <c r="AD12">
        <v>0</v>
      </c>
      <c r="AE12">
        <v>2</v>
      </c>
      <c r="AF12">
        <v>0</v>
      </c>
      <c r="AG12">
        <v>0</v>
      </c>
      <c r="AH12">
        <v>0</v>
      </c>
      <c r="AI12">
        <v>0</v>
      </c>
      <c r="AJ12">
        <v>0</v>
      </c>
      <c r="AK12">
        <v>0</v>
      </c>
      <c r="AL12">
        <v>0</v>
      </c>
      <c r="AM12">
        <v>0</v>
      </c>
      <c r="AN12">
        <v>0</v>
      </c>
      <c r="AO12">
        <v>1</v>
      </c>
      <c r="AP12">
        <v>0</v>
      </c>
      <c r="AQ12">
        <v>0</v>
      </c>
      <c r="AR12">
        <v>0</v>
      </c>
      <c r="AS12">
        <v>0</v>
      </c>
      <c r="AT12">
        <v>0</v>
      </c>
      <c r="AU12">
        <v>3</v>
      </c>
      <c r="AV12">
        <v>0</v>
      </c>
      <c r="AW12">
        <v>0</v>
      </c>
      <c r="AX12">
        <v>0</v>
      </c>
      <c r="AY12">
        <v>0</v>
      </c>
      <c r="AZ12">
        <v>1</v>
      </c>
      <c r="BA12">
        <v>0</v>
      </c>
      <c r="BB12">
        <v>0</v>
      </c>
      <c r="BC12">
        <v>0</v>
      </c>
      <c r="BD12">
        <v>0</v>
      </c>
      <c r="BE12">
        <v>0</v>
      </c>
      <c r="BF12">
        <v>0</v>
      </c>
      <c r="BG12">
        <v>0</v>
      </c>
      <c r="BH12">
        <v>4</v>
      </c>
      <c r="BI12">
        <v>31</v>
      </c>
      <c r="BJ12">
        <v>0</v>
      </c>
      <c r="BK12">
        <v>0</v>
      </c>
      <c r="BL12">
        <v>0</v>
      </c>
      <c r="BM12">
        <v>0</v>
      </c>
      <c r="BN12">
        <v>0</v>
      </c>
      <c r="BO12">
        <v>0</v>
      </c>
      <c r="BP12">
        <v>3</v>
      </c>
      <c r="BQ12">
        <v>0</v>
      </c>
      <c r="BR12">
        <v>0</v>
      </c>
      <c r="BS12">
        <v>0</v>
      </c>
      <c r="BT12">
        <v>0</v>
      </c>
      <c r="BU12">
        <v>0</v>
      </c>
    </row>
    <row r="13" spans="1:73" x14ac:dyDescent="0.3">
      <c r="A13" t="s">
        <v>183</v>
      </c>
      <c r="B13">
        <v>0</v>
      </c>
      <c r="C13">
        <v>0</v>
      </c>
      <c r="D13">
        <v>0</v>
      </c>
      <c r="E13">
        <v>0</v>
      </c>
      <c r="F13">
        <v>0</v>
      </c>
      <c r="G13">
        <v>0</v>
      </c>
      <c r="H13">
        <v>0</v>
      </c>
      <c r="I13">
        <v>0</v>
      </c>
      <c r="J13">
        <v>0</v>
      </c>
      <c r="K13">
        <v>0</v>
      </c>
      <c r="L13">
        <v>0</v>
      </c>
      <c r="M13">
        <v>0</v>
      </c>
      <c r="N13">
        <v>0</v>
      </c>
      <c r="O13">
        <v>0</v>
      </c>
      <c r="P13">
        <v>0</v>
      </c>
      <c r="Q13">
        <v>0</v>
      </c>
      <c r="R13">
        <v>1</v>
      </c>
      <c r="S13">
        <v>0</v>
      </c>
      <c r="T13">
        <v>0</v>
      </c>
      <c r="U13">
        <v>0</v>
      </c>
      <c r="V13">
        <v>0</v>
      </c>
      <c r="W13">
        <v>0</v>
      </c>
      <c r="X13">
        <v>0</v>
      </c>
      <c r="Y13">
        <v>0</v>
      </c>
      <c r="Z13">
        <v>0</v>
      </c>
      <c r="AA13">
        <v>0</v>
      </c>
      <c r="AB13">
        <v>0</v>
      </c>
      <c r="AC13">
        <v>0</v>
      </c>
      <c r="AD13">
        <v>0</v>
      </c>
      <c r="AE13">
        <v>0</v>
      </c>
      <c r="AF13">
        <v>0</v>
      </c>
      <c r="AG13">
        <v>0</v>
      </c>
      <c r="AH13">
        <v>0</v>
      </c>
      <c r="AI13">
        <v>2</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1</v>
      </c>
      <c r="BG13">
        <v>0</v>
      </c>
      <c r="BH13">
        <v>0</v>
      </c>
      <c r="BI13">
        <v>3</v>
      </c>
      <c r="BJ13">
        <v>0</v>
      </c>
      <c r="BK13">
        <v>0</v>
      </c>
      <c r="BL13">
        <v>0</v>
      </c>
      <c r="BM13">
        <v>1</v>
      </c>
      <c r="BN13">
        <v>0</v>
      </c>
      <c r="BO13">
        <v>0</v>
      </c>
      <c r="BP13">
        <v>0</v>
      </c>
      <c r="BQ13">
        <v>0</v>
      </c>
      <c r="BR13">
        <v>0</v>
      </c>
      <c r="BS13">
        <v>0</v>
      </c>
      <c r="BT13">
        <v>0</v>
      </c>
      <c r="BU13">
        <v>0</v>
      </c>
    </row>
    <row r="14" spans="1:73" x14ac:dyDescent="0.3">
      <c r="A14" t="s">
        <v>162</v>
      </c>
      <c r="B14">
        <v>0</v>
      </c>
      <c r="C14">
        <v>0</v>
      </c>
      <c r="D14">
        <v>0</v>
      </c>
      <c r="E14">
        <v>0</v>
      </c>
      <c r="F14">
        <v>0</v>
      </c>
      <c r="G14">
        <v>0</v>
      </c>
      <c r="H14">
        <v>0</v>
      </c>
      <c r="I14">
        <v>0</v>
      </c>
      <c r="J14">
        <v>0</v>
      </c>
      <c r="K14">
        <v>0</v>
      </c>
      <c r="L14">
        <v>0</v>
      </c>
      <c r="M14">
        <v>0</v>
      </c>
      <c r="N14">
        <v>1</v>
      </c>
      <c r="O14">
        <v>0</v>
      </c>
      <c r="P14">
        <v>0</v>
      </c>
      <c r="Q14">
        <v>0</v>
      </c>
      <c r="R14">
        <v>1</v>
      </c>
      <c r="S14">
        <v>0</v>
      </c>
      <c r="T14">
        <v>0</v>
      </c>
      <c r="U14">
        <v>0</v>
      </c>
      <c r="V14">
        <v>0</v>
      </c>
      <c r="W14">
        <v>0</v>
      </c>
      <c r="X14">
        <v>0</v>
      </c>
      <c r="Y14">
        <v>0</v>
      </c>
      <c r="Z14">
        <v>0</v>
      </c>
      <c r="AA14">
        <v>0</v>
      </c>
      <c r="AB14">
        <v>0</v>
      </c>
      <c r="AC14">
        <v>0</v>
      </c>
      <c r="AD14">
        <v>0</v>
      </c>
      <c r="AE14">
        <v>0</v>
      </c>
      <c r="AF14">
        <v>0</v>
      </c>
      <c r="AG14">
        <v>0</v>
      </c>
      <c r="AH14">
        <v>0</v>
      </c>
      <c r="AI14">
        <v>1</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1</v>
      </c>
      <c r="BJ14">
        <v>0</v>
      </c>
      <c r="BK14">
        <v>0</v>
      </c>
      <c r="BL14">
        <v>0</v>
      </c>
      <c r="BM14">
        <v>0</v>
      </c>
      <c r="BN14">
        <v>0</v>
      </c>
      <c r="BO14">
        <v>0</v>
      </c>
      <c r="BP14">
        <v>0</v>
      </c>
      <c r="BQ14">
        <v>0</v>
      </c>
      <c r="BR14">
        <v>0</v>
      </c>
      <c r="BS14">
        <v>0</v>
      </c>
      <c r="BT14">
        <v>0</v>
      </c>
      <c r="BU14">
        <v>0</v>
      </c>
    </row>
    <row r="15" spans="1:73" x14ac:dyDescent="0.3">
      <c r="A15" t="s">
        <v>205</v>
      </c>
      <c r="B15">
        <v>0</v>
      </c>
      <c r="C15">
        <v>0</v>
      </c>
      <c r="D15">
        <v>0</v>
      </c>
      <c r="E15">
        <v>0</v>
      </c>
      <c r="F15">
        <v>0</v>
      </c>
      <c r="G15">
        <v>0</v>
      </c>
      <c r="H15">
        <v>0</v>
      </c>
      <c r="I15">
        <v>0</v>
      </c>
      <c r="J15">
        <v>0</v>
      </c>
      <c r="K15">
        <v>0</v>
      </c>
      <c r="L15">
        <v>0</v>
      </c>
      <c r="M15">
        <v>0</v>
      </c>
      <c r="N15">
        <v>0</v>
      </c>
      <c r="O15">
        <v>2</v>
      </c>
      <c r="P15">
        <v>0</v>
      </c>
      <c r="Q15">
        <v>0</v>
      </c>
      <c r="R15">
        <v>0</v>
      </c>
      <c r="S15">
        <v>2</v>
      </c>
      <c r="T15">
        <v>0</v>
      </c>
      <c r="U15">
        <v>0</v>
      </c>
      <c r="V15">
        <v>4</v>
      </c>
      <c r="W15">
        <v>0</v>
      </c>
      <c r="X15">
        <v>6</v>
      </c>
      <c r="Y15">
        <v>0</v>
      </c>
      <c r="Z15">
        <v>2</v>
      </c>
      <c r="AA15">
        <v>0</v>
      </c>
      <c r="AB15">
        <v>0</v>
      </c>
      <c r="AC15">
        <v>2</v>
      </c>
      <c r="AD15">
        <v>0</v>
      </c>
      <c r="AE15">
        <v>1</v>
      </c>
      <c r="AF15">
        <v>0</v>
      </c>
      <c r="AG15">
        <v>0</v>
      </c>
      <c r="AH15">
        <v>1</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1</v>
      </c>
      <c r="BD15">
        <v>0</v>
      </c>
      <c r="BE15">
        <v>1</v>
      </c>
      <c r="BF15">
        <v>0</v>
      </c>
      <c r="BG15">
        <v>0</v>
      </c>
      <c r="BH15">
        <v>0</v>
      </c>
      <c r="BI15">
        <v>0</v>
      </c>
      <c r="BJ15">
        <v>0</v>
      </c>
      <c r="BK15">
        <v>0</v>
      </c>
      <c r="BL15">
        <v>0</v>
      </c>
      <c r="BM15">
        <v>0</v>
      </c>
      <c r="BN15">
        <v>0</v>
      </c>
      <c r="BO15">
        <v>0</v>
      </c>
      <c r="BP15">
        <v>0</v>
      </c>
      <c r="BQ15">
        <v>0</v>
      </c>
      <c r="BR15">
        <v>1</v>
      </c>
      <c r="BS15">
        <v>0</v>
      </c>
      <c r="BT15">
        <v>0</v>
      </c>
      <c r="BU15">
        <v>0</v>
      </c>
    </row>
    <row r="16" spans="1:73" x14ac:dyDescent="0.3">
      <c r="A16" t="s">
        <v>197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1</v>
      </c>
      <c r="Y16">
        <v>0</v>
      </c>
      <c r="Z16">
        <v>0</v>
      </c>
      <c r="AA16">
        <v>0</v>
      </c>
      <c r="AB16">
        <v>0</v>
      </c>
      <c r="AC16">
        <v>0</v>
      </c>
      <c r="AD16">
        <v>0</v>
      </c>
      <c r="AE16">
        <v>0</v>
      </c>
      <c r="AF16">
        <v>0</v>
      </c>
      <c r="AG16">
        <v>0</v>
      </c>
      <c r="AH16">
        <v>1</v>
      </c>
      <c r="AI16">
        <v>1</v>
      </c>
      <c r="AJ16">
        <v>0</v>
      </c>
      <c r="AK16">
        <v>0</v>
      </c>
      <c r="AL16">
        <v>0</v>
      </c>
      <c r="AM16">
        <v>0</v>
      </c>
      <c r="AN16">
        <v>0</v>
      </c>
      <c r="AO16">
        <v>0</v>
      </c>
      <c r="AP16">
        <v>0</v>
      </c>
      <c r="AQ16">
        <v>0</v>
      </c>
      <c r="AR16">
        <v>0</v>
      </c>
      <c r="AS16">
        <v>0</v>
      </c>
      <c r="AT16">
        <v>0</v>
      </c>
      <c r="AU16">
        <v>0</v>
      </c>
      <c r="AV16">
        <v>0</v>
      </c>
      <c r="AW16">
        <v>0</v>
      </c>
      <c r="AX16">
        <v>0</v>
      </c>
      <c r="AY16">
        <v>0</v>
      </c>
      <c r="AZ16">
        <v>0</v>
      </c>
      <c r="BA16">
        <v>0</v>
      </c>
      <c r="BB16">
        <v>0</v>
      </c>
      <c r="BC16">
        <v>1</v>
      </c>
      <c r="BD16">
        <v>0</v>
      </c>
      <c r="BE16">
        <v>0</v>
      </c>
      <c r="BF16">
        <v>1</v>
      </c>
      <c r="BG16">
        <v>0</v>
      </c>
      <c r="BH16">
        <v>0</v>
      </c>
      <c r="BI16">
        <v>0</v>
      </c>
      <c r="BJ16">
        <v>0</v>
      </c>
      <c r="BK16">
        <v>0</v>
      </c>
      <c r="BL16">
        <v>0</v>
      </c>
      <c r="BM16">
        <v>0</v>
      </c>
      <c r="BN16">
        <v>0</v>
      </c>
      <c r="BO16">
        <v>0</v>
      </c>
      <c r="BP16">
        <v>0</v>
      </c>
      <c r="BQ16">
        <v>0</v>
      </c>
      <c r="BR16">
        <v>0</v>
      </c>
      <c r="BS16">
        <v>0</v>
      </c>
      <c r="BT16">
        <v>0</v>
      </c>
      <c r="BU16">
        <v>0</v>
      </c>
    </row>
    <row r="17" spans="1:73" x14ac:dyDescent="0.3">
      <c r="A17" t="s">
        <v>189</v>
      </c>
      <c r="B17">
        <v>0</v>
      </c>
      <c r="C17">
        <v>0</v>
      </c>
      <c r="D17">
        <v>0</v>
      </c>
      <c r="E17">
        <v>0</v>
      </c>
      <c r="F17">
        <v>0</v>
      </c>
      <c r="G17">
        <v>0</v>
      </c>
      <c r="H17">
        <v>0</v>
      </c>
      <c r="I17">
        <v>0</v>
      </c>
      <c r="J17">
        <v>0</v>
      </c>
      <c r="K17">
        <v>0</v>
      </c>
      <c r="L17">
        <v>0</v>
      </c>
      <c r="M17">
        <v>0</v>
      </c>
      <c r="N17">
        <v>0</v>
      </c>
      <c r="O17">
        <v>1</v>
      </c>
      <c r="P17">
        <v>0</v>
      </c>
      <c r="Q17">
        <v>0</v>
      </c>
      <c r="R17">
        <v>0</v>
      </c>
      <c r="S17">
        <v>0</v>
      </c>
      <c r="T17">
        <v>0</v>
      </c>
      <c r="U17">
        <v>0</v>
      </c>
      <c r="V17">
        <v>1</v>
      </c>
      <c r="W17">
        <v>0</v>
      </c>
      <c r="X17">
        <v>5</v>
      </c>
      <c r="Y17">
        <v>0</v>
      </c>
      <c r="Z17">
        <v>1</v>
      </c>
      <c r="AA17">
        <v>0</v>
      </c>
      <c r="AB17">
        <v>0</v>
      </c>
      <c r="AC17">
        <v>0</v>
      </c>
      <c r="AD17">
        <v>0</v>
      </c>
      <c r="AE17">
        <v>0</v>
      </c>
      <c r="AF17">
        <v>0</v>
      </c>
      <c r="AG17">
        <v>0</v>
      </c>
      <c r="AH17">
        <v>4</v>
      </c>
      <c r="AI17">
        <v>2</v>
      </c>
      <c r="AJ17">
        <v>0</v>
      </c>
      <c r="AK17">
        <v>0</v>
      </c>
      <c r="AL17">
        <v>0</v>
      </c>
      <c r="AM17">
        <v>0</v>
      </c>
      <c r="AN17">
        <v>0</v>
      </c>
      <c r="AO17">
        <v>0</v>
      </c>
      <c r="AP17">
        <v>0</v>
      </c>
      <c r="AQ17">
        <v>0</v>
      </c>
      <c r="AR17">
        <v>0</v>
      </c>
      <c r="AS17">
        <v>0</v>
      </c>
      <c r="AT17">
        <v>0</v>
      </c>
      <c r="AU17">
        <v>2</v>
      </c>
      <c r="AV17">
        <v>0</v>
      </c>
      <c r="AW17">
        <v>0</v>
      </c>
      <c r="AX17">
        <v>0</v>
      </c>
      <c r="AY17">
        <v>0</v>
      </c>
      <c r="AZ17">
        <v>2</v>
      </c>
      <c r="BA17">
        <v>0</v>
      </c>
      <c r="BB17">
        <v>0</v>
      </c>
      <c r="BC17">
        <v>0</v>
      </c>
      <c r="BD17">
        <v>0</v>
      </c>
      <c r="BE17">
        <v>0</v>
      </c>
      <c r="BF17">
        <v>0</v>
      </c>
      <c r="BG17">
        <v>0</v>
      </c>
      <c r="BH17">
        <v>0</v>
      </c>
      <c r="BI17">
        <v>7</v>
      </c>
      <c r="BJ17">
        <v>0</v>
      </c>
      <c r="BK17">
        <v>0</v>
      </c>
      <c r="BL17">
        <v>0</v>
      </c>
      <c r="BM17">
        <v>0</v>
      </c>
      <c r="BN17">
        <v>0</v>
      </c>
      <c r="BO17">
        <v>0</v>
      </c>
      <c r="BP17">
        <v>0</v>
      </c>
      <c r="BQ17">
        <v>0</v>
      </c>
      <c r="BR17">
        <v>0</v>
      </c>
      <c r="BS17">
        <v>0</v>
      </c>
      <c r="BT17">
        <v>0</v>
      </c>
      <c r="BU17">
        <v>0</v>
      </c>
    </row>
    <row r="18" spans="1:73" x14ac:dyDescent="0.3">
      <c r="A18" t="s">
        <v>153</v>
      </c>
      <c r="B18">
        <v>0</v>
      </c>
      <c r="C18">
        <v>0</v>
      </c>
      <c r="D18">
        <v>0</v>
      </c>
      <c r="E18">
        <v>0</v>
      </c>
      <c r="F18">
        <v>0</v>
      </c>
      <c r="G18">
        <v>0</v>
      </c>
      <c r="H18">
        <v>0</v>
      </c>
      <c r="I18">
        <v>0</v>
      </c>
      <c r="J18">
        <v>0</v>
      </c>
      <c r="K18">
        <v>0</v>
      </c>
      <c r="L18">
        <v>0</v>
      </c>
      <c r="M18">
        <v>0</v>
      </c>
      <c r="N18">
        <v>3</v>
      </c>
      <c r="O18">
        <v>0</v>
      </c>
      <c r="P18">
        <v>0</v>
      </c>
      <c r="Q18">
        <v>0</v>
      </c>
      <c r="R18">
        <v>0</v>
      </c>
      <c r="S18">
        <v>0</v>
      </c>
      <c r="T18">
        <v>0</v>
      </c>
      <c r="U18">
        <v>1</v>
      </c>
      <c r="V18">
        <v>2</v>
      </c>
      <c r="W18">
        <v>0</v>
      </c>
      <c r="X18">
        <v>5</v>
      </c>
      <c r="Y18">
        <v>1</v>
      </c>
      <c r="Z18">
        <v>0</v>
      </c>
      <c r="AA18">
        <v>0</v>
      </c>
      <c r="AB18">
        <v>0</v>
      </c>
      <c r="AC18">
        <v>0</v>
      </c>
      <c r="AD18">
        <v>1</v>
      </c>
      <c r="AE18">
        <v>2</v>
      </c>
      <c r="AF18">
        <v>0</v>
      </c>
      <c r="AG18">
        <v>0</v>
      </c>
      <c r="AH18">
        <v>1</v>
      </c>
      <c r="AI18">
        <v>2</v>
      </c>
      <c r="AJ18">
        <v>0</v>
      </c>
      <c r="AK18">
        <v>0</v>
      </c>
      <c r="AL18">
        <v>0</v>
      </c>
      <c r="AM18">
        <v>0</v>
      </c>
      <c r="AN18">
        <v>0</v>
      </c>
      <c r="AO18">
        <v>0</v>
      </c>
      <c r="AP18">
        <v>0</v>
      </c>
      <c r="AQ18">
        <v>0</v>
      </c>
      <c r="AR18">
        <v>0</v>
      </c>
      <c r="AS18">
        <v>2</v>
      </c>
      <c r="AT18">
        <v>0</v>
      </c>
      <c r="AU18">
        <v>0</v>
      </c>
      <c r="AV18">
        <v>0</v>
      </c>
      <c r="AW18">
        <v>0</v>
      </c>
      <c r="AX18">
        <v>0</v>
      </c>
      <c r="AY18">
        <v>0</v>
      </c>
      <c r="AZ18">
        <v>2</v>
      </c>
      <c r="BA18">
        <v>0</v>
      </c>
      <c r="BB18">
        <v>0</v>
      </c>
      <c r="BC18">
        <v>0</v>
      </c>
      <c r="BD18">
        <v>0</v>
      </c>
      <c r="BE18">
        <v>0</v>
      </c>
      <c r="BF18">
        <v>0</v>
      </c>
      <c r="BG18">
        <v>0</v>
      </c>
      <c r="BH18">
        <v>0</v>
      </c>
      <c r="BI18">
        <v>8</v>
      </c>
      <c r="BJ18">
        <v>0</v>
      </c>
      <c r="BK18">
        <v>0</v>
      </c>
      <c r="BL18">
        <v>0</v>
      </c>
      <c r="BM18">
        <v>0</v>
      </c>
      <c r="BN18">
        <v>0</v>
      </c>
      <c r="BO18">
        <v>0</v>
      </c>
      <c r="BP18">
        <v>3</v>
      </c>
      <c r="BQ18">
        <v>0</v>
      </c>
      <c r="BR18">
        <v>0</v>
      </c>
      <c r="BS18">
        <v>0</v>
      </c>
      <c r="BT18">
        <v>0</v>
      </c>
      <c r="BU18">
        <v>0</v>
      </c>
    </row>
    <row r="19" spans="1:73" x14ac:dyDescent="0.3">
      <c r="A19" t="s">
        <v>211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1</v>
      </c>
      <c r="BA19">
        <v>0</v>
      </c>
      <c r="BB19">
        <v>0</v>
      </c>
      <c r="BC19">
        <v>0</v>
      </c>
      <c r="BD19">
        <v>0</v>
      </c>
      <c r="BE19">
        <v>0</v>
      </c>
      <c r="BF19">
        <v>1</v>
      </c>
      <c r="BG19">
        <v>0</v>
      </c>
      <c r="BH19">
        <v>0</v>
      </c>
      <c r="BI19">
        <v>2</v>
      </c>
      <c r="BJ19">
        <v>0</v>
      </c>
      <c r="BK19">
        <v>0</v>
      </c>
      <c r="BL19">
        <v>0</v>
      </c>
      <c r="BM19">
        <v>0</v>
      </c>
      <c r="BN19">
        <v>0</v>
      </c>
      <c r="BO19">
        <v>0</v>
      </c>
      <c r="BP19">
        <v>0</v>
      </c>
      <c r="BQ19">
        <v>0</v>
      </c>
      <c r="BR19">
        <v>1</v>
      </c>
      <c r="BS19">
        <v>0</v>
      </c>
      <c r="BT19">
        <v>0</v>
      </c>
      <c r="BU19">
        <v>0</v>
      </c>
    </row>
    <row r="20" spans="1:73" x14ac:dyDescent="0.3">
      <c r="A20" t="s">
        <v>203</v>
      </c>
      <c r="B20">
        <v>0</v>
      </c>
      <c r="C20">
        <v>0</v>
      </c>
      <c r="D20">
        <v>0</v>
      </c>
      <c r="E20">
        <v>0</v>
      </c>
      <c r="F20">
        <v>0</v>
      </c>
      <c r="G20">
        <v>0</v>
      </c>
      <c r="H20">
        <v>0</v>
      </c>
      <c r="I20">
        <v>0</v>
      </c>
      <c r="J20">
        <v>0</v>
      </c>
      <c r="K20">
        <v>0</v>
      </c>
      <c r="L20">
        <v>0</v>
      </c>
      <c r="M20">
        <v>0</v>
      </c>
      <c r="N20">
        <v>0</v>
      </c>
      <c r="O20">
        <v>0</v>
      </c>
      <c r="P20">
        <v>0</v>
      </c>
      <c r="Q20">
        <v>0</v>
      </c>
      <c r="R20">
        <v>0</v>
      </c>
      <c r="S20">
        <v>1</v>
      </c>
      <c r="T20">
        <v>0</v>
      </c>
      <c r="U20">
        <v>0</v>
      </c>
      <c r="V20">
        <v>0</v>
      </c>
      <c r="W20">
        <v>0</v>
      </c>
      <c r="X20">
        <v>4</v>
      </c>
      <c r="Y20">
        <v>0</v>
      </c>
      <c r="Z20">
        <v>0</v>
      </c>
      <c r="AA20">
        <v>0</v>
      </c>
      <c r="AB20">
        <v>0</v>
      </c>
      <c r="AC20">
        <v>0</v>
      </c>
      <c r="AD20">
        <v>0</v>
      </c>
      <c r="AE20">
        <v>1</v>
      </c>
      <c r="AF20">
        <v>0</v>
      </c>
      <c r="AG20">
        <v>0</v>
      </c>
      <c r="AH20">
        <v>3</v>
      </c>
      <c r="AI20">
        <v>2</v>
      </c>
      <c r="AJ20">
        <v>0</v>
      </c>
      <c r="AK20">
        <v>0</v>
      </c>
      <c r="AL20">
        <v>0</v>
      </c>
      <c r="AM20">
        <v>0</v>
      </c>
      <c r="AN20">
        <v>0</v>
      </c>
      <c r="AO20">
        <v>0</v>
      </c>
      <c r="AP20">
        <v>0</v>
      </c>
      <c r="AQ20">
        <v>0</v>
      </c>
      <c r="AR20">
        <v>0</v>
      </c>
      <c r="AS20">
        <v>0</v>
      </c>
      <c r="AT20">
        <v>0</v>
      </c>
      <c r="AU20">
        <v>0</v>
      </c>
      <c r="AV20">
        <v>0</v>
      </c>
      <c r="AW20">
        <v>0</v>
      </c>
      <c r="AX20">
        <v>0</v>
      </c>
      <c r="AY20">
        <v>0</v>
      </c>
      <c r="AZ20">
        <v>0</v>
      </c>
      <c r="BA20">
        <v>0</v>
      </c>
      <c r="BB20">
        <v>0</v>
      </c>
      <c r="BC20">
        <v>1</v>
      </c>
      <c r="BD20">
        <v>0</v>
      </c>
      <c r="BE20">
        <v>0</v>
      </c>
      <c r="BF20">
        <v>0</v>
      </c>
      <c r="BG20">
        <v>0</v>
      </c>
      <c r="BH20">
        <v>1</v>
      </c>
      <c r="BI20">
        <v>4</v>
      </c>
      <c r="BJ20">
        <v>0</v>
      </c>
      <c r="BK20">
        <v>0</v>
      </c>
      <c r="BL20">
        <v>0</v>
      </c>
      <c r="BM20">
        <v>0</v>
      </c>
      <c r="BN20">
        <v>0</v>
      </c>
      <c r="BO20">
        <v>0</v>
      </c>
      <c r="BP20">
        <v>0</v>
      </c>
      <c r="BQ20">
        <v>0</v>
      </c>
      <c r="BR20">
        <v>0</v>
      </c>
      <c r="BS20">
        <v>0</v>
      </c>
      <c r="BT20">
        <v>0</v>
      </c>
      <c r="BU20">
        <v>0</v>
      </c>
    </row>
    <row r="21" spans="1:73" x14ac:dyDescent="0.3">
      <c r="A21" t="s">
        <v>164</v>
      </c>
      <c r="B21">
        <v>0</v>
      </c>
      <c r="C21">
        <v>0</v>
      </c>
      <c r="D21">
        <v>0</v>
      </c>
      <c r="E21">
        <v>0</v>
      </c>
      <c r="F21">
        <v>0</v>
      </c>
      <c r="G21">
        <v>0</v>
      </c>
      <c r="H21">
        <v>0</v>
      </c>
      <c r="I21">
        <v>1</v>
      </c>
      <c r="J21">
        <v>0</v>
      </c>
      <c r="K21">
        <v>0</v>
      </c>
      <c r="L21">
        <v>0</v>
      </c>
      <c r="M21">
        <v>0</v>
      </c>
      <c r="N21">
        <v>2</v>
      </c>
      <c r="O21">
        <v>0</v>
      </c>
      <c r="P21">
        <v>0</v>
      </c>
      <c r="Q21">
        <v>0</v>
      </c>
      <c r="R21">
        <v>1</v>
      </c>
      <c r="S21">
        <v>1</v>
      </c>
      <c r="T21">
        <v>0</v>
      </c>
      <c r="U21">
        <v>0</v>
      </c>
      <c r="V21">
        <v>2</v>
      </c>
      <c r="W21">
        <v>0</v>
      </c>
      <c r="X21">
        <v>1</v>
      </c>
      <c r="Y21">
        <v>0</v>
      </c>
      <c r="Z21">
        <v>0</v>
      </c>
      <c r="AA21">
        <v>0</v>
      </c>
      <c r="AB21">
        <v>0</v>
      </c>
      <c r="AC21">
        <v>0</v>
      </c>
      <c r="AD21">
        <v>0</v>
      </c>
      <c r="AE21">
        <v>0</v>
      </c>
      <c r="AF21">
        <v>0</v>
      </c>
      <c r="AG21">
        <v>0</v>
      </c>
      <c r="AH21">
        <v>1</v>
      </c>
      <c r="AI21">
        <v>5</v>
      </c>
      <c r="AJ21">
        <v>0</v>
      </c>
      <c r="AK21">
        <v>0</v>
      </c>
      <c r="AL21">
        <v>0</v>
      </c>
      <c r="AM21">
        <v>0</v>
      </c>
      <c r="AN21">
        <v>0</v>
      </c>
      <c r="AO21">
        <v>0</v>
      </c>
      <c r="AP21">
        <v>0</v>
      </c>
      <c r="AQ21">
        <v>0</v>
      </c>
      <c r="AR21">
        <v>0</v>
      </c>
      <c r="AS21">
        <v>0</v>
      </c>
      <c r="AT21">
        <v>0</v>
      </c>
      <c r="AU21">
        <v>0</v>
      </c>
      <c r="AV21">
        <v>0</v>
      </c>
      <c r="AW21">
        <v>0</v>
      </c>
      <c r="AX21">
        <v>0</v>
      </c>
      <c r="AY21">
        <v>0</v>
      </c>
      <c r="AZ21">
        <v>1</v>
      </c>
      <c r="BA21">
        <v>0</v>
      </c>
      <c r="BB21">
        <v>0</v>
      </c>
      <c r="BC21">
        <v>0</v>
      </c>
      <c r="BD21">
        <v>0</v>
      </c>
      <c r="BE21">
        <v>0</v>
      </c>
      <c r="BF21">
        <v>0</v>
      </c>
      <c r="BG21">
        <v>0</v>
      </c>
      <c r="BH21">
        <v>0</v>
      </c>
      <c r="BI21">
        <v>3</v>
      </c>
      <c r="BJ21">
        <v>0</v>
      </c>
      <c r="BK21">
        <v>0</v>
      </c>
      <c r="BL21">
        <v>0</v>
      </c>
      <c r="BM21">
        <v>0</v>
      </c>
      <c r="BN21">
        <v>0</v>
      </c>
      <c r="BO21">
        <v>0</v>
      </c>
      <c r="BP21">
        <v>0</v>
      </c>
      <c r="BQ21">
        <v>0</v>
      </c>
      <c r="BR21">
        <v>0</v>
      </c>
      <c r="BS21">
        <v>0</v>
      </c>
      <c r="BT21">
        <v>0</v>
      </c>
      <c r="BU21">
        <v>0</v>
      </c>
    </row>
    <row r="22" spans="1:73" x14ac:dyDescent="0.3">
      <c r="A22" t="s">
        <v>173</v>
      </c>
      <c r="B22">
        <v>0</v>
      </c>
      <c r="C22">
        <v>0</v>
      </c>
      <c r="D22">
        <v>0</v>
      </c>
      <c r="E22">
        <v>0</v>
      </c>
      <c r="F22">
        <v>0</v>
      </c>
      <c r="G22">
        <v>0</v>
      </c>
      <c r="H22">
        <v>0</v>
      </c>
      <c r="I22">
        <v>0</v>
      </c>
      <c r="J22">
        <v>0</v>
      </c>
      <c r="K22">
        <v>0</v>
      </c>
      <c r="L22">
        <v>0</v>
      </c>
      <c r="M22">
        <v>0</v>
      </c>
      <c r="N22">
        <v>0</v>
      </c>
      <c r="O22">
        <v>0</v>
      </c>
      <c r="P22">
        <v>0</v>
      </c>
      <c r="Q22">
        <v>0</v>
      </c>
      <c r="R22">
        <v>0</v>
      </c>
      <c r="S22">
        <v>1</v>
      </c>
      <c r="T22">
        <v>0</v>
      </c>
      <c r="U22">
        <v>0</v>
      </c>
      <c r="V22">
        <v>0</v>
      </c>
      <c r="W22">
        <v>0</v>
      </c>
      <c r="X22">
        <v>7</v>
      </c>
      <c r="Y22">
        <v>0</v>
      </c>
      <c r="Z22">
        <v>0</v>
      </c>
      <c r="AA22">
        <v>0</v>
      </c>
      <c r="AB22">
        <v>1</v>
      </c>
      <c r="AC22">
        <v>0</v>
      </c>
      <c r="AD22">
        <v>0</v>
      </c>
      <c r="AE22">
        <v>1</v>
      </c>
      <c r="AF22">
        <v>0</v>
      </c>
      <c r="AG22">
        <v>0</v>
      </c>
      <c r="AH22">
        <v>5</v>
      </c>
      <c r="AI22">
        <v>3</v>
      </c>
      <c r="AJ22">
        <v>0</v>
      </c>
      <c r="AK22">
        <v>0</v>
      </c>
      <c r="AL22">
        <v>0</v>
      </c>
      <c r="AM22">
        <v>0</v>
      </c>
      <c r="AN22">
        <v>0</v>
      </c>
      <c r="AO22">
        <v>0</v>
      </c>
      <c r="AP22">
        <v>0</v>
      </c>
      <c r="AQ22">
        <v>0</v>
      </c>
      <c r="AR22">
        <v>0</v>
      </c>
      <c r="AS22">
        <v>0</v>
      </c>
      <c r="AT22">
        <v>0</v>
      </c>
      <c r="AU22">
        <v>0</v>
      </c>
      <c r="AV22">
        <v>0</v>
      </c>
      <c r="AW22">
        <v>0</v>
      </c>
      <c r="AX22">
        <v>0</v>
      </c>
      <c r="AY22">
        <v>0</v>
      </c>
      <c r="AZ22">
        <v>0</v>
      </c>
      <c r="BA22">
        <v>0</v>
      </c>
      <c r="BB22">
        <v>0</v>
      </c>
      <c r="BC22">
        <v>1</v>
      </c>
      <c r="BD22">
        <v>0</v>
      </c>
      <c r="BE22">
        <v>1</v>
      </c>
      <c r="BF22">
        <v>3</v>
      </c>
      <c r="BG22">
        <v>0</v>
      </c>
      <c r="BH22">
        <v>0</v>
      </c>
      <c r="BI22">
        <v>5</v>
      </c>
      <c r="BJ22">
        <v>0</v>
      </c>
      <c r="BK22">
        <v>0</v>
      </c>
      <c r="BL22">
        <v>0</v>
      </c>
      <c r="BM22">
        <v>0</v>
      </c>
      <c r="BN22">
        <v>0</v>
      </c>
      <c r="BO22">
        <v>0</v>
      </c>
      <c r="BP22">
        <v>0</v>
      </c>
      <c r="BQ22">
        <v>0</v>
      </c>
      <c r="BR22">
        <v>0</v>
      </c>
      <c r="BS22">
        <v>0</v>
      </c>
      <c r="BT22">
        <v>0</v>
      </c>
      <c r="BU22">
        <v>0</v>
      </c>
    </row>
    <row r="23" spans="1:73" x14ac:dyDescent="0.3">
      <c r="A23" t="s">
        <v>156</v>
      </c>
      <c r="B23">
        <v>0</v>
      </c>
      <c r="C23">
        <v>0</v>
      </c>
      <c r="D23">
        <v>0</v>
      </c>
      <c r="E23">
        <v>0</v>
      </c>
      <c r="F23">
        <v>0</v>
      </c>
      <c r="G23">
        <v>0</v>
      </c>
      <c r="H23">
        <v>0</v>
      </c>
      <c r="I23">
        <v>0</v>
      </c>
      <c r="J23">
        <v>0</v>
      </c>
      <c r="K23">
        <v>0</v>
      </c>
      <c r="L23">
        <v>0</v>
      </c>
      <c r="M23">
        <v>0</v>
      </c>
      <c r="N23">
        <v>2</v>
      </c>
      <c r="O23">
        <v>1</v>
      </c>
      <c r="P23">
        <v>0</v>
      </c>
      <c r="Q23">
        <v>0</v>
      </c>
      <c r="R23">
        <v>2</v>
      </c>
      <c r="S23">
        <v>0</v>
      </c>
      <c r="T23">
        <v>0</v>
      </c>
      <c r="U23">
        <v>0</v>
      </c>
      <c r="V23">
        <v>1</v>
      </c>
      <c r="W23">
        <v>0</v>
      </c>
      <c r="X23">
        <v>2</v>
      </c>
      <c r="Y23">
        <v>0</v>
      </c>
      <c r="Z23">
        <v>0</v>
      </c>
      <c r="AA23">
        <v>0</v>
      </c>
      <c r="AB23">
        <v>0</v>
      </c>
      <c r="AC23">
        <v>0</v>
      </c>
      <c r="AD23">
        <v>0</v>
      </c>
      <c r="AE23">
        <v>2</v>
      </c>
      <c r="AF23">
        <v>0</v>
      </c>
      <c r="AG23">
        <v>0</v>
      </c>
      <c r="AH23">
        <v>0</v>
      </c>
      <c r="AI23">
        <v>3</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4</v>
      </c>
      <c r="BJ23">
        <v>0</v>
      </c>
      <c r="BK23">
        <v>0</v>
      </c>
      <c r="BL23">
        <v>0</v>
      </c>
      <c r="BM23">
        <v>0</v>
      </c>
      <c r="BN23">
        <v>0</v>
      </c>
      <c r="BO23">
        <v>0</v>
      </c>
      <c r="BP23">
        <v>1</v>
      </c>
      <c r="BQ23">
        <v>0</v>
      </c>
      <c r="BR23">
        <v>0</v>
      </c>
      <c r="BS23">
        <v>0</v>
      </c>
      <c r="BT23">
        <v>0</v>
      </c>
      <c r="BU23">
        <v>0</v>
      </c>
    </row>
    <row r="24" spans="1:73" x14ac:dyDescent="0.3">
      <c r="A24" t="s">
        <v>195</v>
      </c>
      <c r="B24">
        <v>0</v>
      </c>
      <c r="C24">
        <v>0</v>
      </c>
      <c r="D24">
        <v>0</v>
      </c>
      <c r="E24">
        <v>0</v>
      </c>
      <c r="F24">
        <v>0</v>
      </c>
      <c r="G24">
        <v>0</v>
      </c>
      <c r="H24">
        <v>0</v>
      </c>
      <c r="I24">
        <v>0</v>
      </c>
      <c r="J24">
        <v>0</v>
      </c>
      <c r="K24">
        <v>0</v>
      </c>
      <c r="L24">
        <v>0</v>
      </c>
      <c r="M24">
        <v>0</v>
      </c>
      <c r="N24">
        <v>0</v>
      </c>
      <c r="O24">
        <v>0</v>
      </c>
      <c r="P24">
        <v>0</v>
      </c>
      <c r="Q24">
        <v>0</v>
      </c>
      <c r="R24">
        <v>1</v>
      </c>
      <c r="S24">
        <v>0</v>
      </c>
      <c r="T24">
        <v>0</v>
      </c>
      <c r="U24">
        <v>0</v>
      </c>
      <c r="V24">
        <v>1</v>
      </c>
      <c r="W24">
        <v>0</v>
      </c>
      <c r="X24">
        <v>1</v>
      </c>
      <c r="Y24">
        <v>0</v>
      </c>
      <c r="Z24">
        <v>0</v>
      </c>
      <c r="AA24">
        <v>0</v>
      </c>
      <c r="AB24">
        <v>0</v>
      </c>
      <c r="AC24">
        <v>0</v>
      </c>
      <c r="AD24">
        <v>0</v>
      </c>
      <c r="AE24">
        <v>0</v>
      </c>
      <c r="AF24">
        <v>0</v>
      </c>
      <c r="AG24">
        <v>0</v>
      </c>
      <c r="AH24">
        <v>1</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2</v>
      </c>
      <c r="BJ24">
        <v>0</v>
      </c>
      <c r="BK24">
        <v>0</v>
      </c>
      <c r="BL24">
        <v>0</v>
      </c>
      <c r="BM24">
        <v>0</v>
      </c>
      <c r="BN24">
        <v>0</v>
      </c>
      <c r="BO24">
        <v>0</v>
      </c>
      <c r="BP24">
        <v>0</v>
      </c>
      <c r="BQ24">
        <v>0</v>
      </c>
      <c r="BR24">
        <v>0</v>
      </c>
      <c r="BS24">
        <v>0</v>
      </c>
      <c r="BT24">
        <v>0</v>
      </c>
      <c r="BU24">
        <v>0</v>
      </c>
    </row>
    <row r="25" spans="1:73" x14ac:dyDescent="0.3">
      <c r="A25" t="s">
        <v>208</v>
      </c>
      <c r="B25">
        <v>0</v>
      </c>
      <c r="C25">
        <v>0</v>
      </c>
      <c r="D25">
        <v>1</v>
      </c>
      <c r="E25">
        <v>0</v>
      </c>
      <c r="F25">
        <v>0</v>
      </c>
      <c r="G25">
        <v>1</v>
      </c>
      <c r="H25">
        <v>0</v>
      </c>
      <c r="I25">
        <v>0</v>
      </c>
      <c r="J25">
        <v>0</v>
      </c>
      <c r="K25">
        <v>0</v>
      </c>
      <c r="L25">
        <v>0</v>
      </c>
      <c r="M25">
        <v>0</v>
      </c>
      <c r="N25">
        <v>0</v>
      </c>
      <c r="O25">
        <v>0</v>
      </c>
      <c r="P25">
        <v>0</v>
      </c>
      <c r="Q25">
        <v>0</v>
      </c>
      <c r="R25">
        <v>0</v>
      </c>
      <c r="S25">
        <v>0</v>
      </c>
      <c r="T25">
        <v>0</v>
      </c>
      <c r="U25">
        <v>0</v>
      </c>
      <c r="V25">
        <v>0</v>
      </c>
      <c r="W25">
        <v>0</v>
      </c>
      <c r="X25">
        <v>1</v>
      </c>
      <c r="Y25">
        <v>0</v>
      </c>
      <c r="Z25">
        <v>0</v>
      </c>
      <c r="AA25">
        <v>0</v>
      </c>
      <c r="AB25">
        <v>0</v>
      </c>
      <c r="AC25">
        <v>0</v>
      </c>
      <c r="AD25">
        <v>0</v>
      </c>
      <c r="AE25">
        <v>0</v>
      </c>
      <c r="AF25">
        <v>0</v>
      </c>
      <c r="AG25">
        <v>0</v>
      </c>
      <c r="AH25">
        <v>1</v>
      </c>
      <c r="AI25">
        <v>0</v>
      </c>
      <c r="AJ25">
        <v>0</v>
      </c>
      <c r="AK25">
        <v>0</v>
      </c>
      <c r="AL25">
        <v>0</v>
      </c>
      <c r="AM25">
        <v>0</v>
      </c>
      <c r="AN25">
        <v>0</v>
      </c>
      <c r="AO25">
        <v>0</v>
      </c>
      <c r="AP25">
        <v>0</v>
      </c>
      <c r="AQ25">
        <v>0</v>
      </c>
      <c r="AR25">
        <v>0</v>
      </c>
      <c r="AS25">
        <v>0</v>
      </c>
      <c r="AT25">
        <v>0</v>
      </c>
      <c r="AU25">
        <v>1</v>
      </c>
      <c r="AV25">
        <v>0</v>
      </c>
      <c r="AW25">
        <v>0</v>
      </c>
      <c r="AX25">
        <v>0</v>
      </c>
      <c r="AY25">
        <v>0</v>
      </c>
      <c r="AZ25">
        <v>1</v>
      </c>
      <c r="BA25">
        <v>0</v>
      </c>
      <c r="BB25">
        <v>0</v>
      </c>
      <c r="BC25">
        <v>0</v>
      </c>
      <c r="BD25">
        <v>0</v>
      </c>
      <c r="BE25">
        <v>0</v>
      </c>
      <c r="BF25">
        <v>0</v>
      </c>
      <c r="BG25">
        <v>0</v>
      </c>
      <c r="BH25">
        <v>0</v>
      </c>
      <c r="BI25">
        <v>1</v>
      </c>
      <c r="BJ25">
        <v>0</v>
      </c>
      <c r="BK25">
        <v>0</v>
      </c>
      <c r="BL25">
        <v>0</v>
      </c>
      <c r="BM25">
        <v>0</v>
      </c>
      <c r="BN25">
        <v>0</v>
      </c>
      <c r="BO25">
        <v>0</v>
      </c>
      <c r="BP25">
        <v>0</v>
      </c>
      <c r="BQ25">
        <v>0</v>
      </c>
      <c r="BR25">
        <v>0</v>
      </c>
      <c r="BS25">
        <v>0</v>
      </c>
      <c r="BT25">
        <v>0</v>
      </c>
      <c r="BU25">
        <v>0</v>
      </c>
    </row>
    <row r="26" spans="1:73" x14ac:dyDescent="0.3">
      <c r="A26" t="s">
        <v>172</v>
      </c>
      <c r="B26">
        <v>0</v>
      </c>
      <c r="C26">
        <v>0</v>
      </c>
      <c r="D26">
        <v>0</v>
      </c>
      <c r="E26">
        <v>0</v>
      </c>
      <c r="F26">
        <v>0</v>
      </c>
      <c r="G26">
        <v>0</v>
      </c>
      <c r="H26">
        <v>0</v>
      </c>
      <c r="I26">
        <v>0</v>
      </c>
      <c r="J26">
        <v>0</v>
      </c>
      <c r="K26">
        <v>0</v>
      </c>
      <c r="L26">
        <v>0</v>
      </c>
      <c r="M26">
        <v>0</v>
      </c>
      <c r="N26">
        <v>0</v>
      </c>
      <c r="O26">
        <v>0</v>
      </c>
      <c r="P26">
        <v>0</v>
      </c>
      <c r="Q26">
        <v>0</v>
      </c>
      <c r="R26">
        <v>1</v>
      </c>
      <c r="S26">
        <v>0</v>
      </c>
      <c r="T26">
        <v>0</v>
      </c>
      <c r="U26">
        <v>0</v>
      </c>
      <c r="V26">
        <v>0</v>
      </c>
      <c r="W26">
        <v>0</v>
      </c>
      <c r="X26">
        <v>0</v>
      </c>
      <c r="Y26">
        <v>0</v>
      </c>
      <c r="Z26">
        <v>0</v>
      </c>
      <c r="AA26">
        <v>0</v>
      </c>
      <c r="AB26">
        <v>0</v>
      </c>
      <c r="AC26">
        <v>0</v>
      </c>
      <c r="AD26">
        <v>0</v>
      </c>
      <c r="AE26">
        <v>0</v>
      </c>
      <c r="AF26">
        <v>0</v>
      </c>
      <c r="AG26">
        <v>0</v>
      </c>
      <c r="AH26">
        <v>0</v>
      </c>
      <c r="AI26">
        <v>1</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row>
    <row r="27" spans="1:73" x14ac:dyDescent="0.3">
      <c r="A27" t="s">
        <v>193</v>
      </c>
      <c r="B27">
        <v>0</v>
      </c>
      <c r="C27">
        <v>0</v>
      </c>
      <c r="D27">
        <v>0</v>
      </c>
      <c r="E27">
        <v>0</v>
      </c>
      <c r="F27">
        <v>0</v>
      </c>
      <c r="G27">
        <v>0</v>
      </c>
      <c r="H27">
        <v>0</v>
      </c>
      <c r="I27">
        <v>0</v>
      </c>
      <c r="J27">
        <v>0</v>
      </c>
      <c r="K27">
        <v>0</v>
      </c>
      <c r="L27">
        <v>0</v>
      </c>
      <c r="M27">
        <v>0</v>
      </c>
      <c r="N27">
        <v>0</v>
      </c>
      <c r="O27">
        <v>0</v>
      </c>
      <c r="P27">
        <v>0</v>
      </c>
      <c r="Q27">
        <v>0</v>
      </c>
      <c r="R27">
        <v>4</v>
      </c>
      <c r="S27">
        <v>2</v>
      </c>
      <c r="T27">
        <v>0</v>
      </c>
      <c r="U27">
        <v>0</v>
      </c>
      <c r="V27">
        <v>1</v>
      </c>
      <c r="W27">
        <v>0</v>
      </c>
      <c r="X27">
        <v>0</v>
      </c>
      <c r="Y27">
        <v>0</v>
      </c>
      <c r="Z27">
        <v>0</v>
      </c>
      <c r="AA27">
        <v>0</v>
      </c>
      <c r="AB27">
        <v>0</v>
      </c>
      <c r="AC27">
        <v>0</v>
      </c>
      <c r="AD27">
        <v>0</v>
      </c>
      <c r="AE27">
        <v>0</v>
      </c>
      <c r="AF27">
        <v>0</v>
      </c>
      <c r="AG27">
        <v>0</v>
      </c>
      <c r="AH27">
        <v>0</v>
      </c>
      <c r="AI27">
        <v>1</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3</v>
      </c>
      <c r="BJ27">
        <v>0</v>
      </c>
      <c r="BK27">
        <v>0</v>
      </c>
      <c r="BL27">
        <v>0</v>
      </c>
      <c r="BM27">
        <v>0</v>
      </c>
      <c r="BN27">
        <v>0</v>
      </c>
      <c r="BO27">
        <v>0</v>
      </c>
      <c r="BP27">
        <v>0</v>
      </c>
      <c r="BQ27">
        <v>0</v>
      </c>
      <c r="BR27">
        <v>0</v>
      </c>
      <c r="BS27">
        <v>0</v>
      </c>
      <c r="BT27">
        <v>0</v>
      </c>
      <c r="BU27">
        <v>0</v>
      </c>
    </row>
    <row r="28" spans="1:73" x14ac:dyDescent="0.3">
      <c r="A28" t="s">
        <v>192</v>
      </c>
      <c r="B28">
        <v>0</v>
      </c>
      <c r="C28">
        <v>0</v>
      </c>
      <c r="D28">
        <v>0</v>
      </c>
      <c r="E28">
        <v>0</v>
      </c>
      <c r="F28">
        <v>0</v>
      </c>
      <c r="G28">
        <v>0</v>
      </c>
      <c r="H28">
        <v>0</v>
      </c>
      <c r="I28">
        <v>0</v>
      </c>
      <c r="J28">
        <v>0</v>
      </c>
      <c r="K28">
        <v>0</v>
      </c>
      <c r="L28">
        <v>0</v>
      </c>
      <c r="M28">
        <v>0</v>
      </c>
      <c r="N28">
        <v>1</v>
      </c>
      <c r="O28">
        <v>0</v>
      </c>
      <c r="P28">
        <v>0</v>
      </c>
      <c r="Q28">
        <v>0</v>
      </c>
      <c r="R28">
        <v>0</v>
      </c>
      <c r="S28">
        <v>0</v>
      </c>
      <c r="T28">
        <v>0</v>
      </c>
      <c r="U28">
        <v>0</v>
      </c>
      <c r="V28">
        <v>1</v>
      </c>
      <c r="W28">
        <v>0</v>
      </c>
      <c r="X28">
        <v>1</v>
      </c>
      <c r="Y28">
        <v>0</v>
      </c>
      <c r="Z28">
        <v>0</v>
      </c>
      <c r="AA28">
        <v>0</v>
      </c>
      <c r="AB28">
        <v>0</v>
      </c>
      <c r="AC28">
        <v>0</v>
      </c>
      <c r="AD28">
        <v>0</v>
      </c>
      <c r="AE28">
        <v>1</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1</v>
      </c>
      <c r="BJ28">
        <v>1</v>
      </c>
      <c r="BK28">
        <v>0</v>
      </c>
      <c r="BL28">
        <v>0</v>
      </c>
      <c r="BM28">
        <v>0</v>
      </c>
      <c r="BN28">
        <v>0</v>
      </c>
      <c r="BO28">
        <v>0</v>
      </c>
      <c r="BP28">
        <v>0</v>
      </c>
      <c r="BQ28">
        <v>0</v>
      </c>
      <c r="BR28">
        <v>0</v>
      </c>
      <c r="BS28">
        <v>0</v>
      </c>
      <c r="BT28">
        <v>0</v>
      </c>
      <c r="BU28">
        <v>0</v>
      </c>
    </row>
    <row r="29" spans="1:73" x14ac:dyDescent="0.3">
      <c r="A29" t="s">
        <v>190</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1</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3</v>
      </c>
      <c r="BG29">
        <v>0</v>
      </c>
      <c r="BH29">
        <v>1</v>
      </c>
      <c r="BI29">
        <v>7</v>
      </c>
      <c r="BJ29">
        <v>0</v>
      </c>
      <c r="BK29">
        <v>0</v>
      </c>
      <c r="BL29">
        <v>0</v>
      </c>
      <c r="BM29">
        <v>0</v>
      </c>
      <c r="BN29">
        <v>0</v>
      </c>
      <c r="BO29">
        <v>0</v>
      </c>
      <c r="BP29">
        <v>0</v>
      </c>
      <c r="BQ29">
        <v>0</v>
      </c>
      <c r="BR29">
        <v>0</v>
      </c>
      <c r="BS29">
        <v>0</v>
      </c>
      <c r="BT29">
        <v>0</v>
      </c>
      <c r="BU29">
        <v>0</v>
      </c>
    </row>
    <row r="30" spans="1:73" x14ac:dyDescent="0.3">
      <c r="A30" t="s">
        <v>198</v>
      </c>
      <c r="B30">
        <v>0</v>
      </c>
      <c r="C30">
        <v>0</v>
      </c>
      <c r="D30">
        <v>0</v>
      </c>
      <c r="E30">
        <v>0</v>
      </c>
      <c r="F30">
        <v>0</v>
      </c>
      <c r="G30">
        <v>0</v>
      </c>
      <c r="H30">
        <v>0</v>
      </c>
      <c r="I30">
        <v>0</v>
      </c>
      <c r="J30">
        <v>0</v>
      </c>
      <c r="K30">
        <v>0</v>
      </c>
      <c r="L30">
        <v>0</v>
      </c>
      <c r="M30">
        <v>0</v>
      </c>
      <c r="N30">
        <v>0</v>
      </c>
      <c r="O30">
        <v>0</v>
      </c>
      <c r="P30">
        <v>0</v>
      </c>
      <c r="Q30">
        <v>0</v>
      </c>
      <c r="R30">
        <v>1</v>
      </c>
      <c r="S30">
        <v>0</v>
      </c>
      <c r="T30">
        <v>0</v>
      </c>
      <c r="U30">
        <v>0</v>
      </c>
      <c r="V30">
        <v>0</v>
      </c>
      <c r="W30">
        <v>0</v>
      </c>
      <c r="X30">
        <v>0</v>
      </c>
      <c r="Y30">
        <v>0</v>
      </c>
      <c r="Z30">
        <v>0</v>
      </c>
      <c r="AA30">
        <v>0</v>
      </c>
      <c r="AB30">
        <v>0</v>
      </c>
      <c r="AC30">
        <v>0</v>
      </c>
      <c r="AD30">
        <v>0</v>
      </c>
      <c r="AE30">
        <v>0</v>
      </c>
      <c r="AF30">
        <v>0</v>
      </c>
      <c r="AG30">
        <v>0</v>
      </c>
      <c r="AH30">
        <v>0</v>
      </c>
      <c r="AI30">
        <v>1</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row>
    <row r="31" spans="1:73" x14ac:dyDescent="0.3">
      <c r="A31" t="s">
        <v>202</v>
      </c>
      <c r="B31">
        <v>0</v>
      </c>
      <c r="C31">
        <v>0</v>
      </c>
      <c r="D31">
        <v>0</v>
      </c>
      <c r="E31">
        <v>0</v>
      </c>
      <c r="F31">
        <v>1</v>
      </c>
      <c r="G31">
        <v>1</v>
      </c>
      <c r="H31">
        <v>0</v>
      </c>
      <c r="I31">
        <v>0</v>
      </c>
      <c r="J31">
        <v>0</v>
      </c>
      <c r="K31">
        <v>0</v>
      </c>
      <c r="L31">
        <v>0</v>
      </c>
      <c r="M31">
        <v>0</v>
      </c>
      <c r="N31">
        <v>0</v>
      </c>
      <c r="O31">
        <v>0</v>
      </c>
      <c r="P31">
        <v>0</v>
      </c>
      <c r="Q31">
        <v>0</v>
      </c>
      <c r="R31">
        <v>1</v>
      </c>
      <c r="S31">
        <v>0</v>
      </c>
      <c r="T31">
        <v>0</v>
      </c>
      <c r="U31">
        <v>0</v>
      </c>
      <c r="V31">
        <v>0</v>
      </c>
      <c r="W31">
        <v>0</v>
      </c>
      <c r="X31">
        <v>2</v>
      </c>
      <c r="Y31">
        <v>0</v>
      </c>
      <c r="Z31">
        <v>0</v>
      </c>
      <c r="AA31">
        <v>0</v>
      </c>
      <c r="AB31">
        <v>0</v>
      </c>
      <c r="AC31">
        <v>0</v>
      </c>
      <c r="AD31">
        <v>0</v>
      </c>
      <c r="AE31">
        <v>0</v>
      </c>
      <c r="AF31">
        <v>0</v>
      </c>
      <c r="AG31">
        <v>0</v>
      </c>
      <c r="AH31">
        <v>2</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row>
    <row r="32" spans="1:73" x14ac:dyDescent="0.3">
      <c r="A32" t="s">
        <v>151</v>
      </c>
      <c r="B32">
        <v>0</v>
      </c>
      <c r="C32">
        <v>0</v>
      </c>
      <c r="D32">
        <v>0</v>
      </c>
      <c r="E32">
        <v>0</v>
      </c>
      <c r="F32">
        <v>0</v>
      </c>
      <c r="G32">
        <v>0</v>
      </c>
      <c r="H32">
        <v>1</v>
      </c>
      <c r="I32">
        <v>1</v>
      </c>
      <c r="J32">
        <v>0</v>
      </c>
      <c r="K32">
        <v>0</v>
      </c>
      <c r="L32">
        <v>0</v>
      </c>
      <c r="M32">
        <v>0</v>
      </c>
      <c r="N32">
        <v>0</v>
      </c>
      <c r="O32">
        <v>0</v>
      </c>
      <c r="P32">
        <v>0</v>
      </c>
      <c r="Q32">
        <v>0</v>
      </c>
      <c r="R32">
        <v>3</v>
      </c>
      <c r="S32">
        <v>0</v>
      </c>
      <c r="T32">
        <v>0</v>
      </c>
      <c r="U32">
        <v>0</v>
      </c>
      <c r="V32">
        <v>3</v>
      </c>
      <c r="W32">
        <v>0</v>
      </c>
      <c r="X32">
        <v>1</v>
      </c>
      <c r="Y32">
        <v>0</v>
      </c>
      <c r="Z32">
        <v>0</v>
      </c>
      <c r="AA32">
        <v>0</v>
      </c>
      <c r="AB32">
        <v>0</v>
      </c>
      <c r="AC32">
        <v>0</v>
      </c>
      <c r="AD32">
        <v>0</v>
      </c>
      <c r="AE32">
        <v>1</v>
      </c>
      <c r="AF32">
        <v>0</v>
      </c>
      <c r="AG32">
        <v>0</v>
      </c>
      <c r="AH32">
        <v>0</v>
      </c>
      <c r="AI32">
        <v>0</v>
      </c>
      <c r="AJ32">
        <v>0</v>
      </c>
      <c r="AK32">
        <v>0</v>
      </c>
      <c r="AL32">
        <v>0</v>
      </c>
      <c r="AM32">
        <v>0</v>
      </c>
      <c r="AN32">
        <v>0</v>
      </c>
      <c r="AO32">
        <v>0</v>
      </c>
      <c r="AP32">
        <v>0</v>
      </c>
      <c r="AQ32">
        <v>0</v>
      </c>
      <c r="AR32">
        <v>0</v>
      </c>
      <c r="AS32">
        <v>0</v>
      </c>
      <c r="AT32">
        <v>0</v>
      </c>
      <c r="AU32">
        <v>1</v>
      </c>
      <c r="AV32">
        <v>0</v>
      </c>
      <c r="AW32">
        <v>0</v>
      </c>
      <c r="AX32">
        <v>0</v>
      </c>
      <c r="AY32">
        <v>0</v>
      </c>
      <c r="AZ32">
        <v>2</v>
      </c>
      <c r="BA32">
        <v>0</v>
      </c>
      <c r="BB32">
        <v>0</v>
      </c>
      <c r="BC32">
        <v>0</v>
      </c>
      <c r="BD32">
        <v>0</v>
      </c>
      <c r="BE32">
        <v>0</v>
      </c>
      <c r="BF32">
        <v>1</v>
      </c>
      <c r="BG32">
        <v>0</v>
      </c>
      <c r="BH32">
        <v>2</v>
      </c>
      <c r="BI32">
        <v>16</v>
      </c>
      <c r="BJ32">
        <v>0</v>
      </c>
      <c r="BK32">
        <v>0</v>
      </c>
      <c r="BL32">
        <v>0</v>
      </c>
      <c r="BM32">
        <v>2</v>
      </c>
      <c r="BN32">
        <v>0</v>
      </c>
      <c r="BO32">
        <v>0</v>
      </c>
      <c r="BP32">
        <v>2</v>
      </c>
      <c r="BQ32">
        <v>0</v>
      </c>
      <c r="BR32">
        <v>0</v>
      </c>
      <c r="BS32">
        <v>0</v>
      </c>
      <c r="BT32">
        <v>0</v>
      </c>
      <c r="BU32">
        <v>0</v>
      </c>
    </row>
    <row r="33" spans="1:73" x14ac:dyDescent="0.3">
      <c r="A33" t="s">
        <v>185</v>
      </c>
      <c r="B33">
        <v>0</v>
      </c>
      <c r="C33">
        <v>0</v>
      </c>
      <c r="D33">
        <v>0</v>
      </c>
      <c r="E33">
        <v>0</v>
      </c>
      <c r="F33">
        <v>0</v>
      </c>
      <c r="G33">
        <v>0</v>
      </c>
      <c r="H33">
        <v>0</v>
      </c>
      <c r="I33">
        <v>0</v>
      </c>
      <c r="J33">
        <v>0</v>
      </c>
      <c r="K33">
        <v>0</v>
      </c>
      <c r="L33">
        <v>0</v>
      </c>
      <c r="M33">
        <v>0</v>
      </c>
      <c r="N33">
        <v>0</v>
      </c>
      <c r="O33">
        <v>1</v>
      </c>
      <c r="P33">
        <v>0</v>
      </c>
      <c r="Q33">
        <v>0</v>
      </c>
      <c r="R33">
        <v>4</v>
      </c>
      <c r="S33">
        <v>0</v>
      </c>
      <c r="T33">
        <v>0</v>
      </c>
      <c r="U33">
        <v>0</v>
      </c>
      <c r="V33">
        <v>1</v>
      </c>
      <c r="W33">
        <v>0</v>
      </c>
      <c r="X33">
        <v>4</v>
      </c>
      <c r="Y33">
        <v>0</v>
      </c>
      <c r="Z33">
        <v>0</v>
      </c>
      <c r="AA33">
        <v>0</v>
      </c>
      <c r="AB33">
        <v>0</v>
      </c>
      <c r="AC33">
        <v>0</v>
      </c>
      <c r="AD33">
        <v>0</v>
      </c>
      <c r="AE33">
        <v>0</v>
      </c>
      <c r="AF33">
        <v>1</v>
      </c>
      <c r="AG33">
        <v>0</v>
      </c>
      <c r="AH33">
        <v>3</v>
      </c>
      <c r="AI33">
        <v>1</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4</v>
      </c>
      <c r="BG33">
        <v>0</v>
      </c>
      <c r="BH33">
        <v>4</v>
      </c>
      <c r="BI33">
        <v>3</v>
      </c>
      <c r="BJ33">
        <v>0</v>
      </c>
      <c r="BK33">
        <v>0</v>
      </c>
      <c r="BL33">
        <v>0</v>
      </c>
      <c r="BM33">
        <v>1</v>
      </c>
      <c r="BN33">
        <v>0</v>
      </c>
      <c r="BO33">
        <v>0</v>
      </c>
      <c r="BP33">
        <v>0</v>
      </c>
      <c r="BQ33">
        <v>0</v>
      </c>
      <c r="BR33">
        <v>0</v>
      </c>
      <c r="BS33">
        <v>0</v>
      </c>
      <c r="BT33">
        <v>1</v>
      </c>
      <c r="BU33">
        <v>1</v>
      </c>
    </row>
    <row r="34" spans="1:73" x14ac:dyDescent="0.3">
      <c r="A34" t="s">
        <v>188</v>
      </c>
      <c r="B34">
        <v>1</v>
      </c>
      <c r="C34">
        <v>0</v>
      </c>
      <c r="D34">
        <v>2</v>
      </c>
      <c r="E34">
        <v>0</v>
      </c>
      <c r="F34">
        <v>1</v>
      </c>
      <c r="G34">
        <v>1</v>
      </c>
      <c r="H34">
        <v>0</v>
      </c>
      <c r="I34">
        <v>0</v>
      </c>
      <c r="J34">
        <v>1</v>
      </c>
      <c r="K34">
        <v>0</v>
      </c>
      <c r="L34">
        <v>0</v>
      </c>
      <c r="M34">
        <v>0</v>
      </c>
      <c r="N34">
        <v>2</v>
      </c>
      <c r="O34">
        <v>1</v>
      </c>
      <c r="P34">
        <v>0</v>
      </c>
      <c r="Q34">
        <v>1</v>
      </c>
      <c r="R34">
        <v>1</v>
      </c>
      <c r="S34">
        <v>2</v>
      </c>
      <c r="T34">
        <v>0</v>
      </c>
      <c r="U34">
        <v>0</v>
      </c>
      <c r="V34">
        <v>4</v>
      </c>
      <c r="W34">
        <v>0</v>
      </c>
      <c r="X34">
        <v>2</v>
      </c>
      <c r="Y34">
        <v>1</v>
      </c>
      <c r="Z34">
        <v>0</v>
      </c>
      <c r="AA34">
        <v>0</v>
      </c>
      <c r="AB34">
        <v>0</v>
      </c>
      <c r="AC34">
        <v>0</v>
      </c>
      <c r="AD34">
        <v>0</v>
      </c>
      <c r="AE34">
        <v>0</v>
      </c>
      <c r="AF34">
        <v>0</v>
      </c>
      <c r="AG34">
        <v>0</v>
      </c>
      <c r="AH34">
        <v>1</v>
      </c>
      <c r="AI34">
        <v>1</v>
      </c>
      <c r="AJ34">
        <v>0</v>
      </c>
      <c r="AK34">
        <v>1</v>
      </c>
      <c r="AL34">
        <v>0</v>
      </c>
      <c r="AM34">
        <v>0</v>
      </c>
      <c r="AN34">
        <v>0</v>
      </c>
      <c r="AO34">
        <v>0</v>
      </c>
      <c r="AP34">
        <v>0</v>
      </c>
      <c r="AQ34">
        <v>0</v>
      </c>
      <c r="AR34">
        <v>1</v>
      </c>
      <c r="AS34">
        <v>0</v>
      </c>
      <c r="AT34">
        <v>0</v>
      </c>
      <c r="AU34">
        <v>0</v>
      </c>
      <c r="AV34">
        <v>0</v>
      </c>
      <c r="AW34">
        <v>0</v>
      </c>
      <c r="AX34">
        <v>0</v>
      </c>
      <c r="AY34">
        <v>0</v>
      </c>
      <c r="AZ34">
        <v>0</v>
      </c>
      <c r="BA34">
        <v>0</v>
      </c>
      <c r="BB34">
        <v>0</v>
      </c>
      <c r="BC34">
        <v>0</v>
      </c>
      <c r="BD34">
        <v>0</v>
      </c>
      <c r="BE34">
        <v>0</v>
      </c>
      <c r="BF34">
        <v>0</v>
      </c>
      <c r="BG34">
        <v>0</v>
      </c>
      <c r="BH34">
        <v>1</v>
      </c>
      <c r="BI34">
        <v>4</v>
      </c>
      <c r="BJ34">
        <v>0</v>
      </c>
      <c r="BK34">
        <v>0</v>
      </c>
      <c r="BL34">
        <v>0</v>
      </c>
      <c r="BM34">
        <v>0</v>
      </c>
      <c r="BN34">
        <v>0</v>
      </c>
      <c r="BO34">
        <v>0</v>
      </c>
      <c r="BP34">
        <v>0</v>
      </c>
      <c r="BQ34">
        <v>0</v>
      </c>
      <c r="BR34">
        <v>0</v>
      </c>
      <c r="BS34">
        <v>0</v>
      </c>
      <c r="BT34">
        <v>0</v>
      </c>
      <c r="BU34">
        <v>0</v>
      </c>
    </row>
    <row r="35" spans="1:73" x14ac:dyDescent="0.3">
      <c r="A35" t="s">
        <v>177</v>
      </c>
      <c r="B35">
        <v>0</v>
      </c>
      <c r="C35">
        <v>0</v>
      </c>
      <c r="D35">
        <v>0</v>
      </c>
      <c r="E35">
        <v>0</v>
      </c>
      <c r="F35">
        <v>0</v>
      </c>
      <c r="G35">
        <v>0</v>
      </c>
      <c r="H35">
        <v>0</v>
      </c>
      <c r="I35">
        <v>0</v>
      </c>
      <c r="J35">
        <v>0</v>
      </c>
      <c r="K35">
        <v>0</v>
      </c>
      <c r="L35">
        <v>0</v>
      </c>
      <c r="M35">
        <v>0</v>
      </c>
      <c r="N35">
        <v>0</v>
      </c>
      <c r="O35">
        <v>0</v>
      </c>
      <c r="P35">
        <v>0</v>
      </c>
      <c r="Q35">
        <v>0</v>
      </c>
      <c r="R35">
        <v>1</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1</v>
      </c>
      <c r="AP35">
        <v>0</v>
      </c>
      <c r="AQ35">
        <v>0</v>
      </c>
      <c r="AR35">
        <v>0</v>
      </c>
      <c r="AS35">
        <v>0</v>
      </c>
      <c r="AT35">
        <v>0</v>
      </c>
      <c r="AU35">
        <v>0</v>
      </c>
      <c r="AV35">
        <v>0</v>
      </c>
      <c r="AW35">
        <v>0</v>
      </c>
      <c r="AX35">
        <v>0</v>
      </c>
      <c r="AY35">
        <v>0</v>
      </c>
      <c r="AZ35">
        <v>0</v>
      </c>
      <c r="BA35">
        <v>0</v>
      </c>
      <c r="BB35">
        <v>0</v>
      </c>
      <c r="BC35">
        <v>0</v>
      </c>
      <c r="BD35">
        <v>0</v>
      </c>
      <c r="BE35">
        <v>0</v>
      </c>
      <c r="BF35">
        <v>0</v>
      </c>
      <c r="BG35">
        <v>0</v>
      </c>
      <c r="BH35">
        <v>1</v>
      </c>
      <c r="BI35">
        <v>3</v>
      </c>
      <c r="BJ35">
        <v>0</v>
      </c>
      <c r="BK35">
        <v>0</v>
      </c>
      <c r="BL35">
        <v>0</v>
      </c>
      <c r="BM35">
        <v>0</v>
      </c>
      <c r="BN35">
        <v>0</v>
      </c>
      <c r="BO35">
        <v>0</v>
      </c>
      <c r="BP35">
        <v>0</v>
      </c>
      <c r="BQ35">
        <v>0</v>
      </c>
      <c r="BR35">
        <v>0</v>
      </c>
      <c r="BS35">
        <v>0</v>
      </c>
      <c r="BT35">
        <v>0</v>
      </c>
      <c r="BU35">
        <v>0</v>
      </c>
    </row>
    <row r="36" spans="1:73" x14ac:dyDescent="0.3">
      <c r="A36" t="s">
        <v>160</v>
      </c>
      <c r="B36">
        <v>0</v>
      </c>
      <c r="C36">
        <v>0</v>
      </c>
      <c r="D36">
        <v>0</v>
      </c>
      <c r="E36">
        <v>0</v>
      </c>
      <c r="F36">
        <v>1</v>
      </c>
      <c r="G36">
        <v>0</v>
      </c>
      <c r="H36">
        <v>0</v>
      </c>
      <c r="I36">
        <v>4</v>
      </c>
      <c r="J36">
        <v>0</v>
      </c>
      <c r="K36">
        <v>0</v>
      </c>
      <c r="L36">
        <v>0</v>
      </c>
      <c r="M36">
        <v>0</v>
      </c>
      <c r="N36">
        <v>1</v>
      </c>
      <c r="O36">
        <v>0</v>
      </c>
      <c r="P36">
        <v>0</v>
      </c>
      <c r="Q36">
        <v>1</v>
      </c>
      <c r="R36">
        <v>1</v>
      </c>
      <c r="S36">
        <v>0</v>
      </c>
      <c r="T36">
        <v>1</v>
      </c>
      <c r="U36">
        <v>0</v>
      </c>
      <c r="V36">
        <v>1</v>
      </c>
      <c r="W36">
        <v>0</v>
      </c>
      <c r="X36">
        <v>2</v>
      </c>
      <c r="Y36">
        <v>0</v>
      </c>
      <c r="Z36">
        <v>0</v>
      </c>
      <c r="AA36">
        <v>0</v>
      </c>
      <c r="AB36">
        <v>0</v>
      </c>
      <c r="AC36">
        <v>0</v>
      </c>
      <c r="AD36">
        <v>0</v>
      </c>
      <c r="AE36">
        <v>1</v>
      </c>
      <c r="AF36">
        <v>0</v>
      </c>
      <c r="AG36">
        <v>0</v>
      </c>
      <c r="AH36">
        <v>1</v>
      </c>
      <c r="AI36">
        <v>0</v>
      </c>
      <c r="AJ36">
        <v>0</v>
      </c>
      <c r="AK36">
        <v>0</v>
      </c>
      <c r="AL36">
        <v>0</v>
      </c>
      <c r="AM36">
        <v>0</v>
      </c>
      <c r="AN36">
        <v>0</v>
      </c>
      <c r="AO36">
        <v>0</v>
      </c>
      <c r="AP36">
        <v>0</v>
      </c>
      <c r="AQ36">
        <v>0</v>
      </c>
      <c r="AR36">
        <v>0</v>
      </c>
      <c r="AS36">
        <v>0</v>
      </c>
      <c r="AT36">
        <v>0</v>
      </c>
      <c r="AU36">
        <v>0</v>
      </c>
      <c r="AV36">
        <v>0</v>
      </c>
      <c r="AW36">
        <v>0</v>
      </c>
      <c r="AX36">
        <v>0</v>
      </c>
      <c r="AY36">
        <v>0</v>
      </c>
      <c r="AZ36">
        <v>1</v>
      </c>
      <c r="BA36">
        <v>0</v>
      </c>
      <c r="BB36">
        <v>0</v>
      </c>
      <c r="BC36">
        <v>0</v>
      </c>
      <c r="BD36">
        <v>0</v>
      </c>
      <c r="BE36">
        <v>0</v>
      </c>
      <c r="BF36">
        <v>4</v>
      </c>
      <c r="BG36">
        <v>0</v>
      </c>
      <c r="BH36">
        <v>4</v>
      </c>
      <c r="BI36">
        <v>8</v>
      </c>
      <c r="BJ36">
        <v>0</v>
      </c>
      <c r="BK36">
        <v>0</v>
      </c>
      <c r="BL36">
        <v>0</v>
      </c>
      <c r="BM36">
        <v>0</v>
      </c>
      <c r="BN36">
        <v>0</v>
      </c>
      <c r="BO36">
        <v>0</v>
      </c>
      <c r="BP36">
        <v>1</v>
      </c>
      <c r="BQ36">
        <v>0</v>
      </c>
      <c r="BR36">
        <v>0</v>
      </c>
      <c r="BS36">
        <v>0</v>
      </c>
      <c r="BT36">
        <v>0</v>
      </c>
      <c r="BU36">
        <v>0</v>
      </c>
    </row>
    <row r="37" spans="1:73" x14ac:dyDescent="0.3">
      <c r="A37" t="s">
        <v>168</v>
      </c>
      <c r="B37">
        <v>0</v>
      </c>
      <c r="C37">
        <v>0</v>
      </c>
      <c r="D37">
        <v>0</v>
      </c>
      <c r="E37">
        <v>0</v>
      </c>
      <c r="F37">
        <v>0</v>
      </c>
      <c r="G37">
        <v>0</v>
      </c>
      <c r="H37">
        <v>0</v>
      </c>
      <c r="I37">
        <v>0</v>
      </c>
      <c r="J37">
        <v>0</v>
      </c>
      <c r="K37">
        <v>0</v>
      </c>
      <c r="L37">
        <v>0</v>
      </c>
      <c r="M37">
        <v>0</v>
      </c>
      <c r="N37">
        <v>0</v>
      </c>
      <c r="O37">
        <v>0</v>
      </c>
      <c r="P37">
        <v>0</v>
      </c>
      <c r="Q37">
        <v>0</v>
      </c>
      <c r="R37">
        <v>0</v>
      </c>
      <c r="S37">
        <v>1</v>
      </c>
      <c r="T37">
        <v>0</v>
      </c>
      <c r="U37">
        <v>0</v>
      </c>
      <c r="V37">
        <v>0</v>
      </c>
      <c r="W37">
        <v>0</v>
      </c>
      <c r="X37">
        <v>1</v>
      </c>
      <c r="Y37">
        <v>0</v>
      </c>
      <c r="Z37">
        <v>0</v>
      </c>
      <c r="AA37">
        <v>0</v>
      </c>
      <c r="AB37">
        <v>0</v>
      </c>
      <c r="AC37">
        <v>0</v>
      </c>
      <c r="AD37">
        <v>0</v>
      </c>
      <c r="AE37">
        <v>0</v>
      </c>
      <c r="AF37">
        <v>0</v>
      </c>
      <c r="AG37">
        <v>0</v>
      </c>
      <c r="AH37">
        <v>1</v>
      </c>
      <c r="AI37">
        <v>3</v>
      </c>
      <c r="AJ37">
        <v>0</v>
      </c>
      <c r="AK37">
        <v>0</v>
      </c>
      <c r="AL37">
        <v>0</v>
      </c>
      <c r="AM37">
        <v>0</v>
      </c>
      <c r="AN37">
        <v>0</v>
      </c>
      <c r="AO37">
        <v>0</v>
      </c>
      <c r="AP37">
        <v>0</v>
      </c>
      <c r="AQ37">
        <v>0</v>
      </c>
      <c r="AR37">
        <v>0</v>
      </c>
      <c r="AS37">
        <v>0</v>
      </c>
      <c r="AT37">
        <v>0</v>
      </c>
      <c r="AU37">
        <v>0</v>
      </c>
      <c r="AV37">
        <v>0</v>
      </c>
      <c r="AW37">
        <v>0</v>
      </c>
      <c r="AX37">
        <v>0</v>
      </c>
      <c r="AY37">
        <v>0</v>
      </c>
      <c r="AZ37">
        <v>1</v>
      </c>
      <c r="BA37">
        <v>0</v>
      </c>
      <c r="BB37">
        <v>1</v>
      </c>
      <c r="BC37">
        <v>0</v>
      </c>
      <c r="BD37">
        <v>1</v>
      </c>
      <c r="BE37">
        <v>0</v>
      </c>
      <c r="BF37">
        <v>0</v>
      </c>
      <c r="BG37">
        <v>0</v>
      </c>
      <c r="BH37">
        <v>0</v>
      </c>
      <c r="BI37">
        <v>5</v>
      </c>
      <c r="BJ37">
        <v>0</v>
      </c>
      <c r="BK37">
        <v>0</v>
      </c>
      <c r="BL37">
        <v>0</v>
      </c>
      <c r="BM37">
        <v>0</v>
      </c>
      <c r="BN37">
        <v>0</v>
      </c>
      <c r="BO37">
        <v>0</v>
      </c>
      <c r="BP37">
        <v>1</v>
      </c>
      <c r="BQ37">
        <v>0</v>
      </c>
      <c r="BR37">
        <v>0</v>
      </c>
      <c r="BS37">
        <v>0</v>
      </c>
      <c r="BT37">
        <v>0</v>
      </c>
      <c r="BU37">
        <v>0</v>
      </c>
    </row>
    <row r="38" spans="1:73" x14ac:dyDescent="0.3">
      <c r="A38" t="s">
        <v>209</v>
      </c>
      <c r="B38">
        <v>0</v>
      </c>
      <c r="C38">
        <v>0</v>
      </c>
      <c r="D38">
        <v>0</v>
      </c>
      <c r="E38">
        <v>0</v>
      </c>
      <c r="F38">
        <v>0</v>
      </c>
      <c r="G38">
        <v>0</v>
      </c>
      <c r="H38">
        <v>0</v>
      </c>
      <c r="I38">
        <v>0</v>
      </c>
      <c r="J38">
        <v>0</v>
      </c>
      <c r="K38">
        <v>0</v>
      </c>
      <c r="L38">
        <v>0</v>
      </c>
      <c r="M38">
        <v>0</v>
      </c>
      <c r="N38">
        <v>1</v>
      </c>
      <c r="O38">
        <v>0</v>
      </c>
      <c r="P38">
        <v>0</v>
      </c>
      <c r="Q38">
        <v>0</v>
      </c>
      <c r="R38">
        <v>0</v>
      </c>
      <c r="S38">
        <v>0</v>
      </c>
      <c r="T38">
        <v>0</v>
      </c>
      <c r="U38">
        <v>0</v>
      </c>
      <c r="V38">
        <v>1</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1</v>
      </c>
      <c r="AU38">
        <v>1</v>
      </c>
      <c r="AV38">
        <v>0</v>
      </c>
      <c r="AW38">
        <v>0</v>
      </c>
      <c r="AX38">
        <v>0</v>
      </c>
      <c r="AY38">
        <v>0</v>
      </c>
      <c r="AZ38">
        <v>0</v>
      </c>
      <c r="BA38">
        <v>0</v>
      </c>
      <c r="BB38">
        <v>0</v>
      </c>
      <c r="BC38">
        <v>0</v>
      </c>
      <c r="BD38">
        <v>0</v>
      </c>
      <c r="BE38">
        <v>0</v>
      </c>
      <c r="BF38">
        <v>0</v>
      </c>
      <c r="BG38">
        <v>0</v>
      </c>
      <c r="BH38">
        <v>0</v>
      </c>
      <c r="BI38">
        <v>1</v>
      </c>
      <c r="BJ38">
        <v>0</v>
      </c>
      <c r="BK38">
        <v>1</v>
      </c>
      <c r="BL38">
        <v>0</v>
      </c>
      <c r="BM38">
        <v>0</v>
      </c>
      <c r="BN38">
        <v>0</v>
      </c>
      <c r="BO38">
        <v>0</v>
      </c>
      <c r="BP38">
        <v>0</v>
      </c>
      <c r="BQ38">
        <v>0</v>
      </c>
      <c r="BR38">
        <v>0</v>
      </c>
      <c r="BS38">
        <v>0</v>
      </c>
      <c r="BT38">
        <v>0</v>
      </c>
      <c r="BU38">
        <v>0</v>
      </c>
    </row>
    <row r="39" spans="1:73" x14ac:dyDescent="0.3">
      <c r="A39" t="s">
        <v>180</v>
      </c>
      <c r="B39">
        <v>0</v>
      </c>
      <c r="C39">
        <v>0</v>
      </c>
      <c r="D39">
        <v>0</v>
      </c>
      <c r="E39">
        <v>0</v>
      </c>
      <c r="F39">
        <v>0</v>
      </c>
      <c r="G39">
        <v>0</v>
      </c>
      <c r="H39">
        <v>0</v>
      </c>
      <c r="I39">
        <v>0</v>
      </c>
      <c r="J39">
        <v>0</v>
      </c>
      <c r="K39">
        <v>0</v>
      </c>
      <c r="L39">
        <v>0</v>
      </c>
      <c r="M39">
        <v>0</v>
      </c>
      <c r="N39">
        <v>0</v>
      </c>
      <c r="O39">
        <v>0</v>
      </c>
      <c r="P39">
        <v>0</v>
      </c>
      <c r="Q39">
        <v>0</v>
      </c>
      <c r="R39">
        <v>2</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row>
    <row r="40" spans="1:73" x14ac:dyDescent="0.3">
      <c r="A40" t="s">
        <v>169</v>
      </c>
      <c r="B40">
        <v>0</v>
      </c>
      <c r="C40">
        <v>0</v>
      </c>
      <c r="D40">
        <v>1</v>
      </c>
      <c r="E40">
        <v>2</v>
      </c>
      <c r="F40">
        <v>0</v>
      </c>
      <c r="G40">
        <v>0</v>
      </c>
      <c r="H40">
        <v>0</v>
      </c>
      <c r="I40">
        <v>0</v>
      </c>
      <c r="J40">
        <v>0</v>
      </c>
      <c r="K40">
        <v>0</v>
      </c>
      <c r="L40">
        <v>0</v>
      </c>
      <c r="M40">
        <v>0</v>
      </c>
      <c r="N40">
        <v>0</v>
      </c>
      <c r="O40">
        <v>1</v>
      </c>
      <c r="P40">
        <v>0</v>
      </c>
      <c r="Q40">
        <v>0</v>
      </c>
      <c r="R40">
        <v>1</v>
      </c>
      <c r="S40">
        <v>0</v>
      </c>
      <c r="T40">
        <v>0</v>
      </c>
      <c r="U40">
        <v>0</v>
      </c>
      <c r="V40">
        <v>0</v>
      </c>
      <c r="W40">
        <v>0</v>
      </c>
      <c r="X40">
        <v>1</v>
      </c>
      <c r="Y40">
        <v>0</v>
      </c>
      <c r="Z40">
        <v>0</v>
      </c>
      <c r="AA40">
        <v>0</v>
      </c>
      <c r="AB40">
        <v>0</v>
      </c>
      <c r="AC40">
        <v>0</v>
      </c>
      <c r="AD40">
        <v>0</v>
      </c>
      <c r="AE40">
        <v>1</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6</v>
      </c>
      <c r="BA40">
        <v>0</v>
      </c>
      <c r="BB40">
        <v>0</v>
      </c>
      <c r="BC40">
        <v>0</v>
      </c>
      <c r="BD40">
        <v>0</v>
      </c>
      <c r="BE40">
        <v>0</v>
      </c>
      <c r="BF40">
        <v>0</v>
      </c>
      <c r="BG40">
        <v>1</v>
      </c>
      <c r="BH40">
        <v>1</v>
      </c>
      <c r="BI40">
        <v>1</v>
      </c>
      <c r="BJ40">
        <v>0</v>
      </c>
      <c r="BK40">
        <v>0</v>
      </c>
      <c r="BL40">
        <v>0</v>
      </c>
      <c r="BM40">
        <v>0</v>
      </c>
      <c r="BN40">
        <v>0</v>
      </c>
      <c r="BO40">
        <v>0</v>
      </c>
      <c r="BP40">
        <v>0</v>
      </c>
      <c r="BQ40">
        <v>0</v>
      </c>
      <c r="BR40">
        <v>1</v>
      </c>
      <c r="BS40">
        <v>0</v>
      </c>
      <c r="BT40">
        <v>0</v>
      </c>
      <c r="BU40">
        <v>0</v>
      </c>
    </row>
    <row r="41" spans="1:73" x14ac:dyDescent="0.3">
      <c r="A41" t="s">
        <v>159</v>
      </c>
      <c r="B41">
        <v>0</v>
      </c>
      <c r="C41">
        <v>0</v>
      </c>
      <c r="D41">
        <v>0</v>
      </c>
      <c r="E41">
        <v>0</v>
      </c>
      <c r="F41">
        <v>0</v>
      </c>
      <c r="G41">
        <v>0</v>
      </c>
      <c r="H41">
        <v>0</v>
      </c>
      <c r="I41">
        <v>0</v>
      </c>
      <c r="J41">
        <v>0</v>
      </c>
      <c r="K41">
        <v>0</v>
      </c>
      <c r="L41">
        <v>0</v>
      </c>
      <c r="M41">
        <v>1</v>
      </c>
      <c r="N41">
        <v>1</v>
      </c>
      <c r="O41">
        <v>0</v>
      </c>
      <c r="P41">
        <v>0</v>
      </c>
      <c r="Q41">
        <v>0</v>
      </c>
      <c r="R41">
        <v>0</v>
      </c>
      <c r="S41">
        <v>0</v>
      </c>
      <c r="T41">
        <v>0</v>
      </c>
      <c r="U41">
        <v>0</v>
      </c>
      <c r="V41">
        <v>4</v>
      </c>
      <c r="W41">
        <v>1</v>
      </c>
      <c r="X41">
        <v>2</v>
      </c>
      <c r="Y41">
        <v>0</v>
      </c>
      <c r="Z41">
        <v>0</v>
      </c>
      <c r="AA41">
        <v>0</v>
      </c>
      <c r="AB41">
        <v>0</v>
      </c>
      <c r="AC41">
        <v>0</v>
      </c>
      <c r="AD41">
        <v>0</v>
      </c>
      <c r="AE41">
        <v>0</v>
      </c>
      <c r="AF41">
        <v>0</v>
      </c>
      <c r="AG41">
        <v>0</v>
      </c>
      <c r="AH41">
        <v>2</v>
      </c>
      <c r="AI41">
        <v>2</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1</v>
      </c>
      <c r="BG41">
        <v>0</v>
      </c>
      <c r="BH41">
        <v>1</v>
      </c>
      <c r="BI41">
        <v>5</v>
      </c>
      <c r="BJ41">
        <v>0</v>
      </c>
      <c r="BK41">
        <v>0</v>
      </c>
      <c r="BL41">
        <v>0</v>
      </c>
      <c r="BM41">
        <v>0</v>
      </c>
      <c r="BN41">
        <v>0</v>
      </c>
      <c r="BO41">
        <v>0</v>
      </c>
      <c r="BP41">
        <v>0</v>
      </c>
      <c r="BQ41">
        <v>0</v>
      </c>
      <c r="BR41">
        <v>1</v>
      </c>
      <c r="BS41">
        <v>0</v>
      </c>
      <c r="BT41">
        <v>0</v>
      </c>
      <c r="BU41">
        <v>0</v>
      </c>
    </row>
    <row r="42" spans="1:73" x14ac:dyDescent="0.3">
      <c r="A42" t="s">
        <v>154</v>
      </c>
      <c r="B42">
        <v>0</v>
      </c>
      <c r="C42">
        <v>0</v>
      </c>
      <c r="D42">
        <v>0</v>
      </c>
      <c r="E42">
        <v>0</v>
      </c>
      <c r="F42">
        <v>0</v>
      </c>
      <c r="G42">
        <v>0</v>
      </c>
      <c r="H42">
        <v>0</v>
      </c>
      <c r="I42">
        <v>1</v>
      </c>
      <c r="J42">
        <v>0</v>
      </c>
      <c r="K42">
        <v>0</v>
      </c>
      <c r="L42">
        <v>0</v>
      </c>
      <c r="M42">
        <v>0</v>
      </c>
      <c r="N42">
        <v>2</v>
      </c>
      <c r="O42">
        <v>0</v>
      </c>
      <c r="P42">
        <v>0</v>
      </c>
      <c r="Q42">
        <v>0</v>
      </c>
      <c r="R42">
        <v>1</v>
      </c>
      <c r="S42">
        <v>0</v>
      </c>
      <c r="T42">
        <v>0</v>
      </c>
      <c r="U42">
        <v>0</v>
      </c>
      <c r="V42">
        <v>2</v>
      </c>
      <c r="W42">
        <v>0</v>
      </c>
      <c r="X42">
        <v>1</v>
      </c>
      <c r="Y42">
        <v>0</v>
      </c>
      <c r="Z42">
        <v>0</v>
      </c>
      <c r="AA42">
        <v>0</v>
      </c>
      <c r="AB42">
        <v>0</v>
      </c>
      <c r="AC42">
        <v>0</v>
      </c>
      <c r="AD42">
        <v>0</v>
      </c>
      <c r="AE42">
        <v>0</v>
      </c>
      <c r="AF42">
        <v>0</v>
      </c>
      <c r="AG42">
        <v>0</v>
      </c>
      <c r="AH42">
        <v>1</v>
      </c>
      <c r="AI42">
        <v>4</v>
      </c>
      <c r="AJ42">
        <v>0</v>
      </c>
      <c r="AK42">
        <v>0</v>
      </c>
      <c r="AL42">
        <v>0</v>
      </c>
      <c r="AM42">
        <v>0</v>
      </c>
      <c r="AN42">
        <v>0</v>
      </c>
      <c r="AO42">
        <v>0</v>
      </c>
      <c r="AP42">
        <v>0</v>
      </c>
      <c r="AQ42">
        <v>0</v>
      </c>
      <c r="AR42">
        <v>0</v>
      </c>
      <c r="AS42">
        <v>0</v>
      </c>
      <c r="AT42">
        <v>0</v>
      </c>
      <c r="AU42">
        <v>1</v>
      </c>
      <c r="AV42">
        <v>0</v>
      </c>
      <c r="AW42">
        <v>0</v>
      </c>
      <c r="AX42">
        <v>0</v>
      </c>
      <c r="AY42">
        <v>0</v>
      </c>
      <c r="AZ42">
        <v>0</v>
      </c>
      <c r="BA42">
        <v>0</v>
      </c>
      <c r="BB42">
        <v>0</v>
      </c>
      <c r="BC42">
        <v>0</v>
      </c>
      <c r="BD42">
        <v>1</v>
      </c>
      <c r="BE42">
        <v>0</v>
      </c>
      <c r="BF42">
        <v>0</v>
      </c>
      <c r="BG42">
        <v>1</v>
      </c>
      <c r="BH42">
        <v>1</v>
      </c>
      <c r="BI42">
        <v>14</v>
      </c>
      <c r="BJ42">
        <v>0</v>
      </c>
      <c r="BK42">
        <v>0</v>
      </c>
      <c r="BL42">
        <v>0</v>
      </c>
      <c r="BM42">
        <v>0</v>
      </c>
      <c r="BN42">
        <v>0</v>
      </c>
      <c r="BO42">
        <v>0</v>
      </c>
      <c r="BP42">
        <v>3</v>
      </c>
      <c r="BQ42">
        <v>0</v>
      </c>
      <c r="BR42">
        <v>0</v>
      </c>
      <c r="BS42">
        <v>0</v>
      </c>
      <c r="BT42">
        <v>0</v>
      </c>
      <c r="BU42">
        <v>0</v>
      </c>
    </row>
    <row r="43" spans="1:73" x14ac:dyDescent="0.3">
      <c r="A43" t="s">
        <v>186</v>
      </c>
      <c r="B43">
        <v>0</v>
      </c>
      <c r="C43">
        <v>0</v>
      </c>
      <c r="D43">
        <v>3</v>
      </c>
      <c r="E43">
        <v>0</v>
      </c>
      <c r="F43">
        <v>0</v>
      </c>
      <c r="G43">
        <v>1</v>
      </c>
      <c r="H43">
        <v>0</v>
      </c>
      <c r="I43">
        <v>0</v>
      </c>
      <c r="J43">
        <v>0</v>
      </c>
      <c r="K43">
        <v>0</v>
      </c>
      <c r="L43">
        <v>0</v>
      </c>
      <c r="M43">
        <v>0</v>
      </c>
      <c r="N43">
        <v>1</v>
      </c>
      <c r="O43">
        <v>0</v>
      </c>
      <c r="P43">
        <v>0</v>
      </c>
      <c r="Q43">
        <v>0</v>
      </c>
      <c r="R43">
        <v>0</v>
      </c>
      <c r="S43">
        <v>0</v>
      </c>
      <c r="T43">
        <v>0</v>
      </c>
      <c r="U43">
        <v>0</v>
      </c>
      <c r="V43">
        <v>2</v>
      </c>
      <c r="W43">
        <v>0</v>
      </c>
      <c r="X43">
        <v>1</v>
      </c>
      <c r="Y43">
        <v>0</v>
      </c>
      <c r="Z43">
        <v>0</v>
      </c>
      <c r="AA43">
        <v>0</v>
      </c>
      <c r="AB43">
        <v>0</v>
      </c>
      <c r="AC43">
        <v>0</v>
      </c>
      <c r="AD43">
        <v>0</v>
      </c>
      <c r="AE43">
        <v>0</v>
      </c>
      <c r="AF43">
        <v>0</v>
      </c>
      <c r="AG43">
        <v>0</v>
      </c>
      <c r="AH43">
        <v>1</v>
      </c>
      <c r="AI43">
        <v>3</v>
      </c>
      <c r="AJ43">
        <v>0</v>
      </c>
      <c r="AK43">
        <v>0</v>
      </c>
      <c r="AL43">
        <v>0</v>
      </c>
      <c r="AM43">
        <v>0</v>
      </c>
      <c r="AN43">
        <v>0</v>
      </c>
      <c r="AO43">
        <v>0</v>
      </c>
      <c r="AP43">
        <v>0</v>
      </c>
      <c r="AQ43">
        <v>0</v>
      </c>
      <c r="AR43">
        <v>0</v>
      </c>
      <c r="AS43">
        <v>0</v>
      </c>
      <c r="AT43">
        <v>0</v>
      </c>
      <c r="AU43">
        <v>0</v>
      </c>
      <c r="AV43">
        <v>1</v>
      </c>
      <c r="AW43">
        <v>0</v>
      </c>
      <c r="AX43">
        <v>1</v>
      </c>
      <c r="AY43">
        <v>0</v>
      </c>
      <c r="AZ43">
        <v>1</v>
      </c>
      <c r="BA43">
        <v>0</v>
      </c>
      <c r="BB43">
        <v>0</v>
      </c>
      <c r="BC43">
        <v>0</v>
      </c>
      <c r="BD43">
        <v>0</v>
      </c>
      <c r="BE43">
        <v>0</v>
      </c>
      <c r="BF43">
        <v>1</v>
      </c>
      <c r="BG43">
        <v>0</v>
      </c>
      <c r="BH43">
        <v>0</v>
      </c>
      <c r="BI43">
        <v>1</v>
      </c>
      <c r="BJ43">
        <v>0</v>
      </c>
      <c r="BK43">
        <v>0</v>
      </c>
      <c r="BL43">
        <v>0</v>
      </c>
      <c r="BM43">
        <v>0</v>
      </c>
      <c r="BN43">
        <v>0</v>
      </c>
      <c r="BO43">
        <v>0</v>
      </c>
      <c r="BP43">
        <v>0</v>
      </c>
      <c r="BQ43">
        <v>0</v>
      </c>
      <c r="BR43">
        <v>0</v>
      </c>
      <c r="BS43">
        <v>0</v>
      </c>
      <c r="BT43">
        <v>0</v>
      </c>
      <c r="BU43">
        <v>0</v>
      </c>
    </row>
    <row r="44" spans="1:73" x14ac:dyDescent="0.3">
      <c r="A44" t="s">
        <v>178</v>
      </c>
      <c r="B44">
        <v>0</v>
      </c>
      <c r="C44">
        <v>0</v>
      </c>
      <c r="D44">
        <v>0</v>
      </c>
      <c r="E44">
        <v>0</v>
      </c>
      <c r="F44">
        <v>0</v>
      </c>
      <c r="G44">
        <v>0</v>
      </c>
      <c r="H44">
        <v>0</v>
      </c>
      <c r="I44">
        <v>0</v>
      </c>
      <c r="J44">
        <v>0</v>
      </c>
      <c r="K44">
        <v>0</v>
      </c>
      <c r="L44">
        <v>0</v>
      </c>
      <c r="M44">
        <v>0</v>
      </c>
      <c r="N44">
        <v>1</v>
      </c>
      <c r="O44">
        <v>0</v>
      </c>
      <c r="P44">
        <v>0</v>
      </c>
      <c r="Q44">
        <v>0</v>
      </c>
      <c r="R44">
        <v>2</v>
      </c>
      <c r="S44">
        <v>0</v>
      </c>
      <c r="T44">
        <v>0</v>
      </c>
      <c r="U44">
        <v>0</v>
      </c>
      <c r="V44">
        <v>1</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row>
    <row r="45" spans="1:73" x14ac:dyDescent="0.3">
      <c r="A45" t="s">
        <v>163</v>
      </c>
      <c r="B45">
        <v>0</v>
      </c>
      <c r="C45">
        <v>0</v>
      </c>
      <c r="D45">
        <v>0</v>
      </c>
      <c r="E45">
        <v>0</v>
      </c>
      <c r="F45">
        <v>0</v>
      </c>
      <c r="G45">
        <v>0</v>
      </c>
      <c r="H45">
        <v>0</v>
      </c>
      <c r="I45">
        <v>0</v>
      </c>
      <c r="J45">
        <v>0</v>
      </c>
      <c r="K45">
        <v>0</v>
      </c>
      <c r="L45">
        <v>0</v>
      </c>
      <c r="M45">
        <v>0</v>
      </c>
      <c r="N45">
        <v>0</v>
      </c>
      <c r="O45">
        <v>0</v>
      </c>
      <c r="P45">
        <v>0</v>
      </c>
      <c r="Q45">
        <v>0</v>
      </c>
      <c r="R45">
        <v>1</v>
      </c>
      <c r="S45">
        <v>0</v>
      </c>
      <c r="T45">
        <v>0</v>
      </c>
      <c r="U45">
        <v>0</v>
      </c>
      <c r="V45">
        <v>0</v>
      </c>
      <c r="W45">
        <v>0</v>
      </c>
      <c r="X45">
        <v>1</v>
      </c>
      <c r="Y45">
        <v>0</v>
      </c>
      <c r="Z45">
        <v>1</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row>
    <row r="46" spans="1:73" x14ac:dyDescent="0.3">
      <c r="A46" t="s">
        <v>181</v>
      </c>
      <c r="B46">
        <v>0</v>
      </c>
      <c r="C46">
        <v>0</v>
      </c>
      <c r="D46">
        <v>0</v>
      </c>
      <c r="E46">
        <v>0</v>
      </c>
      <c r="F46">
        <v>0</v>
      </c>
      <c r="G46">
        <v>0</v>
      </c>
      <c r="H46">
        <v>0</v>
      </c>
      <c r="I46">
        <v>0</v>
      </c>
      <c r="J46">
        <v>0</v>
      </c>
      <c r="K46">
        <v>0</v>
      </c>
      <c r="L46">
        <v>0</v>
      </c>
      <c r="M46">
        <v>0</v>
      </c>
      <c r="N46">
        <v>1</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1</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3</v>
      </c>
      <c r="BI46">
        <v>7</v>
      </c>
      <c r="BJ46">
        <v>0</v>
      </c>
      <c r="BK46">
        <v>0</v>
      </c>
      <c r="BL46">
        <v>1</v>
      </c>
      <c r="BM46">
        <v>0</v>
      </c>
      <c r="BN46">
        <v>0</v>
      </c>
      <c r="BO46">
        <v>0</v>
      </c>
      <c r="BP46">
        <v>0</v>
      </c>
      <c r="BQ46">
        <v>0</v>
      </c>
      <c r="BR46">
        <v>0</v>
      </c>
      <c r="BS46">
        <v>0</v>
      </c>
      <c r="BT46">
        <v>0</v>
      </c>
      <c r="BU46">
        <v>0</v>
      </c>
    </row>
    <row r="47" spans="1:73" x14ac:dyDescent="0.3">
      <c r="A47" t="s">
        <v>174</v>
      </c>
      <c r="B47">
        <v>0</v>
      </c>
      <c r="C47">
        <v>0</v>
      </c>
      <c r="D47">
        <v>1</v>
      </c>
      <c r="E47">
        <v>0</v>
      </c>
      <c r="F47">
        <v>1</v>
      </c>
      <c r="G47">
        <v>1</v>
      </c>
      <c r="H47">
        <v>0</v>
      </c>
      <c r="I47">
        <v>0</v>
      </c>
      <c r="J47">
        <v>0</v>
      </c>
      <c r="K47">
        <v>1</v>
      </c>
      <c r="L47">
        <v>0</v>
      </c>
      <c r="M47">
        <v>0</v>
      </c>
      <c r="N47">
        <v>0</v>
      </c>
      <c r="O47">
        <v>0</v>
      </c>
      <c r="P47">
        <v>0</v>
      </c>
      <c r="Q47">
        <v>1</v>
      </c>
      <c r="R47">
        <v>4</v>
      </c>
      <c r="S47">
        <v>1</v>
      </c>
      <c r="T47">
        <v>0</v>
      </c>
      <c r="U47">
        <v>0</v>
      </c>
      <c r="V47">
        <v>1</v>
      </c>
      <c r="W47">
        <v>0</v>
      </c>
      <c r="X47">
        <v>10</v>
      </c>
      <c r="Y47">
        <v>1</v>
      </c>
      <c r="Z47">
        <v>0</v>
      </c>
      <c r="AA47">
        <v>0</v>
      </c>
      <c r="AB47">
        <v>0</v>
      </c>
      <c r="AC47">
        <v>0</v>
      </c>
      <c r="AD47">
        <v>0</v>
      </c>
      <c r="AE47">
        <v>1</v>
      </c>
      <c r="AF47">
        <v>0</v>
      </c>
      <c r="AG47">
        <v>2</v>
      </c>
      <c r="AH47">
        <v>6</v>
      </c>
      <c r="AI47">
        <v>2</v>
      </c>
      <c r="AJ47">
        <v>0</v>
      </c>
      <c r="AK47">
        <v>0</v>
      </c>
      <c r="AL47">
        <v>0</v>
      </c>
      <c r="AM47">
        <v>0</v>
      </c>
      <c r="AN47">
        <v>1</v>
      </c>
      <c r="AO47">
        <v>0</v>
      </c>
      <c r="AP47">
        <v>0</v>
      </c>
      <c r="AQ47">
        <v>0</v>
      </c>
      <c r="AR47">
        <v>0</v>
      </c>
      <c r="AS47">
        <v>0</v>
      </c>
      <c r="AT47">
        <v>0</v>
      </c>
      <c r="AU47">
        <v>0</v>
      </c>
      <c r="AV47">
        <v>0</v>
      </c>
      <c r="AW47">
        <v>0</v>
      </c>
      <c r="AX47">
        <v>0</v>
      </c>
      <c r="AY47">
        <v>0</v>
      </c>
      <c r="AZ47">
        <v>0</v>
      </c>
      <c r="BA47">
        <v>0</v>
      </c>
      <c r="BB47">
        <v>0</v>
      </c>
      <c r="BC47">
        <v>1</v>
      </c>
      <c r="BD47">
        <v>0</v>
      </c>
      <c r="BE47">
        <v>0</v>
      </c>
      <c r="BF47">
        <v>11</v>
      </c>
      <c r="BG47">
        <v>0</v>
      </c>
      <c r="BH47">
        <v>0</v>
      </c>
      <c r="BI47">
        <v>9</v>
      </c>
      <c r="BJ47">
        <v>0</v>
      </c>
      <c r="BK47">
        <v>0</v>
      </c>
      <c r="BL47">
        <v>0</v>
      </c>
      <c r="BM47">
        <v>0</v>
      </c>
      <c r="BN47">
        <v>0</v>
      </c>
      <c r="BO47">
        <v>0</v>
      </c>
      <c r="BP47">
        <v>0</v>
      </c>
      <c r="BQ47">
        <v>0</v>
      </c>
      <c r="BR47">
        <v>0</v>
      </c>
      <c r="BS47">
        <v>0</v>
      </c>
      <c r="BT47">
        <v>0</v>
      </c>
      <c r="BU47">
        <v>0</v>
      </c>
    </row>
    <row r="48" spans="1:73" x14ac:dyDescent="0.3">
      <c r="A48" t="s">
        <v>176</v>
      </c>
      <c r="B48">
        <v>0</v>
      </c>
      <c r="C48">
        <v>0</v>
      </c>
      <c r="D48">
        <v>0</v>
      </c>
      <c r="E48">
        <v>0</v>
      </c>
      <c r="F48">
        <v>0</v>
      </c>
      <c r="G48">
        <v>0</v>
      </c>
      <c r="H48">
        <v>0</v>
      </c>
      <c r="I48">
        <v>0</v>
      </c>
      <c r="J48">
        <v>0</v>
      </c>
      <c r="K48">
        <v>0</v>
      </c>
      <c r="L48">
        <v>0</v>
      </c>
      <c r="M48">
        <v>0</v>
      </c>
      <c r="N48">
        <v>0</v>
      </c>
      <c r="O48">
        <v>0</v>
      </c>
      <c r="P48">
        <v>0</v>
      </c>
      <c r="Q48">
        <v>0</v>
      </c>
      <c r="R48">
        <v>2</v>
      </c>
      <c r="S48">
        <v>1</v>
      </c>
      <c r="T48">
        <v>0</v>
      </c>
      <c r="U48">
        <v>0</v>
      </c>
      <c r="V48">
        <v>3</v>
      </c>
      <c r="W48">
        <v>0</v>
      </c>
      <c r="X48">
        <v>0</v>
      </c>
      <c r="Y48">
        <v>0</v>
      </c>
      <c r="Z48">
        <v>0</v>
      </c>
      <c r="AA48">
        <v>0</v>
      </c>
      <c r="AB48">
        <v>0</v>
      </c>
      <c r="AC48">
        <v>0</v>
      </c>
      <c r="AD48">
        <v>0</v>
      </c>
      <c r="AE48">
        <v>0</v>
      </c>
      <c r="AF48">
        <v>0</v>
      </c>
      <c r="AG48">
        <v>0</v>
      </c>
      <c r="AH48">
        <v>0</v>
      </c>
      <c r="AI48">
        <v>0</v>
      </c>
      <c r="AJ48">
        <v>0</v>
      </c>
      <c r="AK48">
        <v>0</v>
      </c>
      <c r="AL48">
        <v>0</v>
      </c>
      <c r="AM48">
        <v>0</v>
      </c>
      <c r="AN48">
        <v>0</v>
      </c>
      <c r="AO48">
        <v>1</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row>
    <row r="49" spans="1:73" x14ac:dyDescent="0.3">
      <c r="A49" t="s">
        <v>200</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2</v>
      </c>
      <c r="Y49">
        <v>0</v>
      </c>
      <c r="Z49">
        <v>0</v>
      </c>
      <c r="AA49">
        <v>0</v>
      </c>
      <c r="AB49">
        <v>1</v>
      </c>
      <c r="AC49">
        <v>0</v>
      </c>
      <c r="AD49">
        <v>0</v>
      </c>
      <c r="AE49">
        <v>0</v>
      </c>
      <c r="AF49">
        <v>0</v>
      </c>
      <c r="AG49">
        <v>0</v>
      </c>
      <c r="AH49">
        <v>1</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row>
    <row r="50" spans="1:73" x14ac:dyDescent="0.3">
      <c r="A50" t="s">
        <v>199</v>
      </c>
      <c r="B50">
        <v>0</v>
      </c>
      <c r="C50">
        <v>0</v>
      </c>
      <c r="D50">
        <v>0</v>
      </c>
      <c r="E50">
        <v>0</v>
      </c>
      <c r="F50">
        <v>0</v>
      </c>
      <c r="G50">
        <v>0</v>
      </c>
      <c r="H50">
        <v>0</v>
      </c>
      <c r="I50">
        <v>1</v>
      </c>
      <c r="J50">
        <v>0</v>
      </c>
      <c r="K50">
        <v>0</v>
      </c>
      <c r="L50">
        <v>0</v>
      </c>
      <c r="M50">
        <v>0</v>
      </c>
      <c r="N50">
        <v>3</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1</v>
      </c>
      <c r="BE50">
        <v>0</v>
      </c>
      <c r="BF50">
        <v>3</v>
      </c>
      <c r="BG50">
        <v>0</v>
      </c>
      <c r="BH50">
        <v>1</v>
      </c>
      <c r="BI50">
        <v>1</v>
      </c>
      <c r="BJ50">
        <v>0</v>
      </c>
      <c r="BK50">
        <v>0</v>
      </c>
      <c r="BL50">
        <v>0</v>
      </c>
      <c r="BM50">
        <v>0</v>
      </c>
      <c r="BN50">
        <v>0</v>
      </c>
      <c r="BO50">
        <v>0</v>
      </c>
      <c r="BP50">
        <v>0</v>
      </c>
      <c r="BQ50">
        <v>0</v>
      </c>
      <c r="BR50">
        <v>0</v>
      </c>
      <c r="BS50">
        <v>0</v>
      </c>
      <c r="BT50">
        <v>0</v>
      </c>
      <c r="BU50">
        <v>0</v>
      </c>
    </row>
    <row r="51" spans="1:73" x14ac:dyDescent="0.3">
      <c r="A51" t="s">
        <v>206</v>
      </c>
      <c r="B51">
        <v>0</v>
      </c>
      <c r="C51">
        <v>1</v>
      </c>
      <c r="D51">
        <v>2</v>
      </c>
      <c r="E51">
        <v>0</v>
      </c>
      <c r="F51">
        <v>0</v>
      </c>
      <c r="G51">
        <v>1</v>
      </c>
      <c r="H51">
        <v>0</v>
      </c>
      <c r="I51">
        <v>0</v>
      </c>
      <c r="J51">
        <v>0</v>
      </c>
      <c r="K51">
        <v>0</v>
      </c>
      <c r="L51">
        <v>0</v>
      </c>
      <c r="M51">
        <v>0</v>
      </c>
      <c r="N51">
        <v>0</v>
      </c>
      <c r="O51">
        <v>2</v>
      </c>
      <c r="P51">
        <v>0</v>
      </c>
      <c r="Q51">
        <v>0</v>
      </c>
      <c r="R51">
        <v>0</v>
      </c>
      <c r="S51">
        <v>1</v>
      </c>
      <c r="T51">
        <v>0</v>
      </c>
      <c r="U51">
        <v>0</v>
      </c>
      <c r="V51">
        <v>2</v>
      </c>
      <c r="W51">
        <v>0</v>
      </c>
      <c r="X51">
        <v>0</v>
      </c>
      <c r="Y51">
        <v>0</v>
      </c>
      <c r="Z51">
        <v>0</v>
      </c>
      <c r="AA51">
        <v>0</v>
      </c>
      <c r="AB51">
        <v>0</v>
      </c>
      <c r="AC51">
        <v>0</v>
      </c>
      <c r="AD51">
        <v>0</v>
      </c>
      <c r="AE51">
        <v>0</v>
      </c>
      <c r="AF51">
        <v>0</v>
      </c>
      <c r="AG51">
        <v>0</v>
      </c>
      <c r="AH51">
        <v>0</v>
      </c>
      <c r="AI51">
        <v>0</v>
      </c>
      <c r="AJ51">
        <v>0</v>
      </c>
      <c r="AK51">
        <v>0</v>
      </c>
      <c r="AL51">
        <v>0</v>
      </c>
      <c r="AM51">
        <v>0</v>
      </c>
      <c r="AN51">
        <v>0</v>
      </c>
      <c r="AO51">
        <v>0</v>
      </c>
      <c r="AP51">
        <v>1</v>
      </c>
      <c r="AQ51">
        <v>0</v>
      </c>
      <c r="AR51">
        <v>0</v>
      </c>
      <c r="AS51">
        <v>0</v>
      </c>
      <c r="AT51">
        <v>0</v>
      </c>
      <c r="AU51">
        <v>0</v>
      </c>
      <c r="AV51">
        <v>0</v>
      </c>
      <c r="AW51">
        <v>0</v>
      </c>
      <c r="AX51">
        <v>0</v>
      </c>
      <c r="AY51">
        <v>0</v>
      </c>
      <c r="AZ51">
        <v>0</v>
      </c>
      <c r="BA51">
        <v>0</v>
      </c>
      <c r="BB51">
        <v>0</v>
      </c>
      <c r="BC51">
        <v>1</v>
      </c>
      <c r="BD51">
        <v>0</v>
      </c>
      <c r="BE51">
        <v>0</v>
      </c>
      <c r="BF51">
        <v>1</v>
      </c>
      <c r="BG51">
        <v>0</v>
      </c>
      <c r="BH51">
        <v>0</v>
      </c>
      <c r="BI51">
        <v>3</v>
      </c>
      <c r="BJ51">
        <v>0</v>
      </c>
      <c r="BK51">
        <v>0</v>
      </c>
      <c r="BL51">
        <v>0</v>
      </c>
      <c r="BM51">
        <v>0</v>
      </c>
      <c r="BN51">
        <v>0</v>
      </c>
      <c r="BO51">
        <v>1</v>
      </c>
      <c r="BP51">
        <v>0</v>
      </c>
      <c r="BQ51">
        <v>0</v>
      </c>
      <c r="BR51">
        <v>0</v>
      </c>
      <c r="BS51">
        <v>0</v>
      </c>
      <c r="BT51">
        <v>0</v>
      </c>
      <c r="BU51">
        <v>0</v>
      </c>
    </row>
    <row r="52" spans="1:73" x14ac:dyDescent="0.3">
      <c r="A52" t="s">
        <v>158</v>
      </c>
      <c r="B52">
        <v>0</v>
      </c>
      <c r="C52">
        <v>1</v>
      </c>
      <c r="D52">
        <v>0</v>
      </c>
      <c r="E52">
        <v>0</v>
      </c>
      <c r="F52">
        <v>0</v>
      </c>
      <c r="G52">
        <v>0</v>
      </c>
      <c r="H52">
        <v>0</v>
      </c>
      <c r="I52">
        <v>0</v>
      </c>
      <c r="J52">
        <v>0</v>
      </c>
      <c r="K52">
        <v>0</v>
      </c>
      <c r="L52">
        <v>0</v>
      </c>
      <c r="M52">
        <v>0</v>
      </c>
      <c r="N52">
        <v>1</v>
      </c>
      <c r="O52">
        <v>0</v>
      </c>
      <c r="P52">
        <v>0</v>
      </c>
      <c r="Q52">
        <v>0</v>
      </c>
      <c r="R52">
        <v>1</v>
      </c>
      <c r="S52">
        <v>0</v>
      </c>
      <c r="T52">
        <v>0</v>
      </c>
      <c r="U52">
        <v>0</v>
      </c>
      <c r="V52">
        <v>0</v>
      </c>
      <c r="W52">
        <v>0</v>
      </c>
      <c r="X52">
        <v>2</v>
      </c>
      <c r="Y52">
        <v>0</v>
      </c>
      <c r="Z52">
        <v>0</v>
      </c>
      <c r="AA52">
        <v>0</v>
      </c>
      <c r="AB52">
        <v>0</v>
      </c>
      <c r="AC52">
        <v>0</v>
      </c>
      <c r="AD52">
        <v>0</v>
      </c>
      <c r="AE52">
        <v>2</v>
      </c>
      <c r="AF52">
        <v>0</v>
      </c>
      <c r="AG52">
        <v>0</v>
      </c>
      <c r="AH52">
        <v>0</v>
      </c>
      <c r="AI52">
        <v>2</v>
      </c>
      <c r="AJ52">
        <v>0</v>
      </c>
      <c r="AK52">
        <v>0</v>
      </c>
      <c r="AL52">
        <v>0</v>
      </c>
      <c r="AM52">
        <v>0</v>
      </c>
      <c r="AN52">
        <v>0</v>
      </c>
      <c r="AO52">
        <v>0</v>
      </c>
      <c r="AP52">
        <v>0</v>
      </c>
      <c r="AQ52">
        <v>0</v>
      </c>
      <c r="AR52">
        <v>0</v>
      </c>
      <c r="AS52">
        <v>0</v>
      </c>
      <c r="AT52">
        <v>0</v>
      </c>
      <c r="AU52">
        <v>0</v>
      </c>
      <c r="AV52">
        <v>0</v>
      </c>
      <c r="AW52">
        <v>0</v>
      </c>
      <c r="AX52">
        <v>0</v>
      </c>
      <c r="AY52">
        <v>0</v>
      </c>
      <c r="AZ52">
        <v>0</v>
      </c>
      <c r="BA52">
        <v>0</v>
      </c>
      <c r="BB52">
        <v>0</v>
      </c>
      <c r="BC52">
        <v>1</v>
      </c>
      <c r="BD52">
        <v>0</v>
      </c>
      <c r="BE52">
        <v>0</v>
      </c>
      <c r="BF52">
        <v>0</v>
      </c>
      <c r="BG52">
        <v>0</v>
      </c>
      <c r="BH52">
        <v>1</v>
      </c>
      <c r="BI52">
        <v>5</v>
      </c>
      <c r="BJ52">
        <v>0</v>
      </c>
      <c r="BK52">
        <v>0</v>
      </c>
      <c r="BL52">
        <v>0</v>
      </c>
      <c r="BM52">
        <v>0</v>
      </c>
      <c r="BN52">
        <v>0</v>
      </c>
      <c r="BO52">
        <v>0</v>
      </c>
      <c r="BP52">
        <v>0</v>
      </c>
      <c r="BQ52">
        <v>0</v>
      </c>
      <c r="BR52">
        <v>0</v>
      </c>
      <c r="BS52">
        <v>0</v>
      </c>
      <c r="BT52">
        <v>0</v>
      </c>
      <c r="BU52">
        <v>0</v>
      </c>
    </row>
    <row r="53" spans="1:73" x14ac:dyDescent="0.3">
      <c r="A53" t="s">
        <v>210</v>
      </c>
      <c r="B53">
        <v>0</v>
      </c>
      <c r="C53">
        <v>0</v>
      </c>
      <c r="D53">
        <v>0</v>
      </c>
      <c r="E53">
        <v>0</v>
      </c>
      <c r="F53">
        <v>0</v>
      </c>
      <c r="G53">
        <v>0</v>
      </c>
      <c r="H53">
        <v>0</v>
      </c>
      <c r="I53">
        <v>0</v>
      </c>
      <c r="J53">
        <v>0</v>
      </c>
      <c r="K53">
        <v>0</v>
      </c>
      <c r="L53">
        <v>0</v>
      </c>
      <c r="M53">
        <v>0</v>
      </c>
      <c r="N53">
        <v>2</v>
      </c>
      <c r="O53">
        <v>1</v>
      </c>
      <c r="P53">
        <v>0</v>
      </c>
      <c r="Q53">
        <v>0</v>
      </c>
      <c r="R53">
        <v>2</v>
      </c>
      <c r="S53">
        <v>0</v>
      </c>
      <c r="T53">
        <v>0</v>
      </c>
      <c r="U53">
        <v>0</v>
      </c>
      <c r="V53">
        <v>1</v>
      </c>
      <c r="W53">
        <v>0</v>
      </c>
      <c r="X53">
        <v>3</v>
      </c>
      <c r="Y53">
        <v>0</v>
      </c>
      <c r="Z53">
        <v>0</v>
      </c>
      <c r="AA53">
        <v>0</v>
      </c>
      <c r="AB53">
        <v>0</v>
      </c>
      <c r="AC53">
        <v>1</v>
      </c>
      <c r="AD53">
        <v>0</v>
      </c>
      <c r="AE53">
        <v>0</v>
      </c>
      <c r="AF53">
        <v>0</v>
      </c>
      <c r="AG53">
        <v>0</v>
      </c>
      <c r="AH53">
        <v>2</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1</v>
      </c>
      <c r="BH53">
        <v>0</v>
      </c>
      <c r="BI53">
        <v>2</v>
      </c>
      <c r="BJ53">
        <v>0</v>
      </c>
      <c r="BK53">
        <v>0</v>
      </c>
      <c r="BL53">
        <v>0</v>
      </c>
      <c r="BM53">
        <v>0</v>
      </c>
      <c r="BN53">
        <v>0</v>
      </c>
      <c r="BO53">
        <v>0</v>
      </c>
      <c r="BP53">
        <v>0</v>
      </c>
      <c r="BQ53">
        <v>0</v>
      </c>
      <c r="BR53">
        <v>0</v>
      </c>
      <c r="BS53">
        <v>0</v>
      </c>
      <c r="BT53">
        <v>0</v>
      </c>
      <c r="BU53">
        <v>0</v>
      </c>
    </row>
    <row r="54" spans="1:73" x14ac:dyDescent="0.3">
      <c r="A54" t="s">
        <v>155</v>
      </c>
      <c r="B54">
        <v>0</v>
      </c>
      <c r="C54">
        <v>0</v>
      </c>
      <c r="D54">
        <v>0</v>
      </c>
      <c r="E54">
        <v>0</v>
      </c>
      <c r="F54">
        <v>0</v>
      </c>
      <c r="G54">
        <v>0</v>
      </c>
      <c r="H54">
        <v>0</v>
      </c>
      <c r="I54">
        <v>1</v>
      </c>
      <c r="J54">
        <v>0</v>
      </c>
      <c r="K54">
        <v>0</v>
      </c>
      <c r="L54">
        <v>0</v>
      </c>
      <c r="M54">
        <v>0</v>
      </c>
      <c r="N54">
        <v>2</v>
      </c>
      <c r="O54">
        <v>0</v>
      </c>
      <c r="P54">
        <v>0</v>
      </c>
      <c r="Q54">
        <v>0</v>
      </c>
      <c r="R54">
        <v>0</v>
      </c>
      <c r="S54">
        <v>1</v>
      </c>
      <c r="T54">
        <v>0</v>
      </c>
      <c r="U54">
        <v>0</v>
      </c>
      <c r="V54">
        <v>1</v>
      </c>
      <c r="W54">
        <v>0</v>
      </c>
      <c r="X54">
        <v>4</v>
      </c>
      <c r="Y54">
        <v>0</v>
      </c>
      <c r="Z54">
        <v>0</v>
      </c>
      <c r="AA54">
        <v>0</v>
      </c>
      <c r="AB54">
        <v>0</v>
      </c>
      <c r="AC54">
        <v>0</v>
      </c>
      <c r="AD54">
        <v>1</v>
      </c>
      <c r="AE54">
        <v>3</v>
      </c>
      <c r="AF54">
        <v>0</v>
      </c>
      <c r="AG54">
        <v>0</v>
      </c>
      <c r="AH54">
        <v>0</v>
      </c>
      <c r="AI54">
        <v>3</v>
      </c>
      <c r="AJ54">
        <v>0</v>
      </c>
      <c r="AK54">
        <v>0</v>
      </c>
      <c r="AL54">
        <v>0</v>
      </c>
      <c r="AM54">
        <v>0</v>
      </c>
      <c r="AN54">
        <v>0</v>
      </c>
      <c r="AO54">
        <v>0</v>
      </c>
      <c r="AP54">
        <v>0</v>
      </c>
      <c r="AQ54">
        <v>0</v>
      </c>
      <c r="AR54">
        <v>0</v>
      </c>
      <c r="AS54">
        <v>0</v>
      </c>
      <c r="AT54">
        <v>0</v>
      </c>
      <c r="AU54">
        <v>1</v>
      </c>
      <c r="AV54">
        <v>0</v>
      </c>
      <c r="AW54">
        <v>0</v>
      </c>
      <c r="AX54">
        <v>0</v>
      </c>
      <c r="AY54">
        <v>0</v>
      </c>
      <c r="AZ54">
        <v>1</v>
      </c>
      <c r="BA54">
        <v>0</v>
      </c>
      <c r="BB54">
        <v>0</v>
      </c>
      <c r="BC54">
        <v>0</v>
      </c>
      <c r="BD54">
        <v>0</v>
      </c>
      <c r="BE54">
        <v>0</v>
      </c>
      <c r="BF54">
        <v>1</v>
      </c>
      <c r="BG54">
        <v>0</v>
      </c>
      <c r="BH54">
        <v>7</v>
      </c>
      <c r="BI54">
        <v>7</v>
      </c>
      <c r="BJ54">
        <v>0</v>
      </c>
      <c r="BK54">
        <v>0</v>
      </c>
      <c r="BL54">
        <v>0</v>
      </c>
      <c r="BM54">
        <v>1</v>
      </c>
      <c r="BN54">
        <v>0</v>
      </c>
      <c r="BO54">
        <v>0</v>
      </c>
      <c r="BP54">
        <v>1</v>
      </c>
      <c r="BQ54">
        <v>0</v>
      </c>
      <c r="BR54">
        <v>0</v>
      </c>
      <c r="BS54">
        <v>0</v>
      </c>
      <c r="BT54">
        <v>0</v>
      </c>
      <c r="BU54">
        <v>0</v>
      </c>
    </row>
    <row r="55" spans="1:73" x14ac:dyDescent="0.3">
      <c r="A55" t="s">
        <v>194</v>
      </c>
      <c r="B55">
        <v>0</v>
      </c>
      <c r="C55">
        <v>0</v>
      </c>
      <c r="D55">
        <v>0</v>
      </c>
      <c r="E55">
        <v>0</v>
      </c>
      <c r="F55">
        <v>0</v>
      </c>
      <c r="G55">
        <v>0</v>
      </c>
      <c r="H55">
        <v>0</v>
      </c>
      <c r="I55">
        <v>0</v>
      </c>
      <c r="J55">
        <v>0</v>
      </c>
      <c r="K55">
        <v>0</v>
      </c>
      <c r="L55">
        <v>0</v>
      </c>
      <c r="M55">
        <v>0</v>
      </c>
      <c r="N55">
        <v>0</v>
      </c>
      <c r="O55">
        <v>2</v>
      </c>
      <c r="P55">
        <v>0</v>
      </c>
      <c r="Q55">
        <v>0</v>
      </c>
      <c r="R55">
        <v>0</v>
      </c>
      <c r="S55">
        <v>2</v>
      </c>
      <c r="T55">
        <v>0</v>
      </c>
      <c r="U55">
        <v>0</v>
      </c>
      <c r="V55">
        <v>0</v>
      </c>
      <c r="W55">
        <v>0</v>
      </c>
      <c r="X55">
        <v>0</v>
      </c>
      <c r="Y55">
        <v>0</v>
      </c>
      <c r="Z55">
        <v>0</v>
      </c>
      <c r="AA55">
        <v>0</v>
      </c>
      <c r="AB55">
        <v>0</v>
      </c>
      <c r="AC55">
        <v>0</v>
      </c>
      <c r="AD55">
        <v>0</v>
      </c>
      <c r="AE55">
        <v>0</v>
      </c>
      <c r="AF55">
        <v>0</v>
      </c>
      <c r="AG55">
        <v>0</v>
      </c>
      <c r="AH55">
        <v>0</v>
      </c>
      <c r="AI55">
        <v>2</v>
      </c>
      <c r="AJ55">
        <v>1</v>
      </c>
      <c r="AK55">
        <v>0</v>
      </c>
      <c r="AL55">
        <v>0</v>
      </c>
      <c r="AM55">
        <v>0</v>
      </c>
      <c r="AN55">
        <v>0</v>
      </c>
      <c r="AO55">
        <v>0</v>
      </c>
      <c r="AP55">
        <v>0</v>
      </c>
      <c r="AQ55">
        <v>0</v>
      </c>
      <c r="AR55">
        <v>0</v>
      </c>
      <c r="AS55">
        <v>0</v>
      </c>
      <c r="AT55">
        <v>0</v>
      </c>
      <c r="AU55">
        <v>0</v>
      </c>
      <c r="AV55">
        <v>0</v>
      </c>
      <c r="AW55">
        <v>0</v>
      </c>
      <c r="AX55">
        <v>0</v>
      </c>
      <c r="AY55">
        <v>0</v>
      </c>
      <c r="AZ55">
        <v>0</v>
      </c>
      <c r="BA55">
        <v>0</v>
      </c>
      <c r="BB55">
        <v>0</v>
      </c>
      <c r="BC55">
        <v>0</v>
      </c>
      <c r="BD55">
        <v>1</v>
      </c>
      <c r="BE55">
        <v>0</v>
      </c>
      <c r="BF55">
        <v>1</v>
      </c>
      <c r="BG55">
        <v>0</v>
      </c>
      <c r="BH55">
        <v>0</v>
      </c>
      <c r="BI55">
        <v>2</v>
      </c>
      <c r="BJ55">
        <v>0</v>
      </c>
      <c r="BK55">
        <v>0</v>
      </c>
      <c r="BL55">
        <v>0</v>
      </c>
      <c r="BM55">
        <v>0</v>
      </c>
      <c r="BN55">
        <v>0</v>
      </c>
      <c r="BO55">
        <v>0</v>
      </c>
      <c r="BP55">
        <v>0</v>
      </c>
      <c r="BQ55">
        <v>0</v>
      </c>
      <c r="BR55">
        <v>0</v>
      </c>
      <c r="BS55">
        <v>0</v>
      </c>
      <c r="BT55">
        <v>0</v>
      </c>
      <c r="BU55">
        <v>0</v>
      </c>
    </row>
    <row r="56" spans="1:73" x14ac:dyDescent="0.3">
      <c r="A56" t="s">
        <v>196</v>
      </c>
      <c r="B56">
        <v>0</v>
      </c>
      <c r="C56">
        <v>0</v>
      </c>
      <c r="D56">
        <v>0</v>
      </c>
      <c r="E56">
        <v>0</v>
      </c>
      <c r="F56">
        <v>0</v>
      </c>
      <c r="G56">
        <v>0</v>
      </c>
      <c r="H56">
        <v>0</v>
      </c>
      <c r="I56">
        <v>0</v>
      </c>
      <c r="J56">
        <v>0</v>
      </c>
      <c r="K56">
        <v>0</v>
      </c>
      <c r="L56">
        <v>0</v>
      </c>
      <c r="M56">
        <v>0</v>
      </c>
      <c r="N56">
        <v>0</v>
      </c>
      <c r="O56">
        <v>0</v>
      </c>
      <c r="P56">
        <v>0</v>
      </c>
      <c r="Q56">
        <v>0</v>
      </c>
      <c r="R56">
        <v>1</v>
      </c>
      <c r="S56">
        <v>0</v>
      </c>
      <c r="T56">
        <v>0</v>
      </c>
      <c r="U56">
        <v>0</v>
      </c>
      <c r="V56">
        <v>0</v>
      </c>
      <c r="W56">
        <v>0</v>
      </c>
      <c r="X56">
        <v>1</v>
      </c>
      <c r="Y56">
        <v>0</v>
      </c>
      <c r="Z56">
        <v>0</v>
      </c>
      <c r="AA56">
        <v>0</v>
      </c>
      <c r="AB56">
        <v>0</v>
      </c>
      <c r="AC56">
        <v>0</v>
      </c>
      <c r="AD56">
        <v>0</v>
      </c>
      <c r="AE56">
        <v>0</v>
      </c>
      <c r="AF56">
        <v>0</v>
      </c>
      <c r="AG56">
        <v>0</v>
      </c>
      <c r="AH56">
        <v>1</v>
      </c>
      <c r="AI56">
        <v>1</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row>
    <row r="57" spans="1:73" x14ac:dyDescent="0.3">
      <c r="A57" t="s">
        <v>165</v>
      </c>
      <c r="B57">
        <v>0</v>
      </c>
      <c r="C57">
        <v>0</v>
      </c>
      <c r="D57">
        <v>0</v>
      </c>
      <c r="E57">
        <v>0</v>
      </c>
      <c r="F57">
        <v>0</v>
      </c>
      <c r="G57">
        <v>0</v>
      </c>
      <c r="H57">
        <v>0</v>
      </c>
      <c r="I57">
        <v>0</v>
      </c>
      <c r="J57">
        <v>0</v>
      </c>
      <c r="K57">
        <v>0</v>
      </c>
      <c r="L57">
        <v>0</v>
      </c>
      <c r="M57">
        <v>0</v>
      </c>
      <c r="N57">
        <v>0</v>
      </c>
      <c r="O57">
        <v>0</v>
      </c>
      <c r="P57">
        <v>0</v>
      </c>
      <c r="Q57">
        <v>0</v>
      </c>
      <c r="R57">
        <v>0</v>
      </c>
      <c r="S57">
        <v>0</v>
      </c>
      <c r="T57">
        <v>0</v>
      </c>
      <c r="U57">
        <v>0</v>
      </c>
      <c r="V57">
        <v>1</v>
      </c>
      <c r="W57">
        <v>0</v>
      </c>
      <c r="X57">
        <v>2</v>
      </c>
      <c r="Y57">
        <v>0</v>
      </c>
      <c r="Z57">
        <v>1</v>
      </c>
      <c r="AA57">
        <v>0</v>
      </c>
      <c r="AB57">
        <v>0</v>
      </c>
      <c r="AC57">
        <v>0</v>
      </c>
      <c r="AD57">
        <v>0</v>
      </c>
      <c r="AE57">
        <v>0</v>
      </c>
      <c r="AF57">
        <v>0</v>
      </c>
      <c r="AG57">
        <v>0</v>
      </c>
      <c r="AH57">
        <v>1</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1</v>
      </c>
      <c r="BJ57">
        <v>0</v>
      </c>
      <c r="BK57">
        <v>0</v>
      </c>
      <c r="BL57">
        <v>0</v>
      </c>
      <c r="BM57">
        <v>0</v>
      </c>
      <c r="BN57">
        <v>0</v>
      </c>
      <c r="BO57">
        <v>0</v>
      </c>
      <c r="BP57">
        <v>0</v>
      </c>
      <c r="BQ57">
        <v>0</v>
      </c>
      <c r="BR57">
        <v>0</v>
      </c>
      <c r="BS57">
        <v>0</v>
      </c>
      <c r="BT57">
        <v>0</v>
      </c>
      <c r="BU57">
        <v>0</v>
      </c>
    </row>
    <row r="58" spans="1:73" x14ac:dyDescent="0.3">
      <c r="A58" t="s">
        <v>179</v>
      </c>
      <c r="B58">
        <v>0</v>
      </c>
      <c r="C58">
        <v>2</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1</v>
      </c>
      <c r="AJ58">
        <v>0</v>
      </c>
      <c r="AK58">
        <v>0</v>
      </c>
      <c r="AL58">
        <v>0</v>
      </c>
      <c r="AM58">
        <v>0</v>
      </c>
      <c r="AN58">
        <v>0</v>
      </c>
      <c r="AO58">
        <v>0</v>
      </c>
      <c r="AP58">
        <v>1</v>
      </c>
      <c r="AQ58">
        <v>0</v>
      </c>
      <c r="AR58">
        <v>0</v>
      </c>
      <c r="AS58">
        <v>0</v>
      </c>
      <c r="AT58">
        <v>0</v>
      </c>
      <c r="AU58">
        <v>0</v>
      </c>
      <c r="AV58">
        <v>0</v>
      </c>
      <c r="AW58">
        <v>0</v>
      </c>
      <c r="AX58">
        <v>0</v>
      </c>
      <c r="AY58">
        <v>0</v>
      </c>
      <c r="AZ58">
        <v>1</v>
      </c>
      <c r="BA58">
        <v>0</v>
      </c>
      <c r="BB58">
        <v>0</v>
      </c>
      <c r="BC58">
        <v>0</v>
      </c>
      <c r="BD58">
        <v>0</v>
      </c>
      <c r="BE58">
        <v>0</v>
      </c>
      <c r="BF58">
        <v>0</v>
      </c>
      <c r="BG58">
        <v>1</v>
      </c>
      <c r="BH58">
        <v>0</v>
      </c>
      <c r="BI58">
        <v>0</v>
      </c>
      <c r="BJ58">
        <v>0</v>
      </c>
      <c r="BK58">
        <v>0</v>
      </c>
      <c r="BL58">
        <v>0</v>
      </c>
      <c r="BM58">
        <v>0</v>
      </c>
      <c r="BN58">
        <v>0</v>
      </c>
      <c r="BO58">
        <v>0</v>
      </c>
      <c r="BP58">
        <v>0</v>
      </c>
      <c r="BQ58">
        <v>0</v>
      </c>
      <c r="BR58">
        <v>0</v>
      </c>
      <c r="BS58">
        <v>0</v>
      </c>
      <c r="BT58">
        <v>0</v>
      </c>
      <c r="BU58">
        <v>0</v>
      </c>
    </row>
    <row r="59" spans="1:73" x14ac:dyDescent="0.3">
      <c r="A59" t="s">
        <v>213</v>
      </c>
    </row>
    <row r="60" spans="1:73" x14ac:dyDescent="0.3">
      <c r="A60" t="s">
        <v>214</v>
      </c>
      <c r="B60">
        <v>1</v>
      </c>
      <c r="C60">
        <v>4</v>
      </c>
      <c r="D60">
        <v>10</v>
      </c>
      <c r="E60">
        <v>2</v>
      </c>
      <c r="F60">
        <v>4</v>
      </c>
      <c r="G60">
        <v>6</v>
      </c>
      <c r="H60">
        <v>1</v>
      </c>
      <c r="I60">
        <v>13</v>
      </c>
      <c r="J60">
        <v>1</v>
      </c>
      <c r="K60">
        <v>1</v>
      </c>
      <c r="L60">
        <v>0</v>
      </c>
      <c r="M60">
        <v>1</v>
      </c>
      <c r="N60">
        <v>31</v>
      </c>
      <c r="O60">
        <v>14</v>
      </c>
      <c r="P60">
        <v>0</v>
      </c>
      <c r="Q60">
        <v>5</v>
      </c>
      <c r="R60">
        <v>43</v>
      </c>
      <c r="S60">
        <v>17</v>
      </c>
      <c r="T60">
        <v>1</v>
      </c>
      <c r="U60">
        <v>1</v>
      </c>
      <c r="V60">
        <v>46</v>
      </c>
      <c r="W60">
        <v>1</v>
      </c>
      <c r="X60">
        <v>98</v>
      </c>
      <c r="Y60">
        <v>4</v>
      </c>
      <c r="Z60">
        <v>5</v>
      </c>
      <c r="AA60">
        <v>1</v>
      </c>
      <c r="AB60">
        <v>2</v>
      </c>
      <c r="AC60">
        <v>5</v>
      </c>
      <c r="AD60">
        <v>3</v>
      </c>
      <c r="AE60">
        <v>23</v>
      </c>
      <c r="AF60">
        <v>1</v>
      </c>
      <c r="AG60">
        <v>2</v>
      </c>
      <c r="AH60">
        <v>52</v>
      </c>
      <c r="AI60">
        <v>63</v>
      </c>
      <c r="AJ60">
        <v>1</v>
      </c>
      <c r="AK60">
        <v>1</v>
      </c>
      <c r="AL60">
        <v>0</v>
      </c>
      <c r="AM60">
        <v>1</v>
      </c>
      <c r="AN60">
        <v>1</v>
      </c>
      <c r="AO60">
        <v>3</v>
      </c>
      <c r="AP60">
        <v>2</v>
      </c>
      <c r="AQ60">
        <v>0</v>
      </c>
      <c r="AR60">
        <v>1</v>
      </c>
      <c r="AS60">
        <v>2</v>
      </c>
      <c r="AT60">
        <v>1</v>
      </c>
      <c r="AU60">
        <v>10</v>
      </c>
      <c r="AV60">
        <v>1</v>
      </c>
      <c r="AW60">
        <v>1</v>
      </c>
      <c r="AX60">
        <v>1</v>
      </c>
      <c r="AY60">
        <v>0</v>
      </c>
      <c r="AZ60">
        <v>24</v>
      </c>
      <c r="BA60">
        <v>0</v>
      </c>
      <c r="BB60">
        <v>1</v>
      </c>
      <c r="BC60">
        <v>8</v>
      </c>
      <c r="BD60">
        <v>4</v>
      </c>
      <c r="BE60">
        <v>2</v>
      </c>
      <c r="BF60">
        <v>39</v>
      </c>
      <c r="BG60">
        <v>4</v>
      </c>
      <c r="BH60">
        <v>35</v>
      </c>
      <c r="BI60">
        <v>215</v>
      </c>
      <c r="BJ60">
        <v>1</v>
      </c>
      <c r="BK60">
        <v>1</v>
      </c>
      <c r="BL60">
        <v>1</v>
      </c>
      <c r="BM60">
        <v>5</v>
      </c>
      <c r="BN60">
        <v>0</v>
      </c>
      <c r="BO60">
        <v>1</v>
      </c>
      <c r="BP60">
        <v>15</v>
      </c>
      <c r="BQ60">
        <v>0</v>
      </c>
      <c r="BR60">
        <v>4</v>
      </c>
      <c r="BS60">
        <v>1</v>
      </c>
      <c r="BT60">
        <v>1</v>
      </c>
      <c r="BU60">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601FA-5CC0-4FCD-8CFB-BD2A2D26E5B1}">
  <dimension ref="A1:BY151"/>
  <sheetViews>
    <sheetView workbookViewId="0">
      <selection activeCell="E13" sqref="E13"/>
    </sheetView>
  </sheetViews>
  <sheetFormatPr defaultRowHeight="14.4" x14ac:dyDescent="0.3"/>
  <sheetData>
    <row r="1" spans="1:77" x14ac:dyDescent="0.3">
      <c r="A1" s="1" t="s">
        <v>74</v>
      </c>
      <c r="B1" s="1" t="s">
        <v>75</v>
      </c>
      <c r="C1" s="1" t="s">
        <v>76</v>
      </c>
      <c r="D1" s="1" t="s">
        <v>77</v>
      </c>
      <c r="E1" s="1" t="s">
        <v>78</v>
      </c>
      <c r="F1" s="1" t="s">
        <v>79</v>
      </c>
      <c r="G1" s="1" t="s">
        <v>80</v>
      </c>
      <c r="H1" s="1" t="s">
        <v>81</v>
      </c>
      <c r="I1" s="1" t="s">
        <v>82</v>
      </c>
      <c r="J1" s="1" t="s">
        <v>83</v>
      </c>
      <c r="K1" s="1" t="s">
        <v>84</v>
      </c>
      <c r="L1" s="1" t="s">
        <v>85</v>
      </c>
      <c r="M1" s="1" t="s">
        <v>86</v>
      </c>
      <c r="N1" s="1" t="s">
        <v>87</v>
      </c>
      <c r="O1" s="1" t="s">
        <v>88</v>
      </c>
      <c r="P1" s="1" t="s">
        <v>89</v>
      </c>
      <c r="Q1" s="1" t="s">
        <v>90</v>
      </c>
      <c r="R1" s="1" t="s">
        <v>91</v>
      </c>
      <c r="S1" s="1" t="s">
        <v>92</v>
      </c>
      <c r="T1" s="1" t="s">
        <v>93</v>
      </c>
      <c r="U1" s="1" t="s">
        <v>94</v>
      </c>
      <c r="V1" s="1" t="s">
        <v>95</v>
      </c>
      <c r="W1" s="1" t="s">
        <v>96</v>
      </c>
      <c r="X1" s="1" t="s">
        <v>97</v>
      </c>
      <c r="Y1" s="1" t="s">
        <v>98</v>
      </c>
      <c r="Z1" s="1" t="s">
        <v>99</v>
      </c>
      <c r="AA1" s="1" t="s">
        <v>100</v>
      </c>
      <c r="AB1" s="1" t="s">
        <v>101</v>
      </c>
      <c r="AC1" s="1" t="s">
        <v>102</v>
      </c>
      <c r="AD1" s="1" t="s">
        <v>103</v>
      </c>
      <c r="AE1" s="1" t="s">
        <v>104</v>
      </c>
      <c r="AF1" s="1" t="s">
        <v>105</v>
      </c>
      <c r="AG1" s="1" t="s">
        <v>106</v>
      </c>
      <c r="AH1" s="1" t="s">
        <v>107</v>
      </c>
      <c r="AI1" s="1" t="s">
        <v>108</v>
      </c>
      <c r="AJ1" s="1" t="s">
        <v>109</v>
      </c>
      <c r="AK1" s="1" t="s">
        <v>110</v>
      </c>
      <c r="AL1" s="1" t="s">
        <v>111</v>
      </c>
      <c r="AM1" s="1" t="s">
        <v>112</v>
      </c>
      <c r="AN1" s="1" t="s">
        <v>113</v>
      </c>
      <c r="AO1" s="1" t="s">
        <v>114</v>
      </c>
      <c r="AP1" s="1" t="s">
        <v>115</v>
      </c>
      <c r="AQ1" s="1" t="s">
        <v>116</v>
      </c>
      <c r="AR1" s="1" t="s">
        <v>117</v>
      </c>
      <c r="AS1" s="1" t="s">
        <v>118</v>
      </c>
      <c r="AT1" s="1" t="s">
        <v>119</v>
      </c>
      <c r="AU1" s="1" t="s">
        <v>120</v>
      </c>
      <c r="AV1" s="1" t="s">
        <v>121</v>
      </c>
      <c r="AW1" s="1" t="s">
        <v>122</v>
      </c>
      <c r="AX1" s="1" t="s">
        <v>123</v>
      </c>
      <c r="AY1" s="1" t="s">
        <v>124</v>
      </c>
      <c r="AZ1" s="1" t="s">
        <v>125</v>
      </c>
      <c r="BA1" s="1" t="s">
        <v>126</v>
      </c>
      <c r="BB1" s="1" t="s">
        <v>127</v>
      </c>
      <c r="BC1" s="1" t="s">
        <v>128</v>
      </c>
      <c r="BD1" s="1" t="s">
        <v>129</v>
      </c>
      <c r="BE1" s="1" t="s">
        <v>130</v>
      </c>
      <c r="BF1" s="1" t="s">
        <v>131</v>
      </c>
      <c r="BG1" s="1" t="s">
        <v>132</v>
      </c>
      <c r="BH1" s="1" t="s">
        <v>133</v>
      </c>
      <c r="BI1" s="1" t="s">
        <v>134</v>
      </c>
      <c r="BJ1" s="1" t="s">
        <v>135</v>
      </c>
      <c r="BK1" s="1" t="s">
        <v>136</v>
      </c>
      <c r="BL1" s="1" t="s">
        <v>137</v>
      </c>
      <c r="BM1" s="1" t="s">
        <v>138</v>
      </c>
      <c r="BN1" s="1" t="s">
        <v>139</v>
      </c>
      <c r="BO1" s="1" t="s">
        <v>140</v>
      </c>
      <c r="BP1" s="1" t="s">
        <v>141</v>
      </c>
      <c r="BQ1" s="1" t="s">
        <v>142</v>
      </c>
      <c r="BR1" s="1" t="s">
        <v>143</v>
      </c>
      <c r="BS1" s="1" t="s">
        <v>144</v>
      </c>
      <c r="BT1" s="1" t="s">
        <v>145</v>
      </c>
      <c r="BU1" s="1" t="s">
        <v>146</v>
      </c>
      <c r="BV1" s="1" t="s">
        <v>147</v>
      </c>
      <c r="BW1" s="1" t="s">
        <v>148</v>
      </c>
      <c r="BX1" s="1" t="s">
        <v>149</v>
      </c>
      <c r="BY1" s="1" t="s">
        <v>150</v>
      </c>
    </row>
    <row r="2" spans="1:77" x14ac:dyDescent="0.3">
      <c r="A2" s="2">
        <v>45490</v>
      </c>
      <c r="B2" s="1">
        <v>199</v>
      </c>
      <c r="C2" s="1" t="s">
        <v>167</v>
      </c>
      <c r="D2" s="1" t="s">
        <v>152</v>
      </c>
      <c r="E2" s="1">
        <v>0</v>
      </c>
      <c r="F2" s="1">
        <v>0</v>
      </c>
      <c r="G2" s="1">
        <v>0</v>
      </c>
      <c r="H2" s="1">
        <v>0</v>
      </c>
      <c r="I2" s="1">
        <v>0</v>
      </c>
      <c r="J2" s="1">
        <v>0</v>
      </c>
      <c r="K2" s="1">
        <v>0</v>
      </c>
      <c r="L2" s="1">
        <v>0</v>
      </c>
      <c r="M2" s="1">
        <v>0</v>
      </c>
      <c r="N2" s="1">
        <v>0</v>
      </c>
      <c r="O2" s="1">
        <v>0</v>
      </c>
      <c r="P2" s="1">
        <v>0</v>
      </c>
      <c r="Q2" s="1">
        <v>0</v>
      </c>
      <c r="R2" s="1">
        <v>0</v>
      </c>
      <c r="S2" s="1">
        <v>0</v>
      </c>
      <c r="T2" s="1">
        <v>0</v>
      </c>
      <c r="U2" s="1">
        <v>0</v>
      </c>
      <c r="V2" s="1">
        <v>0</v>
      </c>
      <c r="W2" s="1">
        <v>0</v>
      </c>
      <c r="X2" s="1">
        <v>0</v>
      </c>
      <c r="Y2" s="1">
        <v>0</v>
      </c>
      <c r="Z2" s="1">
        <v>0</v>
      </c>
      <c r="AA2" s="1">
        <v>0</v>
      </c>
      <c r="AB2" s="1">
        <v>0</v>
      </c>
      <c r="AC2" s="1">
        <v>0</v>
      </c>
      <c r="AD2" s="1">
        <v>0</v>
      </c>
      <c r="AE2" s="1">
        <v>0</v>
      </c>
      <c r="AF2" s="1">
        <v>0</v>
      </c>
      <c r="AG2" s="1">
        <v>0</v>
      </c>
      <c r="AH2" s="1">
        <v>0</v>
      </c>
      <c r="AI2" s="1">
        <v>0</v>
      </c>
      <c r="AJ2" s="1">
        <v>0</v>
      </c>
      <c r="AK2" s="1">
        <v>0</v>
      </c>
      <c r="AL2" s="1">
        <v>0</v>
      </c>
      <c r="AM2" s="1">
        <v>0</v>
      </c>
      <c r="AN2" s="1">
        <v>0</v>
      </c>
      <c r="AO2" s="1">
        <v>0</v>
      </c>
      <c r="AP2" s="1">
        <v>0</v>
      </c>
      <c r="AQ2" s="1">
        <v>0</v>
      </c>
      <c r="AR2" s="1">
        <v>0</v>
      </c>
      <c r="AS2" s="1">
        <v>0</v>
      </c>
      <c r="AT2" s="1">
        <v>0</v>
      </c>
      <c r="AU2" s="1">
        <v>0</v>
      </c>
      <c r="AV2" s="1">
        <v>0</v>
      </c>
      <c r="AW2" s="1">
        <v>0</v>
      </c>
      <c r="AX2" s="1">
        <v>0</v>
      </c>
      <c r="AY2" s="1">
        <v>0</v>
      </c>
      <c r="AZ2" s="1">
        <v>0</v>
      </c>
      <c r="BA2" s="1">
        <v>0</v>
      </c>
      <c r="BB2" s="1">
        <v>0</v>
      </c>
      <c r="BC2" s="1">
        <v>0</v>
      </c>
      <c r="BD2" s="1">
        <v>0</v>
      </c>
      <c r="BE2" s="1">
        <v>0</v>
      </c>
      <c r="BF2" s="1">
        <v>0</v>
      </c>
      <c r="BG2" s="1">
        <v>0</v>
      </c>
      <c r="BH2" s="1">
        <v>0</v>
      </c>
      <c r="BI2" s="1">
        <v>0</v>
      </c>
      <c r="BJ2" s="1">
        <v>0</v>
      </c>
      <c r="BK2" s="1">
        <v>0</v>
      </c>
      <c r="BL2" s="1">
        <v>1</v>
      </c>
      <c r="BM2" s="1">
        <v>0</v>
      </c>
      <c r="BN2" s="1">
        <v>0</v>
      </c>
      <c r="BO2" s="1">
        <v>0</v>
      </c>
      <c r="BP2" s="1">
        <v>0</v>
      </c>
      <c r="BQ2" s="1">
        <v>0</v>
      </c>
      <c r="BR2" s="1">
        <v>0</v>
      </c>
      <c r="BS2" s="1">
        <v>0</v>
      </c>
      <c r="BT2" s="1">
        <v>0</v>
      </c>
      <c r="BU2" s="1">
        <v>0</v>
      </c>
      <c r="BV2" s="1">
        <v>0</v>
      </c>
      <c r="BW2" s="1">
        <v>0</v>
      </c>
      <c r="BX2" s="1">
        <v>0</v>
      </c>
      <c r="BY2" s="1">
        <v>0</v>
      </c>
    </row>
    <row r="3" spans="1:77" x14ac:dyDescent="0.3">
      <c r="A3" s="2">
        <v>45502</v>
      </c>
      <c r="B3" s="1">
        <v>211</v>
      </c>
      <c r="C3" s="1" t="s">
        <v>167</v>
      </c>
      <c r="D3" s="1" t="s">
        <v>152</v>
      </c>
      <c r="E3" s="1">
        <v>0</v>
      </c>
      <c r="F3" s="1">
        <v>0</v>
      </c>
      <c r="G3" s="1">
        <v>0</v>
      </c>
      <c r="H3" s="1">
        <v>0</v>
      </c>
      <c r="I3" s="1">
        <v>0</v>
      </c>
      <c r="J3" s="1">
        <v>0</v>
      </c>
      <c r="K3" s="1">
        <v>0</v>
      </c>
      <c r="L3" s="1">
        <v>0</v>
      </c>
      <c r="M3" s="1">
        <v>0</v>
      </c>
      <c r="N3" s="1">
        <v>0</v>
      </c>
      <c r="O3" s="1">
        <v>0</v>
      </c>
      <c r="P3" s="1">
        <v>0</v>
      </c>
      <c r="Q3" s="1">
        <v>0</v>
      </c>
      <c r="R3" s="1">
        <v>0</v>
      </c>
      <c r="S3" s="1">
        <v>0</v>
      </c>
      <c r="T3" s="1">
        <v>0</v>
      </c>
      <c r="U3" s="1">
        <v>0</v>
      </c>
      <c r="V3" s="1">
        <v>0</v>
      </c>
      <c r="W3" s="1">
        <v>0</v>
      </c>
      <c r="X3" s="1">
        <v>0</v>
      </c>
      <c r="Y3" s="1">
        <v>0</v>
      </c>
      <c r="Z3" s="1">
        <v>0</v>
      </c>
      <c r="AA3" s="1">
        <v>0</v>
      </c>
      <c r="AB3" s="1">
        <v>0</v>
      </c>
      <c r="AC3" s="1">
        <v>0</v>
      </c>
      <c r="AD3" s="1">
        <v>0</v>
      </c>
      <c r="AE3" s="1">
        <v>0</v>
      </c>
      <c r="AF3" s="1">
        <v>0</v>
      </c>
      <c r="AG3" s="1">
        <v>0</v>
      </c>
      <c r="AH3" s="1">
        <v>0</v>
      </c>
      <c r="AI3" s="1">
        <v>0</v>
      </c>
      <c r="AJ3" s="1">
        <v>0</v>
      </c>
      <c r="AK3" s="1">
        <v>0</v>
      </c>
      <c r="AL3" s="1">
        <v>2</v>
      </c>
      <c r="AM3" s="1">
        <v>0</v>
      </c>
      <c r="AN3" s="1">
        <v>0</v>
      </c>
      <c r="AO3" s="1">
        <v>0</v>
      </c>
      <c r="AP3" s="1">
        <v>1</v>
      </c>
      <c r="AQ3" s="1">
        <v>0</v>
      </c>
      <c r="AR3" s="1">
        <v>0</v>
      </c>
      <c r="AS3" s="1">
        <v>0</v>
      </c>
      <c r="AT3" s="1">
        <v>0</v>
      </c>
      <c r="AU3" s="1">
        <v>0</v>
      </c>
      <c r="AV3" s="1">
        <v>0</v>
      </c>
      <c r="AW3" s="1">
        <v>0</v>
      </c>
      <c r="AX3" s="1">
        <v>0</v>
      </c>
      <c r="AY3" s="1">
        <v>0</v>
      </c>
      <c r="AZ3" s="1">
        <v>0</v>
      </c>
      <c r="BA3" s="1">
        <v>0</v>
      </c>
      <c r="BB3" s="1">
        <v>0</v>
      </c>
      <c r="BC3" s="1">
        <v>0</v>
      </c>
      <c r="BD3" s="1">
        <v>0</v>
      </c>
      <c r="BE3" s="1">
        <v>0</v>
      </c>
      <c r="BF3" s="1">
        <v>0</v>
      </c>
      <c r="BG3" s="1">
        <v>0</v>
      </c>
      <c r="BH3" s="1">
        <v>0</v>
      </c>
      <c r="BI3" s="1">
        <v>0</v>
      </c>
      <c r="BJ3" s="1">
        <v>0</v>
      </c>
      <c r="BK3" s="1">
        <v>0</v>
      </c>
      <c r="BL3" s="1">
        <v>1</v>
      </c>
      <c r="BM3" s="1">
        <v>0</v>
      </c>
      <c r="BN3" s="1">
        <v>0</v>
      </c>
      <c r="BO3" s="1">
        <v>0</v>
      </c>
      <c r="BP3" s="1">
        <v>0</v>
      </c>
      <c r="BQ3" s="1">
        <v>0</v>
      </c>
      <c r="BR3" s="1">
        <v>0</v>
      </c>
      <c r="BS3" s="1">
        <v>0</v>
      </c>
      <c r="BT3" s="1">
        <v>0</v>
      </c>
      <c r="BU3" s="1">
        <v>0</v>
      </c>
      <c r="BV3" s="1">
        <v>0</v>
      </c>
      <c r="BW3" s="1">
        <v>0</v>
      </c>
      <c r="BX3" s="1">
        <v>0</v>
      </c>
      <c r="BY3" s="1">
        <v>0</v>
      </c>
    </row>
    <row r="4" spans="1:77" x14ac:dyDescent="0.3">
      <c r="A4" s="2">
        <v>45512</v>
      </c>
      <c r="B4" s="1">
        <v>221</v>
      </c>
      <c r="C4" s="1" t="s">
        <v>167</v>
      </c>
      <c r="D4" s="1" t="s">
        <v>201</v>
      </c>
      <c r="E4" s="1">
        <v>0</v>
      </c>
      <c r="F4" s="1">
        <v>0</v>
      </c>
      <c r="G4" s="1">
        <v>0</v>
      </c>
      <c r="H4" s="1">
        <v>0</v>
      </c>
      <c r="I4" s="1">
        <v>0</v>
      </c>
      <c r="J4" s="1">
        <v>0</v>
      </c>
      <c r="K4" s="1">
        <v>0</v>
      </c>
      <c r="L4" s="1">
        <v>0</v>
      </c>
      <c r="M4" s="1">
        <v>0</v>
      </c>
      <c r="N4" s="1">
        <v>0</v>
      </c>
      <c r="O4" s="1">
        <v>0</v>
      </c>
      <c r="P4" s="1">
        <v>0</v>
      </c>
      <c r="Q4" s="1">
        <v>0</v>
      </c>
      <c r="R4" s="1">
        <v>0</v>
      </c>
      <c r="S4" s="1">
        <v>0</v>
      </c>
      <c r="T4" s="1">
        <v>0</v>
      </c>
      <c r="U4" s="1">
        <v>0</v>
      </c>
      <c r="V4" s="1">
        <v>0</v>
      </c>
      <c r="W4" s="1">
        <v>0</v>
      </c>
      <c r="X4" s="1">
        <v>0</v>
      </c>
      <c r="Y4" s="1">
        <v>0</v>
      </c>
      <c r="Z4" s="1">
        <v>0</v>
      </c>
      <c r="AA4" s="1">
        <v>1</v>
      </c>
      <c r="AB4" s="1">
        <v>0</v>
      </c>
      <c r="AC4" s="1">
        <v>0</v>
      </c>
      <c r="AD4" s="1">
        <v>0</v>
      </c>
      <c r="AE4" s="1">
        <v>0</v>
      </c>
      <c r="AF4" s="1">
        <v>0</v>
      </c>
      <c r="AG4" s="1">
        <v>1</v>
      </c>
      <c r="AH4" s="1">
        <v>0</v>
      </c>
      <c r="AI4" s="1">
        <v>0</v>
      </c>
      <c r="AJ4" s="1">
        <v>0</v>
      </c>
      <c r="AK4" s="1">
        <v>0</v>
      </c>
      <c r="AL4" s="1">
        <v>0</v>
      </c>
      <c r="AM4" s="1">
        <v>0</v>
      </c>
      <c r="AN4" s="1">
        <v>0</v>
      </c>
      <c r="AO4" s="1">
        <v>0</v>
      </c>
      <c r="AP4" s="1">
        <v>0</v>
      </c>
      <c r="AQ4" s="1">
        <v>0</v>
      </c>
      <c r="AR4" s="1">
        <v>0</v>
      </c>
      <c r="AS4" s="1">
        <v>0</v>
      </c>
      <c r="AT4" s="1">
        <v>0</v>
      </c>
      <c r="AU4" s="1">
        <v>0</v>
      </c>
      <c r="AV4" s="1">
        <v>0</v>
      </c>
      <c r="AW4" s="1">
        <v>0</v>
      </c>
      <c r="AX4" s="1">
        <v>0</v>
      </c>
      <c r="AY4" s="1">
        <v>0</v>
      </c>
      <c r="AZ4" s="1">
        <v>0</v>
      </c>
      <c r="BA4" s="1">
        <v>0</v>
      </c>
      <c r="BB4" s="1">
        <v>0</v>
      </c>
      <c r="BC4" s="1">
        <v>0</v>
      </c>
      <c r="BD4" s="1">
        <v>0</v>
      </c>
      <c r="BE4" s="1">
        <v>0</v>
      </c>
      <c r="BF4" s="1">
        <v>0</v>
      </c>
      <c r="BG4" s="1">
        <v>0</v>
      </c>
      <c r="BH4" s="1">
        <v>0</v>
      </c>
      <c r="BI4" s="1">
        <v>0</v>
      </c>
      <c r="BJ4" s="1">
        <v>0</v>
      </c>
      <c r="BK4" s="1">
        <v>0</v>
      </c>
      <c r="BL4" s="1">
        <v>0</v>
      </c>
      <c r="BM4" s="1">
        <v>0</v>
      </c>
      <c r="BN4" s="1">
        <v>0</v>
      </c>
      <c r="BO4" s="1">
        <v>0</v>
      </c>
      <c r="BP4" s="1">
        <v>0</v>
      </c>
      <c r="BQ4" s="1">
        <v>0</v>
      </c>
      <c r="BR4" s="1">
        <v>0</v>
      </c>
      <c r="BS4" s="1">
        <v>0</v>
      </c>
      <c r="BT4" s="1">
        <v>0</v>
      </c>
      <c r="BU4" s="1">
        <v>0</v>
      </c>
      <c r="BV4" s="1">
        <v>0</v>
      </c>
      <c r="BW4" s="1">
        <v>0</v>
      </c>
      <c r="BX4" s="1">
        <v>0</v>
      </c>
      <c r="BY4" s="1">
        <v>0</v>
      </c>
    </row>
    <row r="5" spans="1:77" x14ac:dyDescent="0.3">
      <c r="A5" s="2">
        <v>45490</v>
      </c>
      <c r="B5" s="1">
        <v>199</v>
      </c>
      <c r="C5" s="1" t="s">
        <v>166</v>
      </c>
      <c r="D5" s="1" t="s">
        <v>152</v>
      </c>
      <c r="E5" s="1">
        <v>0</v>
      </c>
      <c r="F5" s="1">
        <v>0</v>
      </c>
      <c r="G5" s="1">
        <v>0</v>
      </c>
      <c r="H5" s="1">
        <v>0</v>
      </c>
      <c r="I5" s="1">
        <v>0</v>
      </c>
      <c r="J5" s="1">
        <v>0</v>
      </c>
      <c r="K5" s="1">
        <v>0</v>
      </c>
      <c r="L5" s="1">
        <v>0</v>
      </c>
      <c r="M5" s="1">
        <v>0</v>
      </c>
      <c r="N5" s="1">
        <v>0</v>
      </c>
      <c r="O5" s="1">
        <v>0</v>
      </c>
      <c r="P5" s="1">
        <v>0</v>
      </c>
      <c r="Q5" s="1">
        <v>0</v>
      </c>
      <c r="R5" s="1">
        <v>0</v>
      </c>
      <c r="S5" s="1">
        <v>0</v>
      </c>
      <c r="T5" s="1">
        <v>0</v>
      </c>
      <c r="U5" s="1">
        <v>0</v>
      </c>
      <c r="V5" s="1">
        <v>0</v>
      </c>
      <c r="W5" s="1">
        <v>0</v>
      </c>
      <c r="X5" s="1">
        <v>0</v>
      </c>
      <c r="Y5" s="1">
        <v>0</v>
      </c>
      <c r="Z5" s="1">
        <v>0</v>
      </c>
      <c r="AA5" s="1">
        <v>1</v>
      </c>
      <c r="AB5" s="1">
        <v>0</v>
      </c>
      <c r="AC5" s="1">
        <v>0</v>
      </c>
      <c r="AD5" s="1">
        <v>0</v>
      </c>
      <c r="AE5" s="1">
        <v>0</v>
      </c>
      <c r="AF5" s="1">
        <v>0</v>
      </c>
      <c r="AG5" s="1">
        <v>0</v>
      </c>
      <c r="AH5" s="1">
        <v>0</v>
      </c>
      <c r="AI5" s="1">
        <v>0</v>
      </c>
      <c r="AJ5" s="1">
        <v>0</v>
      </c>
      <c r="AK5" s="1">
        <v>1</v>
      </c>
      <c r="AL5" s="1">
        <v>0</v>
      </c>
      <c r="AM5" s="1">
        <v>0</v>
      </c>
      <c r="AN5" s="1">
        <v>0</v>
      </c>
      <c r="AO5" s="1">
        <v>0</v>
      </c>
      <c r="AP5" s="1">
        <v>0</v>
      </c>
      <c r="AQ5" s="1">
        <v>0</v>
      </c>
      <c r="AR5" s="1">
        <v>0</v>
      </c>
      <c r="AS5" s="1">
        <v>0</v>
      </c>
      <c r="AT5" s="1">
        <v>0</v>
      </c>
      <c r="AU5" s="1">
        <v>0</v>
      </c>
      <c r="AV5" s="1">
        <v>0</v>
      </c>
      <c r="AW5" s="1">
        <v>0</v>
      </c>
      <c r="AX5" s="1">
        <v>0</v>
      </c>
      <c r="AY5" s="1">
        <v>0</v>
      </c>
      <c r="AZ5" s="1">
        <v>0</v>
      </c>
      <c r="BA5" s="1">
        <v>0</v>
      </c>
      <c r="BB5" s="1">
        <v>0</v>
      </c>
      <c r="BC5" s="1">
        <v>0</v>
      </c>
      <c r="BD5" s="1">
        <v>0</v>
      </c>
      <c r="BE5" s="1">
        <v>0</v>
      </c>
      <c r="BF5" s="1">
        <v>0</v>
      </c>
      <c r="BG5" s="1">
        <v>0</v>
      </c>
      <c r="BH5" s="1">
        <v>0</v>
      </c>
      <c r="BI5" s="1">
        <v>0</v>
      </c>
      <c r="BJ5" s="1">
        <v>0</v>
      </c>
      <c r="BK5" s="1">
        <v>0</v>
      </c>
      <c r="BL5" s="1">
        <v>1</v>
      </c>
      <c r="BM5" s="1">
        <v>0</v>
      </c>
      <c r="BN5" s="1">
        <v>0</v>
      </c>
      <c r="BO5" s="1">
        <v>0</v>
      </c>
      <c r="BP5" s="1">
        <v>0</v>
      </c>
      <c r="BQ5" s="1">
        <v>0</v>
      </c>
      <c r="BR5" s="1">
        <v>0</v>
      </c>
      <c r="BS5" s="1">
        <v>0</v>
      </c>
      <c r="BT5" s="1">
        <v>0</v>
      </c>
      <c r="BU5" s="1">
        <v>0</v>
      </c>
      <c r="BV5" s="1">
        <v>0</v>
      </c>
      <c r="BW5" s="1">
        <v>0</v>
      </c>
      <c r="BX5" s="1">
        <v>0</v>
      </c>
      <c r="BY5" s="1">
        <v>0</v>
      </c>
    </row>
    <row r="6" spans="1:77" x14ac:dyDescent="0.3">
      <c r="A6" s="2">
        <v>45490</v>
      </c>
      <c r="B6" s="1">
        <v>199</v>
      </c>
      <c r="C6" s="1" t="s">
        <v>166</v>
      </c>
      <c r="D6" s="1" t="s">
        <v>152</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c r="Z6" s="1">
        <v>0</v>
      </c>
      <c r="AA6" s="1">
        <v>0</v>
      </c>
      <c r="AB6" s="1">
        <v>0</v>
      </c>
      <c r="AC6" s="1">
        <v>0</v>
      </c>
      <c r="AD6" s="1">
        <v>0</v>
      </c>
      <c r="AE6" s="1">
        <v>0</v>
      </c>
      <c r="AF6" s="1">
        <v>0</v>
      </c>
      <c r="AG6" s="1">
        <v>0</v>
      </c>
      <c r="AH6" s="1">
        <v>0</v>
      </c>
      <c r="AI6" s="1">
        <v>0</v>
      </c>
      <c r="AJ6" s="1">
        <v>0</v>
      </c>
      <c r="AK6" s="1">
        <v>0</v>
      </c>
      <c r="AL6" s="1">
        <v>1</v>
      </c>
      <c r="AM6" s="1">
        <v>0</v>
      </c>
      <c r="AN6" s="1">
        <v>0</v>
      </c>
      <c r="AO6" s="1">
        <v>0</v>
      </c>
      <c r="AP6" s="1">
        <v>0</v>
      </c>
      <c r="AQ6" s="1">
        <v>0</v>
      </c>
      <c r="AR6" s="1">
        <v>0</v>
      </c>
      <c r="AS6" s="1">
        <v>0</v>
      </c>
      <c r="AT6" s="1">
        <v>0</v>
      </c>
      <c r="AU6" s="1">
        <v>0</v>
      </c>
      <c r="AV6" s="1">
        <v>0</v>
      </c>
      <c r="AW6" s="1">
        <v>0</v>
      </c>
      <c r="AX6" s="1">
        <v>0</v>
      </c>
      <c r="AY6" s="1">
        <v>0</v>
      </c>
      <c r="AZ6" s="1">
        <v>0</v>
      </c>
      <c r="BA6" s="1">
        <v>0</v>
      </c>
      <c r="BB6" s="1">
        <v>0</v>
      </c>
      <c r="BC6" s="1">
        <v>0</v>
      </c>
      <c r="BD6" s="1">
        <v>0</v>
      </c>
      <c r="BE6" s="1">
        <v>0</v>
      </c>
      <c r="BF6" s="1">
        <v>0</v>
      </c>
      <c r="BG6" s="1">
        <v>0</v>
      </c>
      <c r="BH6" s="1">
        <v>0</v>
      </c>
      <c r="BI6" s="1">
        <v>0</v>
      </c>
      <c r="BJ6" s="1">
        <v>0</v>
      </c>
      <c r="BK6" s="1">
        <v>0</v>
      </c>
      <c r="BL6" s="1">
        <v>0</v>
      </c>
      <c r="BM6" s="1">
        <v>0</v>
      </c>
      <c r="BN6" s="1">
        <v>0</v>
      </c>
      <c r="BO6" s="1">
        <v>0</v>
      </c>
      <c r="BP6" s="1">
        <v>0</v>
      </c>
      <c r="BQ6" s="1">
        <v>0</v>
      </c>
      <c r="BR6" s="1">
        <v>0</v>
      </c>
      <c r="BS6" s="1">
        <v>0</v>
      </c>
      <c r="BT6" s="1">
        <v>0</v>
      </c>
      <c r="BU6" s="1">
        <v>0</v>
      </c>
      <c r="BV6" s="1">
        <v>0</v>
      </c>
      <c r="BW6" s="1">
        <v>0</v>
      </c>
      <c r="BX6" s="1">
        <v>0</v>
      </c>
      <c r="BY6" s="1">
        <v>0</v>
      </c>
    </row>
    <row r="7" spans="1:77" x14ac:dyDescent="0.3">
      <c r="A7" s="2">
        <v>45512</v>
      </c>
      <c r="B7" s="1">
        <v>221</v>
      </c>
      <c r="C7" s="1" t="s">
        <v>166</v>
      </c>
      <c r="D7" s="1" t="s">
        <v>201</v>
      </c>
      <c r="E7" s="1">
        <v>0</v>
      </c>
      <c r="F7" s="1">
        <v>0</v>
      </c>
      <c r="G7" s="1">
        <v>0</v>
      </c>
      <c r="H7" s="1">
        <v>0</v>
      </c>
      <c r="I7" s="1">
        <v>0</v>
      </c>
      <c r="J7" s="1">
        <v>0</v>
      </c>
      <c r="K7" s="1">
        <v>0</v>
      </c>
      <c r="L7" s="1">
        <v>0</v>
      </c>
      <c r="M7" s="1">
        <v>0</v>
      </c>
      <c r="N7" s="1">
        <v>0</v>
      </c>
      <c r="O7" s="1">
        <v>0</v>
      </c>
      <c r="P7" s="1">
        <v>0</v>
      </c>
      <c r="Q7" s="1">
        <v>0</v>
      </c>
      <c r="R7" s="1">
        <v>0</v>
      </c>
      <c r="S7" s="1">
        <v>0</v>
      </c>
      <c r="T7" s="1">
        <v>0</v>
      </c>
      <c r="U7" s="1">
        <v>0</v>
      </c>
      <c r="V7" s="1">
        <v>0</v>
      </c>
      <c r="W7" s="1">
        <v>0</v>
      </c>
      <c r="X7" s="1">
        <v>0</v>
      </c>
      <c r="Y7" s="1">
        <v>0</v>
      </c>
      <c r="Z7" s="1">
        <v>0</v>
      </c>
      <c r="AA7" s="1">
        <v>2</v>
      </c>
      <c r="AB7" s="1">
        <v>0</v>
      </c>
      <c r="AC7" s="1">
        <v>0</v>
      </c>
      <c r="AD7" s="1">
        <v>0</v>
      </c>
      <c r="AE7" s="1">
        <v>0</v>
      </c>
      <c r="AF7" s="1">
        <v>2</v>
      </c>
      <c r="AG7" s="1">
        <v>0</v>
      </c>
      <c r="AH7" s="1">
        <v>0</v>
      </c>
      <c r="AI7" s="1">
        <v>0</v>
      </c>
      <c r="AJ7" s="1">
        <v>0</v>
      </c>
      <c r="AK7" s="1">
        <v>0</v>
      </c>
      <c r="AL7" s="1">
        <v>0</v>
      </c>
      <c r="AM7" s="1">
        <v>0</v>
      </c>
      <c r="AN7" s="1">
        <v>0</v>
      </c>
      <c r="AO7" s="1">
        <v>0</v>
      </c>
      <c r="AP7" s="1">
        <v>0</v>
      </c>
      <c r="AQ7" s="1">
        <v>0</v>
      </c>
      <c r="AR7" s="1">
        <v>0</v>
      </c>
      <c r="AS7" s="1">
        <v>0</v>
      </c>
      <c r="AT7" s="1">
        <v>0</v>
      </c>
      <c r="AU7" s="1">
        <v>0</v>
      </c>
      <c r="AV7" s="1">
        <v>0</v>
      </c>
      <c r="AW7" s="1">
        <v>0</v>
      </c>
      <c r="AX7" s="1">
        <v>0</v>
      </c>
      <c r="AY7" s="1">
        <v>0</v>
      </c>
      <c r="AZ7" s="1">
        <v>0</v>
      </c>
      <c r="BA7" s="1">
        <v>0</v>
      </c>
      <c r="BB7" s="1">
        <v>0</v>
      </c>
      <c r="BC7" s="1">
        <v>1</v>
      </c>
      <c r="BD7" s="1">
        <v>0</v>
      </c>
      <c r="BE7" s="1">
        <v>0</v>
      </c>
      <c r="BF7" s="1">
        <v>0</v>
      </c>
      <c r="BG7" s="1">
        <v>0</v>
      </c>
      <c r="BH7" s="1">
        <v>0</v>
      </c>
      <c r="BI7" s="1">
        <v>1</v>
      </c>
      <c r="BJ7" s="1">
        <v>0</v>
      </c>
      <c r="BK7" s="1">
        <v>0</v>
      </c>
      <c r="BL7" s="1">
        <v>0</v>
      </c>
      <c r="BM7" s="1">
        <v>0</v>
      </c>
      <c r="BN7" s="1">
        <v>0</v>
      </c>
      <c r="BO7" s="1">
        <v>0</v>
      </c>
      <c r="BP7" s="1">
        <v>0</v>
      </c>
      <c r="BQ7" s="1">
        <v>0</v>
      </c>
      <c r="BR7" s="1">
        <v>0</v>
      </c>
      <c r="BS7" s="1">
        <v>0</v>
      </c>
      <c r="BT7" s="1">
        <v>0</v>
      </c>
      <c r="BU7" s="1">
        <v>0</v>
      </c>
      <c r="BV7" s="1">
        <v>0</v>
      </c>
      <c r="BW7" s="1">
        <v>0</v>
      </c>
      <c r="BX7" s="1">
        <v>0</v>
      </c>
      <c r="BY7" s="1">
        <v>0</v>
      </c>
    </row>
    <row r="8" spans="1:77" x14ac:dyDescent="0.3">
      <c r="A8" s="2">
        <v>45490</v>
      </c>
      <c r="B8" s="1">
        <v>199</v>
      </c>
      <c r="C8" s="1" t="s">
        <v>170</v>
      </c>
      <c r="D8" s="1" t="s">
        <v>152</v>
      </c>
      <c r="E8" s="1">
        <v>0</v>
      </c>
      <c r="F8" s="1">
        <v>0</v>
      </c>
      <c r="G8" s="1">
        <v>0</v>
      </c>
      <c r="H8" s="1">
        <v>0</v>
      </c>
      <c r="I8" s="1">
        <v>0</v>
      </c>
      <c r="J8" s="1">
        <v>0</v>
      </c>
      <c r="K8" s="1">
        <v>0</v>
      </c>
      <c r="L8" s="1">
        <v>0</v>
      </c>
      <c r="M8" s="1">
        <v>0</v>
      </c>
      <c r="N8" s="1">
        <v>0</v>
      </c>
      <c r="O8" s="1">
        <v>0</v>
      </c>
      <c r="P8" s="1">
        <v>0</v>
      </c>
      <c r="Q8" s="1">
        <v>0</v>
      </c>
      <c r="R8" s="1">
        <v>0</v>
      </c>
      <c r="S8" s="1">
        <v>0</v>
      </c>
      <c r="T8" s="1">
        <v>0</v>
      </c>
      <c r="U8" s="1">
        <v>0</v>
      </c>
      <c r="V8" s="1">
        <v>0</v>
      </c>
      <c r="W8" s="1">
        <v>0</v>
      </c>
      <c r="X8" s="1">
        <v>0</v>
      </c>
      <c r="Y8" s="1">
        <v>0</v>
      </c>
      <c r="Z8" s="1">
        <v>0</v>
      </c>
      <c r="AA8" s="1">
        <v>0</v>
      </c>
      <c r="AB8" s="1">
        <v>0</v>
      </c>
      <c r="AC8" s="1">
        <v>0</v>
      </c>
      <c r="AD8" s="1">
        <v>0</v>
      </c>
      <c r="AE8" s="1">
        <v>0</v>
      </c>
      <c r="AF8" s="1">
        <v>0</v>
      </c>
      <c r="AG8" s="1">
        <v>0</v>
      </c>
      <c r="AH8" s="1">
        <v>0</v>
      </c>
      <c r="AI8" s="1">
        <v>0</v>
      </c>
      <c r="AJ8" s="1">
        <v>0</v>
      </c>
      <c r="AK8" s="1">
        <v>0</v>
      </c>
      <c r="AL8" s="1">
        <v>3</v>
      </c>
      <c r="AM8" s="1">
        <v>0</v>
      </c>
      <c r="AN8" s="1">
        <v>0</v>
      </c>
      <c r="AO8" s="1">
        <v>0</v>
      </c>
      <c r="AP8" s="1">
        <v>0</v>
      </c>
      <c r="AQ8" s="1">
        <v>0</v>
      </c>
      <c r="AR8" s="1">
        <v>0</v>
      </c>
      <c r="AS8" s="1">
        <v>0</v>
      </c>
      <c r="AT8" s="1">
        <v>0</v>
      </c>
      <c r="AU8" s="1">
        <v>0</v>
      </c>
      <c r="AV8" s="1">
        <v>0</v>
      </c>
      <c r="AW8" s="1">
        <v>0</v>
      </c>
      <c r="AX8" s="1">
        <v>0</v>
      </c>
      <c r="AY8" s="1">
        <v>0</v>
      </c>
      <c r="AZ8" s="1">
        <v>0</v>
      </c>
      <c r="BA8" s="1">
        <v>0</v>
      </c>
      <c r="BB8" s="1">
        <v>0</v>
      </c>
      <c r="BC8" s="1">
        <v>0</v>
      </c>
      <c r="BD8" s="1">
        <v>0</v>
      </c>
      <c r="BE8" s="1">
        <v>0</v>
      </c>
      <c r="BF8" s="1">
        <v>0</v>
      </c>
      <c r="BG8" s="1">
        <v>0</v>
      </c>
      <c r="BH8" s="1">
        <v>0</v>
      </c>
      <c r="BI8" s="1">
        <v>0</v>
      </c>
      <c r="BJ8" s="1">
        <v>0</v>
      </c>
      <c r="BK8" s="1">
        <v>1</v>
      </c>
      <c r="BL8" s="1">
        <v>2</v>
      </c>
      <c r="BM8" s="1">
        <v>0</v>
      </c>
      <c r="BN8" s="1">
        <v>0</v>
      </c>
      <c r="BO8" s="1">
        <v>0</v>
      </c>
      <c r="BP8" s="1">
        <v>0</v>
      </c>
      <c r="BQ8" s="1">
        <v>0</v>
      </c>
      <c r="BR8" s="1">
        <v>0</v>
      </c>
      <c r="BS8" s="1">
        <v>0</v>
      </c>
      <c r="BT8" s="1">
        <v>0</v>
      </c>
      <c r="BU8" s="1">
        <v>0</v>
      </c>
      <c r="BV8" s="1">
        <v>0</v>
      </c>
      <c r="BW8" s="1">
        <v>0</v>
      </c>
      <c r="BX8" s="1">
        <v>0</v>
      </c>
      <c r="BY8" s="1">
        <v>0</v>
      </c>
    </row>
    <row r="9" spans="1:77" x14ac:dyDescent="0.3">
      <c r="A9" s="2">
        <v>45499</v>
      </c>
      <c r="B9" s="1">
        <v>208</v>
      </c>
      <c r="C9" s="1" t="s">
        <v>170</v>
      </c>
      <c r="D9" s="1" t="s">
        <v>152</v>
      </c>
      <c r="E9" s="1">
        <v>0</v>
      </c>
      <c r="F9" s="1">
        <v>0</v>
      </c>
      <c r="G9" s="1">
        <v>0</v>
      </c>
      <c r="H9" s="1">
        <v>0</v>
      </c>
      <c r="I9" s="1">
        <v>0</v>
      </c>
      <c r="J9" s="1">
        <v>0</v>
      </c>
      <c r="K9" s="1">
        <v>0</v>
      </c>
      <c r="L9" s="1">
        <v>0</v>
      </c>
      <c r="M9" s="1">
        <v>0</v>
      </c>
      <c r="N9" s="1">
        <v>0</v>
      </c>
      <c r="O9" s="1">
        <v>0</v>
      </c>
      <c r="P9" s="1">
        <v>0</v>
      </c>
      <c r="Q9" s="1">
        <v>0</v>
      </c>
      <c r="R9" s="1">
        <v>0</v>
      </c>
      <c r="S9" s="1">
        <v>0</v>
      </c>
      <c r="T9" s="1">
        <v>0</v>
      </c>
      <c r="U9" s="1">
        <v>0</v>
      </c>
      <c r="V9" s="1">
        <v>0</v>
      </c>
      <c r="W9" s="1">
        <v>0</v>
      </c>
      <c r="X9" s="1">
        <v>0</v>
      </c>
      <c r="Y9" s="1">
        <v>0</v>
      </c>
      <c r="Z9" s="1">
        <v>0</v>
      </c>
      <c r="AA9" s="1">
        <v>0</v>
      </c>
      <c r="AB9" s="1">
        <v>0</v>
      </c>
      <c r="AC9" s="1">
        <v>0</v>
      </c>
      <c r="AD9" s="1">
        <v>0</v>
      </c>
      <c r="AE9" s="1">
        <v>0</v>
      </c>
      <c r="AF9" s="1">
        <v>0</v>
      </c>
      <c r="AG9" s="1">
        <v>0</v>
      </c>
      <c r="AH9" s="1">
        <v>0</v>
      </c>
      <c r="AI9" s="1">
        <v>0</v>
      </c>
      <c r="AJ9" s="1">
        <v>0</v>
      </c>
      <c r="AK9" s="1">
        <v>0</v>
      </c>
      <c r="AL9" s="1">
        <v>1</v>
      </c>
      <c r="AM9" s="1">
        <v>0</v>
      </c>
      <c r="AN9" s="1">
        <v>0</v>
      </c>
      <c r="AO9" s="1">
        <v>0</v>
      </c>
      <c r="AP9" s="1">
        <v>0</v>
      </c>
      <c r="AQ9" s="1">
        <v>0</v>
      </c>
      <c r="AR9" s="1">
        <v>0</v>
      </c>
      <c r="AS9" s="1">
        <v>0</v>
      </c>
      <c r="AT9" s="1">
        <v>0</v>
      </c>
      <c r="AU9" s="1">
        <v>0</v>
      </c>
      <c r="AV9" s="1">
        <v>0</v>
      </c>
      <c r="AW9" s="1">
        <v>0</v>
      </c>
      <c r="AX9" s="1">
        <v>0</v>
      </c>
      <c r="AY9" s="1">
        <v>0</v>
      </c>
      <c r="AZ9" s="1">
        <v>0</v>
      </c>
      <c r="BA9" s="1">
        <v>0</v>
      </c>
      <c r="BB9" s="1">
        <v>0</v>
      </c>
      <c r="BC9" s="1">
        <v>0</v>
      </c>
      <c r="BD9" s="1">
        <v>0</v>
      </c>
      <c r="BE9" s="1">
        <v>0</v>
      </c>
      <c r="BF9" s="1">
        <v>0</v>
      </c>
      <c r="BG9" s="1">
        <v>0</v>
      </c>
      <c r="BH9" s="1">
        <v>0</v>
      </c>
      <c r="BI9" s="1">
        <v>0</v>
      </c>
      <c r="BJ9" s="1">
        <v>0</v>
      </c>
      <c r="BK9" s="1">
        <v>0</v>
      </c>
      <c r="BL9" s="1">
        <v>0</v>
      </c>
      <c r="BM9" s="1">
        <v>0</v>
      </c>
      <c r="BN9" s="1">
        <v>0</v>
      </c>
      <c r="BO9" s="1">
        <v>0</v>
      </c>
      <c r="BP9" s="1">
        <v>0</v>
      </c>
      <c r="BQ9" s="1">
        <v>0</v>
      </c>
      <c r="BR9" s="1">
        <v>0</v>
      </c>
      <c r="BS9" s="1">
        <v>0</v>
      </c>
      <c r="BT9" s="1">
        <v>0</v>
      </c>
      <c r="BU9" s="1">
        <v>0</v>
      </c>
      <c r="BV9" s="1">
        <v>0</v>
      </c>
      <c r="BW9" s="1">
        <v>0</v>
      </c>
      <c r="BX9" s="1">
        <v>0</v>
      </c>
      <c r="BY9" s="1">
        <v>0</v>
      </c>
    </row>
    <row r="10" spans="1:77" x14ac:dyDescent="0.3">
      <c r="A10" s="2">
        <v>45502</v>
      </c>
      <c r="B10" s="1">
        <v>211</v>
      </c>
      <c r="C10" s="1" t="s">
        <v>170</v>
      </c>
      <c r="D10" s="1" t="s">
        <v>152</v>
      </c>
      <c r="E10" s="1">
        <v>0</v>
      </c>
      <c r="F10" s="1">
        <v>0</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1</v>
      </c>
      <c r="Z10" s="1">
        <v>0</v>
      </c>
      <c r="AA10" s="1">
        <v>0</v>
      </c>
      <c r="AB10" s="1">
        <v>0</v>
      </c>
      <c r="AC10" s="1">
        <v>0</v>
      </c>
      <c r="AD10" s="1">
        <v>0</v>
      </c>
      <c r="AE10" s="1">
        <v>0</v>
      </c>
      <c r="AF10" s="1">
        <v>0</v>
      </c>
      <c r="AG10" s="1">
        <v>0</v>
      </c>
      <c r="AH10" s="1">
        <v>0</v>
      </c>
      <c r="AI10" s="1">
        <v>0</v>
      </c>
      <c r="AJ10" s="1">
        <v>0</v>
      </c>
      <c r="AK10" s="1">
        <v>0</v>
      </c>
      <c r="AL10" s="1">
        <v>1</v>
      </c>
      <c r="AM10" s="1">
        <v>0</v>
      </c>
      <c r="AN10" s="1">
        <v>0</v>
      </c>
      <c r="AO10" s="1">
        <v>0</v>
      </c>
      <c r="AP10" s="1">
        <v>0</v>
      </c>
      <c r="AQ10" s="1">
        <v>0</v>
      </c>
      <c r="AR10" s="1">
        <v>0</v>
      </c>
      <c r="AS10" s="1">
        <v>0</v>
      </c>
      <c r="AT10" s="1">
        <v>0</v>
      </c>
      <c r="AU10" s="1">
        <v>0</v>
      </c>
      <c r="AV10" s="1">
        <v>0</v>
      </c>
      <c r="AW10" s="1">
        <v>0</v>
      </c>
      <c r="AX10" s="1">
        <v>0</v>
      </c>
      <c r="AY10" s="1">
        <v>0</v>
      </c>
      <c r="AZ10" s="1">
        <v>0</v>
      </c>
      <c r="BA10" s="1">
        <v>0</v>
      </c>
      <c r="BB10" s="1">
        <v>0</v>
      </c>
      <c r="BC10" s="1">
        <v>0</v>
      </c>
      <c r="BD10" s="1">
        <v>0</v>
      </c>
      <c r="BE10" s="1">
        <v>0</v>
      </c>
      <c r="BF10" s="1">
        <v>0</v>
      </c>
      <c r="BG10" s="1">
        <v>0</v>
      </c>
      <c r="BH10" s="1">
        <v>0</v>
      </c>
      <c r="BI10" s="1">
        <v>0</v>
      </c>
      <c r="BJ10" s="1">
        <v>0</v>
      </c>
      <c r="BK10" s="1">
        <v>0</v>
      </c>
      <c r="BL10" s="1">
        <v>4</v>
      </c>
      <c r="BM10" s="1">
        <v>0</v>
      </c>
      <c r="BN10" s="1">
        <v>0</v>
      </c>
      <c r="BO10" s="1">
        <v>0</v>
      </c>
      <c r="BP10" s="1">
        <v>0</v>
      </c>
      <c r="BQ10" s="1">
        <v>0</v>
      </c>
      <c r="BR10" s="1">
        <v>0</v>
      </c>
      <c r="BS10" s="1">
        <v>0</v>
      </c>
      <c r="BT10" s="1">
        <v>0</v>
      </c>
      <c r="BU10" s="1">
        <v>0</v>
      </c>
      <c r="BV10" s="1">
        <v>0</v>
      </c>
      <c r="BW10" s="1">
        <v>1</v>
      </c>
      <c r="BX10" s="1">
        <v>0</v>
      </c>
      <c r="BY10" s="1">
        <v>0</v>
      </c>
    </row>
    <row r="11" spans="1:77" x14ac:dyDescent="0.3">
      <c r="A11" s="2">
        <v>45512</v>
      </c>
      <c r="B11" s="1">
        <v>221</v>
      </c>
      <c r="C11" s="1" t="s">
        <v>170</v>
      </c>
      <c r="D11" s="1" t="s">
        <v>201</v>
      </c>
      <c r="E11" s="1">
        <v>0</v>
      </c>
      <c r="F11" s="1">
        <v>0</v>
      </c>
      <c r="G11" s="1">
        <v>0</v>
      </c>
      <c r="H11" s="1">
        <v>0</v>
      </c>
      <c r="I11" s="1">
        <v>0</v>
      </c>
      <c r="J11" s="1">
        <v>0</v>
      </c>
      <c r="K11" s="1">
        <v>0</v>
      </c>
      <c r="L11" s="1">
        <v>0</v>
      </c>
      <c r="M11" s="1">
        <v>0</v>
      </c>
      <c r="N11" s="1">
        <v>0</v>
      </c>
      <c r="O11" s="1">
        <v>0</v>
      </c>
      <c r="P11" s="1">
        <v>0</v>
      </c>
      <c r="Q11" s="1">
        <v>0</v>
      </c>
      <c r="R11" s="1">
        <v>0</v>
      </c>
      <c r="S11" s="1">
        <v>0</v>
      </c>
      <c r="T11" s="1">
        <v>0</v>
      </c>
      <c r="U11" s="1">
        <v>0</v>
      </c>
      <c r="V11" s="1">
        <v>0</v>
      </c>
      <c r="W11" s="1">
        <v>0</v>
      </c>
      <c r="X11" s="1">
        <v>0</v>
      </c>
      <c r="Y11" s="1">
        <v>0</v>
      </c>
      <c r="Z11" s="1">
        <v>0</v>
      </c>
      <c r="AA11" s="1">
        <v>1</v>
      </c>
      <c r="AB11" s="1">
        <v>0</v>
      </c>
      <c r="AC11" s="1">
        <v>0</v>
      </c>
      <c r="AD11" s="1">
        <v>0</v>
      </c>
      <c r="AE11" s="1">
        <v>0</v>
      </c>
      <c r="AF11" s="1">
        <v>0</v>
      </c>
      <c r="AG11" s="1">
        <v>0</v>
      </c>
      <c r="AH11" s="1">
        <v>0</v>
      </c>
      <c r="AI11" s="1">
        <v>0</v>
      </c>
      <c r="AJ11" s="1">
        <v>0</v>
      </c>
      <c r="AK11" s="1">
        <v>1</v>
      </c>
      <c r="AL11" s="1">
        <v>0</v>
      </c>
      <c r="AM11" s="1">
        <v>0</v>
      </c>
      <c r="AN11" s="1">
        <v>0</v>
      </c>
      <c r="AO11" s="1">
        <v>0</v>
      </c>
      <c r="AP11" s="1">
        <v>0</v>
      </c>
      <c r="AQ11" s="1">
        <v>0</v>
      </c>
      <c r="AR11" s="1">
        <v>0</v>
      </c>
      <c r="AS11" s="1">
        <v>0</v>
      </c>
      <c r="AT11" s="1">
        <v>0</v>
      </c>
      <c r="AU11" s="1">
        <v>0</v>
      </c>
      <c r="AV11" s="1">
        <v>0</v>
      </c>
      <c r="AW11" s="1">
        <v>0</v>
      </c>
      <c r="AX11" s="1">
        <v>0</v>
      </c>
      <c r="AY11" s="1">
        <v>0</v>
      </c>
      <c r="AZ11" s="1">
        <v>0</v>
      </c>
      <c r="BA11" s="1">
        <v>0</v>
      </c>
      <c r="BB11" s="1">
        <v>0</v>
      </c>
      <c r="BC11" s="1">
        <v>0</v>
      </c>
      <c r="BD11" s="1">
        <v>0</v>
      </c>
      <c r="BE11" s="1">
        <v>0</v>
      </c>
      <c r="BF11" s="1">
        <v>0</v>
      </c>
      <c r="BG11" s="1">
        <v>0</v>
      </c>
      <c r="BH11" s="1">
        <v>0</v>
      </c>
      <c r="BI11" s="1">
        <v>0</v>
      </c>
      <c r="BJ11" s="1">
        <v>0</v>
      </c>
      <c r="BK11" s="1">
        <v>0</v>
      </c>
      <c r="BL11" s="1">
        <v>0</v>
      </c>
      <c r="BM11" s="1">
        <v>0</v>
      </c>
      <c r="BN11" s="1">
        <v>0</v>
      </c>
      <c r="BO11" s="1">
        <v>0</v>
      </c>
      <c r="BP11" s="1">
        <v>0</v>
      </c>
      <c r="BQ11" s="1">
        <v>0</v>
      </c>
      <c r="BR11" s="1">
        <v>0</v>
      </c>
      <c r="BS11" s="1">
        <v>0</v>
      </c>
      <c r="BT11" s="1">
        <v>0</v>
      </c>
      <c r="BU11" s="1">
        <v>0</v>
      </c>
      <c r="BV11" s="1">
        <v>0</v>
      </c>
      <c r="BW11" s="1">
        <v>0</v>
      </c>
      <c r="BX11" s="1">
        <v>0</v>
      </c>
      <c r="BY11" s="1">
        <v>0</v>
      </c>
    </row>
    <row r="12" spans="1:77" x14ac:dyDescent="0.3">
      <c r="A12" s="2">
        <v>45491</v>
      </c>
      <c r="B12" s="1">
        <v>200</v>
      </c>
      <c r="C12" s="1" t="s">
        <v>171</v>
      </c>
      <c r="D12" s="1" t="s">
        <v>152</v>
      </c>
      <c r="E12" s="1">
        <v>0</v>
      </c>
      <c r="F12" s="1">
        <v>0</v>
      </c>
      <c r="G12" s="1">
        <v>0</v>
      </c>
      <c r="H12" s="1">
        <v>0</v>
      </c>
      <c r="I12" s="1">
        <v>0</v>
      </c>
      <c r="J12" s="1">
        <v>0</v>
      </c>
      <c r="K12" s="1">
        <v>0</v>
      </c>
      <c r="L12" s="1">
        <v>0</v>
      </c>
      <c r="M12" s="1">
        <v>0</v>
      </c>
      <c r="N12" s="1">
        <v>0</v>
      </c>
      <c r="O12" s="1">
        <v>0</v>
      </c>
      <c r="P12" s="1">
        <v>0</v>
      </c>
      <c r="Q12" s="1">
        <v>0</v>
      </c>
      <c r="R12" s="1">
        <v>0</v>
      </c>
      <c r="S12" s="1">
        <v>0</v>
      </c>
      <c r="T12" s="1">
        <v>0</v>
      </c>
      <c r="U12" s="1">
        <v>0</v>
      </c>
      <c r="V12" s="1">
        <v>0</v>
      </c>
      <c r="W12" s="1">
        <v>0</v>
      </c>
      <c r="X12" s="1">
        <v>0</v>
      </c>
      <c r="Y12" s="1">
        <v>1</v>
      </c>
      <c r="Z12" s="1">
        <v>0</v>
      </c>
      <c r="AA12" s="1">
        <v>1</v>
      </c>
      <c r="AB12" s="1">
        <v>0</v>
      </c>
      <c r="AC12" s="1">
        <v>0</v>
      </c>
      <c r="AD12" s="1">
        <v>0</v>
      </c>
      <c r="AE12" s="1">
        <v>0</v>
      </c>
      <c r="AF12" s="1">
        <v>0</v>
      </c>
      <c r="AG12" s="1">
        <v>0</v>
      </c>
      <c r="AH12" s="1">
        <v>0</v>
      </c>
      <c r="AI12" s="1">
        <v>0</v>
      </c>
      <c r="AJ12" s="1">
        <v>0</v>
      </c>
      <c r="AK12" s="1">
        <v>1</v>
      </c>
      <c r="AL12" s="1">
        <v>1</v>
      </c>
      <c r="AM12" s="1">
        <v>0</v>
      </c>
      <c r="AN12" s="1">
        <v>0</v>
      </c>
      <c r="AO12" s="1">
        <v>0</v>
      </c>
      <c r="AP12" s="1">
        <v>0</v>
      </c>
      <c r="AQ12" s="1">
        <v>0</v>
      </c>
      <c r="AR12" s="1">
        <v>0</v>
      </c>
      <c r="AS12" s="1">
        <v>0</v>
      </c>
      <c r="AT12" s="1">
        <v>0</v>
      </c>
      <c r="AU12" s="1">
        <v>0</v>
      </c>
      <c r="AV12" s="1">
        <v>0</v>
      </c>
      <c r="AW12" s="1">
        <v>0</v>
      </c>
      <c r="AX12" s="1">
        <v>0</v>
      </c>
      <c r="AY12" s="1">
        <v>0</v>
      </c>
      <c r="AZ12" s="1">
        <v>0</v>
      </c>
      <c r="BA12" s="1">
        <v>0</v>
      </c>
      <c r="BB12" s="1">
        <v>0</v>
      </c>
      <c r="BC12" s="1">
        <v>0</v>
      </c>
      <c r="BD12" s="1">
        <v>0</v>
      </c>
      <c r="BE12" s="1">
        <v>0</v>
      </c>
      <c r="BF12" s="1">
        <v>0</v>
      </c>
      <c r="BG12" s="1">
        <v>0</v>
      </c>
      <c r="BH12" s="1">
        <v>0</v>
      </c>
      <c r="BI12" s="1">
        <v>0</v>
      </c>
      <c r="BJ12" s="1">
        <v>0</v>
      </c>
      <c r="BK12" s="1">
        <v>0</v>
      </c>
      <c r="BL12" s="1">
        <v>2</v>
      </c>
      <c r="BM12" s="1">
        <v>0</v>
      </c>
      <c r="BN12" s="1">
        <v>0</v>
      </c>
      <c r="BO12" s="1">
        <v>0</v>
      </c>
      <c r="BP12" s="1">
        <v>0</v>
      </c>
      <c r="BQ12" s="1">
        <v>0</v>
      </c>
      <c r="BR12" s="1">
        <v>0</v>
      </c>
      <c r="BS12" s="1">
        <v>0</v>
      </c>
      <c r="BT12" s="1">
        <v>0</v>
      </c>
      <c r="BU12" s="1">
        <v>0</v>
      </c>
      <c r="BV12" s="1">
        <v>0</v>
      </c>
      <c r="BW12" s="1">
        <v>0</v>
      </c>
      <c r="BX12" s="1">
        <v>0</v>
      </c>
      <c r="BY12" s="1">
        <v>0</v>
      </c>
    </row>
    <row r="13" spans="1:77" x14ac:dyDescent="0.3">
      <c r="A13" s="2">
        <v>45512</v>
      </c>
      <c r="B13" s="1">
        <v>221</v>
      </c>
      <c r="C13" s="1" t="s">
        <v>171</v>
      </c>
      <c r="D13" s="1" t="s">
        <v>201</v>
      </c>
      <c r="E13" s="1">
        <v>0</v>
      </c>
      <c r="F13" s="1">
        <v>0</v>
      </c>
      <c r="G13" s="1">
        <v>0</v>
      </c>
      <c r="H13" s="1">
        <v>0</v>
      </c>
      <c r="I13" s="1">
        <v>0</v>
      </c>
      <c r="J13" s="1">
        <v>0</v>
      </c>
      <c r="K13" s="1">
        <v>0</v>
      </c>
      <c r="L13" s="1">
        <v>0</v>
      </c>
      <c r="M13" s="1">
        <v>0</v>
      </c>
      <c r="N13" s="1">
        <v>0</v>
      </c>
      <c r="O13" s="1">
        <v>0</v>
      </c>
      <c r="P13" s="1">
        <v>0</v>
      </c>
      <c r="Q13" s="1">
        <v>1</v>
      </c>
      <c r="R13" s="1">
        <v>1</v>
      </c>
      <c r="S13" s="1">
        <v>0</v>
      </c>
      <c r="T13" s="1">
        <v>0</v>
      </c>
      <c r="U13" s="1">
        <v>0</v>
      </c>
      <c r="V13" s="1">
        <v>0</v>
      </c>
      <c r="W13" s="1">
        <v>0</v>
      </c>
      <c r="X13" s="1">
        <v>0</v>
      </c>
      <c r="Y13" s="1">
        <v>0</v>
      </c>
      <c r="Z13" s="1">
        <v>0</v>
      </c>
      <c r="AA13" s="1">
        <v>1</v>
      </c>
      <c r="AB13" s="1">
        <v>0</v>
      </c>
      <c r="AC13" s="1">
        <v>0</v>
      </c>
      <c r="AD13" s="1">
        <v>0</v>
      </c>
      <c r="AE13" s="1">
        <v>0</v>
      </c>
      <c r="AF13" s="1">
        <v>0</v>
      </c>
      <c r="AG13" s="1">
        <v>0</v>
      </c>
      <c r="AH13" s="1">
        <v>0</v>
      </c>
      <c r="AI13" s="1">
        <v>0</v>
      </c>
      <c r="AJ13" s="1">
        <v>0</v>
      </c>
      <c r="AK13" s="1">
        <v>1</v>
      </c>
      <c r="AL13" s="1">
        <v>0</v>
      </c>
      <c r="AM13" s="1">
        <v>0</v>
      </c>
      <c r="AN13" s="1">
        <v>0</v>
      </c>
      <c r="AO13" s="1">
        <v>0</v>
      </c>
      <c r="AP13" s="1">
        <v>0</v>
      </c>
      <c r="AQ13" s="1">
        <v>0</v>
      </c>
      <c r="AR13" s="1">
        <v>0</v>
      </c>
      <c r="AS13" s="1">
        <v>0</v>
      </c>
      <c r="AT13" s="1">
        <v>0</v>
      </c>
      <c r="AU13" s="1">
        <v>0</v>
      </c>
      <c r="AV13" s="1">
        <v>0</v>
      </c>
      <c r="AW13" s="1">
        <v>0</v>
      </c>
      <c r="AX13" s="1">
        <v>0</v>
      </c>
      <c r="AY13" s="1">
        <v>0</v>
      </c>
      <c r="AZ13" s="1">
        <v>0</v>
      </c>
      <c r="BA13" s="1">
        <v>0</v>
      </c>
      <c r="BB13" s="1">
        <v>0</v>
      </c>
      <c r="BC13" s="1">
        <v>0</v>
      </c>
      <c r="BD13" s="1">
        <v>0</v>
      </c>
      <c r="BE13" s="1">
        <v>0</v>
      </c>
      <c r="BF13" s="1">
        <v>0</v>
      </c>
      <c r="BG13" s="1">
        <v>0</v>
      </c>
      <c r="BH13" s="1">
        <v>0</v>
      </c>
      <c r="BI13" s="1">
        <v>0</v>
      </c>
      <c r="BJ13" s="1">
        <v>0</v>
      </c>
      <c r="BK13" s="1">
        <v>0</v>
      </c>
      <c r="BL13" s="1">
        <v>1</v>
      </c>
      <c r="BM13" s="1">
        <v>0</v>
      </c>
      <c r="BN13" s="1">
        <v>0</v>
      </c>
      <c r="BO13" s="1">
        <v>0</v>
      </c>
      <c r="BP13" s="1">
        <v>0</v>
      </c>
      <c r="BQ13" s="1">
        <v>0</v>
      </c>
      <c r="BR13" s="1">
        <v>0</v>
      </c>
      <c r="BS13" s="1">
        <v>0</v>
      </c>
      <c r="BT13" s="1">
        <v>0</v>
      </c>
      <c r="BU13" s="1">
        <v>0</v>
      </c>
      <c r="BV13" s="1">
        <v>0</v>
      </c>
      <c r="BW13" s="1">
        <v>0</v>
      </c>
      <c r="BX13" s="1">
        <v>0</v>
      </c>
      <c r="BY13" s="1">
        <v>0</v>
      </c>
    </row>
    <row r="14" spans="1:77" x14ac:dyDescent="0.3">
      <c r="A14" s="2">
        <v>45518</v>
      </c>
      <c r="B14" s="1">
        <v>227</v>
      </c>
      <c r="C14" s="1" t="s">
        <v>171</v>
      </c>
      <c r="D14" s="1" t="s">
        <v>201</v>
      </c>
      <c r="E14" s="1">
        <v>0</v>
      </c>
      <c r="F14" s="1">
        <v>0</v>
      </c>
      <c r="G14" s="1">
        <v>0</v>
      </c>
      <c r="H14" s="1">
        <v>0</v>
      </c>
      <c r="I14" s="1">
        <v>0</v>
      </c>
      <c r="J14" s="1">
        <v>0</v>
      </c>
      <c r="K14" s="1">
        <v>0</v>
      </c>
      <c r="L14" s="1">
        <v>0</v>
      </c>
      <c r="M14" s="1">
        <v>0</v>
      </c>
      <c r="N14" s="1">
        <v>0</v>
      </c>
      <c r="O14" s="1">
        <v>0</v>
      </c>
      <c r="P14" s="1">
        <v>0</v>
      </c>
      <c r="Q14" s="1">
        <v>1</v>
      </c>
      <c r="R14" s="1">
        <v>0</v>
      </c>
      <c r="S14" s="1">
        <v>0</v>
      </c>
      <c r="T14" s="1">
        <v>1</v>
      </c>
      <c r="U14" s="1">
        <v>0</v>
      </c>
      <c r="V14" s="1">
        <v>0</v>
      </c>
      <c r="W14" s="1">
        <v>0</v>
      </c>
      <c r="X14" s="1">
        <v>0</v>
      </c>
      <c r="Y14" s="1">
        <v>1</v>
      </c>
      <c r="Z14" s="1">
        <v>0</v>
      </c>
      <c r="AA14" s="1">
        <v>3</v>
      </c>
      <c r="AB14" s="1">
        <v>0</v>
      </c>
      <c r="AC14" s="1">
        <v>0</v>
      </c>
      <c r="AD14" s="1">
        <v>0</v>
      </c>
      <c r="AE14" s="1">
        <v>0</v>
      </c>
      <c r="AF14" s="1">
        <v>0</v>
      </c>
      <c r="AG14" s="1">
        <v>0</v>
      </c>
      <c r="AH14" s="1">
        <v>1</v>
      </c>
      <c r="AI14" s="1">
        <v>0</v>
      </c>
      <c r="AJ14" s="1">
        <v>0</v>
      </c>
      <c r="AK14" s="1">
        <v>2</v>
      </c>
      <c r="AL14" s="1">
        <v>0</v>
      </c>
      <c r="AM14" s="1">
        <v>0</v>
      </c>
      <c r="AN14" s="1">
        <v>0</v>
      </c>
      <c r="AO14" s="1">
        <v>0</v>
      </c>
      <c r="AP14" s="1">
        <v>0</v>
      </c>
      <c r="AQ14" s="1">
        <v>0</v>
      </c>
      <c r="AR14" s="1">
        <v>0</v>
      </c>
      <c r="AS14" s="1">
        <v>0</v>
      </c>
      <c r="AT14" s="1">
        <v>0</v>
      </c>
      <c r="AU14" s="1">
        <v>0</v>
      </c>
      <c r="AV14" s="1">
        <v>0</v>
      </c>
      <c r="AW14" s="1">
        <v>0</v>
      </c>
      <c r="AX14" s="1">
        <v>0</v>
      </c>
      <c r="AY14" s="1">
        <v>0</v>
      </c>
      <c r="AZ14" s="1">
        <v>0</v>
      </c>
      <c r="BA14" s="1">
        <v>0</v>
      </c>
      <c r="BB14" s="1">
        <v>0</v>
      </c>
      <c r="BC14" s="1">
        <v>2</v>
      </c>
      <c r="BD14" s="1">
        <v>0</v>
      </c>
      <c r="BE14" s="1">
        <v>0</v>
      </c>
      <c r="BF14" s="1">
        <v>0</v>
      </c>
      <c r="BG14" s="1">
        <v>0</v>
      </c>
      <c r="BH14" s="1">
        <v>0</v>
      </c>
      <c r="BI14" s="1">
        <v>0</v>
      </c>
      <c r="BJ14" s="1">
        <v>0</v>
      </c>
      <c r="BK14" s="1">
        <v>0</v>
      </c>
      <c r="BL14" s="1">
        <v>1</v>
      </c>
      <c r="BM14" s="1">
        <v>0</v>
      </c>
      <c r="BN14" s="1">
        <v>0</v>
      </c>
      <c r="BO14" s="1">
        <v>0</v>
      </c>
      <c r="BP14" s="1">
        <v>0</v>
      </c>
      <c r="BQ14" s="1">
        <v>0</v>
      </c>
      <c r="BR14" s="1">
        <v>0</v>
      </c>
      <c r="BS14" s="1">
        <v>0</v>
      </c>
      <c r="BT14" s="1">
        <v>0</v>
      </c>
      <c r="BU14" s="1">
        <v>0</v>
      </c>
      <c r="BV14" s="1">
        <v>0</v>
      </c>
      <c r="BW14" s="1">
        <v>0</v>
      </c>
      <c r="BX14" s="1">
        <v>0</v>
      </c>
      <c r="BY14" s="1">
        <v>0</v>
      </c>
    </row>
    <row r="15" spans="1:77" x14ac:dyDescent="0.3">
      <c r="A15" s="2">
        <v>45525</v>
      </c>
      <c r="B15" s="1">
        <v>234</v>
      </c>
      <c r="C15" s="1" t="s">
        <v>171</v>
      </c>
      <c r="D15" s="1" t="s">
        <v>201</v>
      </c>
      <c r="E15" s="1">
        <v>0</v>
      </c>
      <c r="F15" s="1">
        <v>0</v>
      </c>
      <c r="G15" s="1">
        <v>0</v>
      </c>
      <c r="H15" s="1">
        <v>0</v>
      </c>
      <c r="I15" s="1">
        <v>0</v>
      </c>
      <c r="J15" s="1">
        <v>0</v>
      </c>
      <c r="K15" s="1">
        <v>0</v>
      </c>
      <c r="L15" s="1">
        <v>0</v>
      </c>
      <c r="M15" s="1">
        <v>0</v>
      </c>
      <c r="N15" s="1">
        <v>0</v>
      </c>
      <c r="O15" s="1">
        <v>0</v>
      </c>
      <c r="P15" s="1">
        <v>0</v>
      </c>
      <c r="Q15" s="1">
        <v>0</v>
      </c>
      <c r="R15" s="1">
        <v>0</v>
      </c>
      <c r="S15" s="1">
        <v>0</v>
      </c>
      <c r="T15" s="1">
        <v>0</v>
      </c>
      <c r="U15" s="1">
        <v>0</v>
      </c>
      <c r="V15" s="1">
        <v>0</v>
      </c>
      <c r="W15" s="1">
        <v>0</v>
      </c>
      <c r="X15" s="1">
        <v>0</v>
      </c>
      <c r="Y15" s="1">
        <v>0</v>
      </c>
      <c r="Z15" s="1">
        <v>0</v>
      </c>
      <c r="AA15" s="1">
        <v>1</v>
      </c>
      <c r="AB15" s="1">
        <v>0</v>
      </c>
      <c r="AC15" s="1">
        <v>0</v>
      </c>
      <c r="AD15" s="1">
        <v>0</v>
      </c>
      <c r="AE15" s="1">
        <v>0</v>
      </c>
      <c r="AF15" s="1">
        <v>0</v>
      </c>
      <c r="AG15" s="1">
        <v>0</v>
      </c>
      <c r="AH15" s="1">
        <v>0</v>
      </c>
      <c r="AI15" s="1">
        <v>0</v>
      </c>
      <c r="AJ15" s="1">
        <v>0</v>
      </c>
      <c r="AK15" s="1">
        <v>1</v>
      </c>
      <c r="AL15" s="1">
        <v>0</v>
      </c>
      <c r="AM15" s="1">
        <v>0</v>
      </c>
      <c r="AN15" s="1">
        <v>0</v>
      </c>
      <c r="AO15" s="1">
        <v>0</v>
      </c>
      <c r="AP15" s="1">
        <v>0</v>
      </c>
      <c r="AQ15" s="1">
        <v>0</v>
      </c>
      <c r="AR15" s="1">
        <v>0</v>
      </c>
      <c r="AS15" s="1">
        <v>0</v>
      </c>
      <c r="AT15" s="1">
        <v>0</v>
      </c>
      <c r="AU15" s="1">
        <v>0</v>
      </c>
      <c r="AV15" s="1">
        <v>0</v>
      </c>
      <c r="AW15" s="1">
        <v>0</v>
      </c>
      <c r="AX15" s="1">
        <v>0</v>
      </c>
      <c r="AY15" s="1">
        <v>0</v>
      </c>
      <c r="AZ15" s="1">
        <v>0</v>
      </c>
      <c r="BA15" s="1">
        <v>0</v>
      </c>
      <c r="BB15" s="1">
        <v>0</v>
      </c>
      <c r="BC15" s="1">
        <v>0</v>
      </c>
      <c r="BD15" s="1">
        <v>0</v>
      </c>
      <c r="BE15" s="1">
        <v>0</v>
      </c>
      <c r="BF15" s="1">
        <v>0</v>
      </c>
      <c r="BG15" s="1">
        <v>0</v>
      </c>
      <c r="BH15" s="1">
        <v>0</v>
      </c>
      <c r="BI15" s="1">
        <v>0</v>
      </c>
      <c r="BJ15" s="1">
        <v>0</v>
      </c>
      <c r="BK15" s="1">
        <v>0</v>
      </c>
      <c r="BL15" s="1">
        <v>0</v>
      </c>
      <c r="BM15" s="1">
        <v>0</v>
      </c>
      <c r="BN15" s="1">
        <v>0</v>
      </c>
      <c r="BO15" s="1">
        <v>0</v>
      </c>
      <c r="BP15" s="1">
        <v>0</v>
      </c>
      <c r="BQ15" s="1">
        <v>0</v>
      </c>
      <c r="BR15" s="1">
        <v>0</v>
      </c>
      <c r="BS15" s="1">
        <v>0</v>
      </c>
      <c r="BT15" s="1">
        <v>0</v>
      </c>
      <c r="BU15" s="1">
        <v>0</v>
      </c>
      <c r="BV15" s="1">
        <v>0</v>
      </c>
      <c r="BW15" s="1">
        <v>0</v>
      </c>
      <c r="BX15" s="1">
        <v>0</v>
      </c>
      <c r="BY15" s="1">
        <v>0</v>
      </c>
    </row>
    <row r="16" spans="1:77" x14ac:dyDescent="0.3">
      <c r="A16" s="2">
        <v>45483</v>
      </c>
      <c r="B16" s="1">
        <v>192</v>
      </c>
      <c r="C16" s="1" t="s">
        <v>157</v>
      </c>
      <c r="D16" s="1" t="s">
        <v>152</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1</v>
      </c>
      <c r="AB16" s="1">
        <v>0</v>
      </c>
      <c r="AC16" s="1">
        <v>0</v>
      </c>
      <c r="AD16" s="1">
        <v>0</v>
      </c>
      <c r="AE16" s="1">
        <v>0</v>
      </c>
      <c r="AF16" s="1">
        <v>0</v>
      </c>
      <c r="AG16" s="1">
        <v>0</v>
      </c>
      <c r="AH16" s="1">
        <v>1</v>
      </c>
      <c r="AI16" s="1">
        <v>0</v>
      </c>
      <c r="AJ16" s="1">
        <v>0</v>
      </c>
      <c r="AK16" s="1">
        <v>0</v>
      </c>
      <c r="AL16" s="1">
        <v>0</v>
      </c>
      <c r="AM16" s="1">
        <v>0</v>
      </c>
      <c r="AN16" s="1">
        <v>0</v>
      </c>
      <c r="AO16" s="1">
        <v>0</v>
      </c>
      <c r="AP16" s="1">
        <v>0</v>
      </c>
      <c r="AQ16" s="1">
        <v>0</v>
      </c>
      <c r="AR16" s="1">
        <v>0</v>
      </c>
      <c r="AS16" s="1">
        <v>0</v>
      </c>
      <c r="AT16" s="1">
        <v>0</v>
      </c>
      <c r="AU16" s="1">
        <v>0</v>
      </c>
      <c r="AV16" s="1">
        <v>0</v>
      </c>
      <c r="AW16" s="1">
        <v>0</v>
      </c>
      <c r="AX16" s="1">
        <v>0</v>
      </c>
      <c r="AY16" s="1">
        <v>0</v>
      </c>
      <c r="AZ16" s="1">
        <v>0</v>
      </c>
      <c r="BA16" s="1">
        <v>0</v>
      </c>
      <c r="BB16" s="1">
        <v>0</v>
      </c>
      <c r="BC16" s="1">
        <v>0</v>
      </c>
      <c r="BD16" s="1">
        <v>0</v>
      </c>
      <c r="BE16" s="1">
        <v>0</v>
      </c>
      <c r="BF16" s="1">
        <v>0</v>
      </c>
      <c r="BG16" s="1">
        <v>0</v>
      </c>
      <c r="BH16" s="1">
        <v>0</v>
      </c>
      <c r="BI16" s="1">
        <v>0</v>
      </c>
      <c r="BJ16" s="1">
        <v>0</v>
      </c>
      <c r="BK16" s="1">
        <v>0</v>
      </c>
      <c r="BL16" s="1">
        <v>9</v>
      </c>
      <c r="BM16" s="1">
        <v>0</v>
      </c>
      <c r="BN16" s="1">
        <v>0</v>
      </c>
      <c r="BO16" s="1">
        <v>0</v>
      </c>
      <c r="BP16" s="1">
        <v>0</v>
      </c>
      <c r="BQ16" s="1">
        <v>0</v>
      </c>
      <c r="BR16" s="1">
        <v>0</v>
      </c>
      <c r="BS16" s="1">
        <v>0</v>
      </c>
      <c r="BT16" s="1">
        <v>0</v>
      </c>
      <c r="BU16" s="1">
        <v>0</v>
      </c>
      <c r="BV16" s="1">
        <v>0</v>
      </c>
      <c r="BW16" s="1">
        <v>0</v>
      </c>
      <c r="BX16" s="1">
        <v>0</v>
      </c>
      <c r="BY16" s="1">
        <v>0</v>
      </c>
    </row>
    <row r="17" spans="1:77" x14ac:dyDescent="0.3">
      <c r="A17" s="2">
        <v>45503</v>
      </c>
      <c r="B17" s="1">
        <v>212</v>
      </c>
      <c r="C17" s="1" t="s">
        <v>157</v>
      </c>
      <c r="D17" s="1" t="s">
        <v>152</v>
      </c>
      <c r="E17" s="1">
        <v>0</v>
      </c>
      <c r="F17" s="1">
        <v>0</v>
      </c>
      <c r="G17" s="1">
        <v>0</v>
      </c>
      <c r="H17" s="1">
        <v>0</v>
      </c>
      <c r="I17" s="1">
        <v>0</v>
      </c>
      <c r="J17" s="1">
        <v>0</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c r="AD17" s="1">
        <v>0</v>
      </c>
      <c r="AE17" s="1">
        <v>0</v>
      </c>
      <c r="AF17" s="1">
        <v>0</v>
      </c>
      <c r="AG17" s="1">
        <v>0</v>
      </c>
      <c r="AH17" s="1">
        <v>0</v>
      </c>
      <c r="AI17" s="1">
        <v>0</v>
      </c>
      <c r="AJ17" s="1">
        <v>0</v>
      </c>
      <c r="AK17" s="1">
        <v>0</v>
      </c>
      <c r="AL17" s="1">
        <v>1</v>
      </c>
      <c r="AM17" s="1">
        <v>0</v>
      </c>
      <c r="AN17" s="1">
        <v>0</v>
      </c>
      <c r="AO17" s="1">
        <v>0</v>
      </c>
      <c r="AP17" s="1">
        <v>0</v>
      </c>
      <c r="AQ17" s="1">
        <v>0</v>
      </c>
      <c r="AR17" s="1">
        <v>0</v>
      </c>
      <c r="AS17" s="1">
        <v>0</v>
      </c>
      <c r="AT17" s="1">
        <v>0</v>
      </c>
      <c r="AU17" s="1">
        <v>0</v>
      </c>
      <c r="AV17" s="1">
        <v>0</v>
      </c>
      <c r="AW17" s="1">
        <v>0</v>
      </c>
      <c r="AX17" s="1">
        <v>0</v>
      </c>
      <c r="AY17" s="1">
        <v>0</v>
      </c>
      <c r="AZ17" s="1">
        <v>0</v>
      </c>
      <c r="BA17" s="1">
        <v>0</v>
      </c>
      <c r="BB17" s="1">
        <v>0</v>
      </c>
      <c r="BC17" s="1">
        <v>0</v>
      </c>
      <c r="BD17" s="1">
        <v>0</v>
      </c>
      <c r="BE17" s="1">
        <v>0</v>
      </c>
      <c r="BF17" s="1">
        <v>0</v>
      </c>
      <c r="BG17" s="1">
        <v>0</v>
      </c>
      <c r="BH17" s="1">
        <v>0</v>
      </c>
      <c r="BI17" s="1">
        <v>0</v>
      </c>
      <c r="BJ17" s="1">
        <v>0</v>
      </c>
      <c r="BK17" s="1">
        <v>0</v>
      </c>
      <c r="BL17" s="1">
        <v>0</v>
      </c>
      <c r="BM17" s="1">
        <v>0</v>
      </c>
      <c r="BN17" s="1">
        <v>0</v>
      </c>
      <c r="BO17" s="1">
        <v>0</v>
      </c>
      <c r="BP17" s="1">
        <v>0</v>
      </c>
      <c r="BQ17" s="1">
        <v>0</v>
      </c>
      <c r="BR17" s="1">
        <v>0</v>
      </c>
      <c r="BS17" s="1">
        <v>0</v>
      </c>
      <c r="BT17" s="1">
        <v>0</v>
      </c>
      <c r="BU17" s="1">
        <v>0</v>
      </c>
      <c r="BV17" s="1">
        <v>0</v>
      </c>
      <c r="BW17" s="1">
        <v>0</v>
      </c>
      <c r="BX17" s="1">
        <v>0</v>
      </c>
      <c r="BY17" s="1">
        <v>0</v>
      </c>
    </row>
    <row r="18" spans="1:77" x14ac:dyDescent="0.3">
      <c r="A18" s="2">
        <v>45476</v>
      </c>
      <c r="B18" s="1">
        <v>185</v>
      </c>
      <c r="C18" s="1" t="s">
        <v>191</v>
      </c>
      <c r="D18" s="1" t="s">
        <v>152</v>
      </c>
      <c r="E18" s="1">
        <v>0</v>
      </c>
      <c r="F18" s="1">
        <v>0</v>
      </c>
      <c r="G18" s="1">
        <v>0</v>
      </c>
      <c r="H18" s="1">
        <v>0</v>
      </c>
      <c r="I18" s="1">
        <v>0</v>
      </c>
      <c r="J18" s="1">
        <v>0</v>
      </c>
      <c r="K18" s="1">
        <v>0</v>
      </c>
      <c r="L18" s="1">
        <v>0</v>
      </c>
      <c r="M18" s="1">
        <v>0</v>
      </c>
      <c r="N18" s="1">
        <v>0</v>
      </c>
      <c r="O18" s="1">
        <v>0</v>
      </c>
      <c r="P18" s="1">
        <v>0</v>
      </c>
      <c r="Q18" s="1">
        <v>0</v>
      </c>
      <c r="R18" s="1">
        <v>0</v>
      </c>
      <c r="S18" s="1">
        <v>0</v>
      </c>
      <c r="T18" s="1">
        <v>1</v>
      </c>
      <c r="U18" s="1">
        <v>2</v>
      </c>
      <c r="V18" s="1">
        <v>0</v>
      </c>
      <c r="W18" s="1">
        <v>0</v>
      </c>
      <c r="X18" s="1">
        <v>0</v>
      </c>
      <c r="Y18" s="1">
        <v>0</v>
      </c>
      <c r="Z18" s="1">
        <v>0</v>
      </c>
      <c r="AA18" s="1">
        <v>1</v>
      </c>
      <c r="AB18" s="1">
        <v>0</v>
      </c>
      <c r="AC18" s="1">
        <v>0</v>
      </c>
      <c r="AD18" s="1">
        <v>1</v>
      </c>
      <c r="AE18" s="1">
        <v>0</v>
      </c>
      <c r="AF18" s="1">
        <v>0</v>
      </c>
      <c r="AG18" s="1">
        <v>0</v>
      </c>
      <c r="AH18" s="1">
        <v>0</v>
      </c>
      <c r="AI18" s="1">
        <v>0</v>
      </c>
      <c r="AJ18" s="1">
        <v>0</v>
      </c>
      <c r="AK18" s="1">
        <v>0</v>
      </c>
      <c r="AL18" s="1">
        <v>0</v>
      </c>
      <c r="AM18" s="1">
        <v>0</v>
      </c>
      <c r="AN18" s="1">
        <v>0</v>
      </c>
      <c r="AO18" s="1">
        <v>0</v>
      </c>
      <c r="AP18" s="1">
        <v>0</v>
      </c>
      <c r="AQ18" s="1">
        <v>0</v>
      </c>
      <c r="AR18" s="1">
        <v>0</v>
      </c>
      <c r="AS18" s="1">
        <v>0</v>
      </c>
      <c r="AT18" s="1">
        <v>0</v>
      </c>
      <c r="AU18" s="1">
        <v>0</v>
      </c>
      <c r="AV18" s="1">
        <v>0</v>
      </c>
      <c r="AW18" s="1">
        <v>0</v>
      </c>
      <c r="AX18" s="1">
        <v>0</v>
      </c>
      <c r="AY18" s="1">
        <v>0</v>
      </c>
      <c r="AZ18" s="1">
        <v>0</v>
      </c>
      <c r="BA18" s="1">
        <v>0</v>
      </c>
      <c r="BB18" s="1">
        <v>0</v>
      </c>
      <c r="BC18" s="1">
        <v>0</v>
      </c>
      <c r="BD18" s="1">
        <v>0</v>
      </c>
      <c r="BE18" s="1">
        <v>0</v>
      </c>
      <c r="BF18" s="1">
        <v>0</v>
      </c>
      <c r="BG18" s="1">
        <v>0</v>
      </c>
      <c r="BH18" s="1">
        <v>0</v>
      </c>
      <c r="BI18" s="1">
        <v>0</v>
      </c>
      <c r="BJ18" s="1">
        <v>0</v>
      </c>
      <c r="BK18" s="1">
        <v>0</v>
      </c>
      <c r="BL18" s="1">
        <v>2</v>
      </c>
      <c r="BM18" s="1">
        <v>0</v>
      </c>
      <c r="BN18" s="1">
        <v>0</v>
      </c>
      <c r="BO18" s="1">
        <v>0</v>
      </c>
      <c r="BP18" s="1">
        <v>0</v>
      </c>
      <c r="BQ18" s="1">
        <v>0</v>
      </c>
      <c r="BR18" s="1">
        <v>0</v>
      </c>
      <c r="BS18" s="1">
        <v>0</v>
      </c>
      <c r="BT18" s="1">
        <v>0</v>
      </c>
      <c r="BU18" s="1">
        <v>0</v>
      </c>
      <c r="BV18" s="1">
        <v>0</v>
      </c>
      <c r="BW18" s="1">
        <v>0</v>
      </c>
      <c r="BX18" s="1">
        <v>0</v>
      </c>
      <c r="BY18" s="1">
        <v>0</v>
      </c>
    </row>
    <row r="19" spans="1:77" x14ac:dyDescent="0.3">
      <c r="A19" s="2">
        <v>45498</v>
      </c>
      <c r="B19" s="1">
        <v>207</v>
      </c>
      <c r="C19" s="1" t="s">
        <v>182</v>
      </c>
      <c r="D19" s="1" t="s">
        <v>152</v>
      </c>
      <c r="E19" s="1">
        <v>0</v>
      </c>
      <c r="F19" s="1">
        <v>0</v>
      </c>
      <c r="G19" s="1">
        <v>0</v>
      </c>
      <c r="H19" s="1">
        <v>0</v>
      </c>
      <c r="I19" s="1">
        <v>0</v>
      </c>
      <c r="J19" s="1">
        <v>0</v>
      </c>
      <c r="K19" s="1">
        <v>0</v>
      </c>
      <c r="L19" s="1">
        <v>2</v>
      </c>
      <c r="M19" s="1">
        <v>0</v>
      </c>
      <c r="N19" s="1">
        <v>0</v>
      </c>
      <c r="O19" s="1">
        <v>0</v>
      </c>
      <c r="P19" s="1">
        <v>0</v>
      </c>
      <c r="Q19" s="1">
        <v>0</v>
      </c>
      <c r="R19" s="1">
        <v>0</v>
      </c>
      <c r="S19" s="1">
        <v>0</v>
      </c>
      <c r="T19" s="1">
        <v>0</v>
      </c>
      <c r="U19" s="1">
        <v>0</v>
      </c>
      <c r="V19" s="1">
        <v>0</v>
      </c>
      <c r="W19" s="1">
        <v>0</v>
      </c>
      <c r="X19" s="1">
        <v>0</v>
      </c>
      <c r="Y19" s="1">
        <v>1</v>
      </c>
      <c r="Z19" s="1">
        <v>0</v>
      </c>
      <c r="AA19" s="1">
        <v>3</v>
      </c>
      <c r="AB19" s="1">
        <v>0</v>
      </c>
      <c r="AC19" s="1">
        <v>0</v>
      </c>
      <c r="AD19" s="1">
        <v>0</v>
      </c>
      <c r="AE19" s="1">
        <v>0</v>
      </c>
      <c r="AF19" s="1">
        <v>0</v>
      </c>
      <c r="AG19" s="1">
        <v>0</v>
      </c>
      <c r="AH19" s="1">
        <v>1</v>
      </c>
      <c r="AI19" s="1">
        <v>0</v>
      </c>
      <c r="AJ19" s="1">
        <v>0</v>
      </c>
      <c r="AK19" s="1">
        <v>2</v>
      </c>
      <c r="AL19" s="1">
        <v>1</v>
      </c>
      <c r="AM19" s="1">
        <v>0</v>
      </c>
      <c r="AN19" s="1">
        <v>0</v>
      </c>
      <c r="AO19" s="1">
        <v>0</v>
      </c>
      <c r="AP19" s="1">
        <v>0</v>
      </c>
      <c r="AQ19" s="1">
        <v>0</v>
      </c>
      <c r="AR19" s="1">
        <v>0</v>
      </c>
      <c r="AS19" s="1">
        <v>0</v>
      </c>
      <c r="AT19" s="1">
        <v>0</v>
      </c>
      <c r="AU19" s="1">
        <v>0</v>
      </c>
      <c r="AV19" s="1">
        <v>0</v>
      </c>
      <c r="AW19" s="1">
        <v>0</v>
      </c>
      <c r="AX19" s="1">
        <v>0</v>
      </c>
      <c r="AY19" s="1">
        <v>0</v>
      </c>
      <c r="AZ19" s="1">
        <v>0</v>
      </c>
      <c r="BA19" s="1">
        <v>0</v>
      </c>
      <c r="BB19" s="1">
        <v>0</v>
      </c>
      <c r="BC19" s="1">
        <v>0</v>
      </c>
      <c r="BD19" s="1">
        <v>0</v>
      </c>
      <c r="BE19" s="1">
        <v>0</v>
      </c>
      <c r="BF19" s="1">
        <v>0</v>
      </c>
      <c r="BG19" s="1">
        <v>0</v>
      </c>
      <c r="BH19" s="1">
        <v>0</v>
      </c>
      <c r="BI19" s="1">
        <v>0</v>
      </c>
      <c r="BJ19" s="1">
        <v>0</v>
      </c>
      <c r="BK19" s="1">
        <v>0</v>
      </c>
      <c r="BL19" s="1">
        <v>4</v>
      </c>
      <c r="BM19" s="1">
        <v>0</v>
      </c>
      <c r="BN19" s="1">
        <v>0</v>
      </c>
      <c r="BO19" s="1">
        <v>0</v>
      </c>
      <c r="BP19" s="1">
        <v>0</v>
      </c>
      <c r="BQ19" s="1">
        <v>0</v>
      </c>
      <c r="BR19" s="1">
        <v>0</v>
      </c>
      <c r="BS19" s="1">
        <v>0</v>
      </c>
      <c r="BT19" s="1">
        <v>0</v>
      </c>
      <c r="BU19" s="1">
        <v>0</v>
      </c>
      <c r="BV19" s="1">
        <v>0</v>
      </c>
      <c r="BW19" s="1">
        <v>0</v>
      </c>
      <c r="BX19" s="1">
        <v>0</v>
      </c>
      <c r="BY19" s="1">
        <v>0</v>
      </c>
    </row>
    <row r="20" spans="1:77" x14ac:dyDescent="0.3">
      <c r="A20" s="2">
        <v>45504</v>
      </c>
      <c r="B20" s="1">
        <v>213</v>
      </c>
      <c r="C20" s="1" t="s">
        <v>182</v>
      </c>
      <c r="D20" s="1" t="s">
        <v>152</v>
      </c>
      <c r="E20" s="1">
        <v>0</v>
      </c>
      <c r="F20" s="1">
        <v>0</v>
      </c>
      <c r="G20" s="1">
        <v>0</v>
      </c>
      <c r="H20" s="1">
        <v>0</v>
      </c>
      <c r="I20" s="1">
        <v>0</v>
      </c>
      <c r="J20" s="1">
        <v>0</v>
      </c>
      <c r="K20" s="1">
        <v>0</v>
      </c>
      <c r="L20" s="1">
        <v>1</v>
      </c>
      <c r="M20" s="1">
        <v>0</v>
      </c>
      <c r="N20" s="1">
        <v>0</v>
      </c>
      <c r="O20" s="1">
        <v>0</v>
      </c>
      <c r="P20" s="1">
        <v>0</v>
      </c>
      <c r="Q20" s="1">
        <v>0</v>
      </c>
      <c r="R20" s="1">
        <v>0</v>
      </c>
      <c r="S20" s="1">
        <v>0</v>
      </c>
      <c r="T20" s="1">
        <v>0</v>
      </c>
      <c r="U20" s="1">
        <v>0</v>
      </c>
      <c r="V20" s="1">
        <v>0</v>
      </c>
      <c r="W20" s="1">
        <v>0</v>
      </c>
      <c r="X20" s="1">
        <v>0</v>
      </c>
      <c r="Y20" s="1">
        <v>0</v>
      </c>
      <c r="Z20" s="1">
        <v>0</v>
      </c>
      <c r="AA20" s="1">
        <v>0</v>
      </c>
      <c r="AB20" s="1">
        <v>0</v>
      </c>
      <c r="AC20" s="1">
        <v>0</v>
      </c>
      <c r="AD20" s="1">
        <v>0</v>
      </c>
      <c r="AE20" s="1">
        <v>0</v>
      </c>
      <c r="AF20" s="1">
        <v>0</v>
      </c>
      <c r="AG20" s="1">
        <v>0</v>
      </c>
      <c r="AH20" s="1">
        <v>0</v>
      </c>
      <c r="AI20" s="1">
        <v>0</v>
      </c>
      <c r="AJ20" s="1">
        <v>0</v>
      </c>
      <c r="AK20" s="1">
        <v>0</v>
      </c>
      <c r="AL20" s="1">
        <v>0</v>
      </c>
      <c r="AM20" s="1">
        <v>0</v>
      </c>
      <c r="AN20" s="1">
        <v>0</v>
      </c>
      <c r="AO20" s="1">
        <v>0</v>
      </c>
      <c r="AP20" s="1">
        <v>0</v>
      </c>
      <c r="AQ20" s="1">
        <v>0</v>
      </c>
      <c r="AR20" s="1">
        <v>0</v>
      </c>
      <c r="AS20" s="1">
        <v>0</v>
      </c>
      <c r="AT20" s="1">
        <v>0</v>
      </c>
      <c r="AU20" s="1">
        <v>0</v>
      </c>
      <c r="AV20" s="1">
        <v>0</v>
      </c>
      <c r="AW20" s="1">
        <v>0</v>
      </c>
      <c r="AX20" s="1">
        <v>0</v>
      </c>
      <c r="AY20" s="1">
        <v>0</v>
      </c>
      <c r="AZ20" s="1">
        <v>0</v>
      </c>
      <c r="BA20" s="1">
        <v>0</v>
      </c>
      <c r="BB20" s="1">
        <v>0</v>
      </c>
      <c r="BC20" s="1">
        <v>0</v>
      </c>
      <c r="BD20" s="1">
        <v>0</v>
      </c>
      <c r="BE20" s="1">
        <v>0</v>
      </c>
      <c r="BF20" s="1">
        <v>0</v>
      </c>
      <c r="BG20" s="1">
        <v>0</v>
      </c>
      <c r="BH20" s="1">
        <v>0</v>
      </c>
      <c r="BI20" s="1">
        <v>0</v>
      </c>
      <c r="BJ20" s="1">
        <v>0</v>
      </c>
      <c r="BK20" s="1">
        <v>1</v>
      </c>
      <c r="BL20" s="1">
        <v>1</v>
      </c>
      <c r="BM20" s="1">
        <v>0</v>
      </c>
      <c r="BN20" s="1">
        <v>0</v>
      </c>
      <c r="BO20" s="1">
        <v>0</v>
      </c>
      <c r="BP20" s="1">
        <v>0</v>
      </c>
      <c r="BQ20" s="1">
        <v>0</v>
      </c>
      <c r="BR20" s="1">
        <v>0</v>
      </c>
      <c r="BS20" s="1">
        <v>0</v>
      </c>
      <c r="BT20" s="1">
        <v>0</v>
      </c>
      <c r="BU20" s="1">
        <v>0</v>
      </c>
      <c r="BV20" s="1">
        <v>0</v>
      </c>
      <c r="BW20" s="1">
        <v>0</v>
      </c>
      <c r="BX20" s="1">
        <v>0</v>
      </c>
      <c r="BY20" s="1">
        <v>0</v>
      </c>
    </row>
    <row r="21" spans="1:77" x14ac:dyDescent="0.3">
      <c r="A21" s="2">
        <v>45499</v>
      </c>
      <c r="B21" s="1">
        <v>208</v>
      </c>
      <c r="C21" s="1" t="s">
        <v>187</v>
      </c>
      <c r="D21" s="1" t="s">
        <v>152</v>
      </c>
      <c r="E21" s="1">
        <v>0</v>
      </c>
      <c r="F21" s="1">
        <v>0</v>
      </c>
      <c r="G21" s="1">
        <v>0</v>
      </c>
      <c r="H21" s="1">
        <v>0</v>
      </c>
      <c r="I21" s="1">
        <v>0</v>
      </c>
      <c r="J21" s="1">
        <v>0</v>
      </c>
      <c r="K21" s="1">
        <v>0</v>
      </c>
      <c r="L21" s="1">
        <v>0</v>
      </c>
      <c r="M21" s="1">
        <v>0</v>
      </c>
      <c r="N21" s="1">
        <v>0</v>
      </c>
      <c r="O21" s="1">
        <v>0</v>
      </c>
      <c r="P21" s="1">
        <v>0</v>
      </c>
      <c r="Q21" s="1">
        <v>1</v>
      </c>
      <c r="R21" s="1">
        <v>0</v>
      </c>
      <c r="S21" s="1">
        <v>0</v>
      </c>
      <c r="T21" s="1">
        <v>0</v>
      </c>
      <c r="U21" s="1">
        <v>0</v>
      </c>
      <c r="V21" s="1">
        <v>0</v>
      </c>
      <c r="W21" s="1">
        <v>0</v>
      </c>
      <c r="X21" s="1">
        <v>0</v>
      </c>
      <c r="Y21" s="1">
        <v>1</v>
      </c>
      <c r="Z21" s="1">
        <v>0</v>
      </c>
      <c r="AA21" s="1">
        <v>1</v>
      </c>
      <c r="AB21" s="1">
        <v>0</v>
      </c>
      <c r="AC21" s="1">
        <v>0</v>
      </c>
      <c r="AD21" s="1">
        <v>0</v>
      </c>
      <c r="AE21" s="1">
        <v>0</v>
      </c>
      <c r="AF21" s="1">
        <v>0</v>
      </c>
      <c r="AG21" s="1">
        <v>0</v>
      </c>
      <c r="AH21" s="1">
        <v>0</v>
      </c>
      <c r="AI21" s="1">
        <v>0</v>
      </c>
      <c r="AJ21" s="1">
        <v>0</v>
      </c>
      <c r="AK21" s="1">
        <v>1</v>
      </c>
      <c r="AL21" s="1">
        <v>1</v>
      </c>
      <c r="AM21" s="1">
        <v>0</v>
      </c>
      <c r="AN21" s="1">
        <v>0</v>
      </c>
      <c r="AO21" s="1">
        <v>0</v>
      </c>
      <c r="AP21" s="1">
        <v>0</v>
      </c>
      <c r="AQ21" s="1">
        <v>0</v>
      </c>
      <c r="AR21" s="1">
        <v>0</v>
      </c>
      <c r="AS21" s="1">
        <v>0</v>
      </c>
      <c r="AT21" s="1">
        <v>0</v>
      </c>
      <c r="AU21" s="1">
        <v>0</v>
      </c>
      <c r="AV21" s="1">
        <v>0</v>
      </c>
      <c r="AW21" s="1">
        <v>0</v>
      </c>
      <c r="AX21" s="1">
        <v>0</v>
      </c>
      <c r="AY21" s="1">
        <v>0</v>
      </c>
      <c r="AZ21" s="1">
        <v>0</v>
      </c>
      <c r="BA21" s="1">
        <v>0</v>
      </c>
      <c r="BB21" s="1">
        <v>0</v>
      </c>
      <c r="BC21" s="1">
        <v>0</v>
      </c>
      <c r="BD21" s="1">
        <v>0</v>
      </c>
      <c r="BE21" s="1">
        <v>0</v>
      </c>
      <c r="BF21" s="1">
        <v>0</v>
      </c>
      <c r="BG21" s="1">
        <v>0</v>
      </c>
      <c r="BH21" s="1">
        <v>0</v>
      </c>
      <c r="BI21" s="1">
        <v>0</v>
      </c>
      <c r="BJ21" s="1">
        <v>0</v>
      </c>
      <c r="BK21" s="1">
        <v>0</v>
      </c>
      <c r="BL21" s="1">
        <v>0</v>
      </c>
      <c r="BM21" s="1">
        <v>0</v>
      </c>
      <c r="BN21" s="1">
        <v>0</v>
      </c>
      <c r="BO21" s="1">
        <v>0</v>
      </c>
      <c r="BP21" s="1">
        <v>0</v>
      </c>
      <c r="BQ21" s="1">
        <v>0</v>
      </c>
      <c r="BR21" s="1">
        <v>0</v>
      </c>
      <c r="BS21" s="1">
        <v>0</v>
      </c>
      <c r="BT21" s="1">
        <v>0</v>
      </c>
      <c r="BU21" s="1">
        <v>0</v>
      </c>
      <c r="BV21" s="1">
        <v>0</v>
      </c>
      <c r="BW21" s="1">
        <v>0</v>
      </c>
      <c r="BX21" s="1">
        <v>0</v>
      </c>
      <c r="BY21" s="1">
        <v>0</v>
      </c>
    </row>
    <row r="22" spans="1:77" x14ac:dyDescent="0.3">
      <c r="A22" s="2">
        <v>45502</v>
      </c>
      <c r="B22" s="1">
        <v>211</v>
      </c>
      <c r="C22" s="1" t="s">
        <v>187</v>
      </c>
      <c r="D22" s="1" t="s">
        <v>152</v>
      </c>
      <c r="E22" s="1">
        <v>0</v>
      </c>
      <c r="F22" s="1">
        <v>0</v>
      </c>
      <c r="G22" s="1">
        <v>0</v>
      </c>
      <c r="H22" s="1">
        <v>0</v>
      </c>
      <c r="I22" s="1">
        <v>0</v>
      </c>
      <c r="J22" s="1">
        <v>0</v>
      </c>
      <c r="K22" s="1">
        <v>0</v>
      </c>
      <c r="L22" s="1">
        <v>0</v>
      </c>
      <c r="M22" s="1">
        <v>0</v>
      </c>
      <c r="N22" s="1">
        <v>0</v>
      </c>
      <c r="O22" s="1">
        <v>0</v>
      </c>
      <c r="P22" s="1">
        <v>0</v>
      </c>
      <c r="Q22" s="1">
        <v>0</v>
      </c>
      <c r="R22" s="1">
        <v>0</v>
      </c>
      <c r="S22" s="1">
        <v>0</v>
      </c>
      <c r="T22" s="1">
        <v>0</v>
      </c>
      <c r="U22" s="1">
        <v>0</v>
      </c>
      <c r="V22" s="1">
        <v>0</v>
      </c>
      <c r="W22" s="1">
        <v>0</v>
      </c>
      <c r="X22" s="1">
        <v>0</v>
      </c>
      <c r="Y22" s="1">
        <v>0</v>
      </c>
      <c r="Z22" s="1">
        <v>0</v>
      </c>
      <c r="AA22" s="1">
        <v>0</v>
      </c>
      <c r="AB22" s="1">
        <v>0</v>
      </c>
      <c r="AC22" s="1">
        <v>0</v>
      </c>
      <c r="AD22" s="1">
        <v>0</v>
      </c>
      <c r="AE22" s="1">
        <v>0</v>
      </c>
      <c r="AF22" s="1">
        <v>0</v>
      </c>
      <c r="AG22" s="1">
        <v>0</v>
      </c>
      <c r="AH22" s="1">
        <v>0</v>
      </c>
      <c r="AI22" s="1">
        <v>0</v>
      </c>
      <c r="AJ22" s="1">
        <v>0</v>
      </c>
      <c r="AK22" s="1">
        <v>0</v>
      </c>
      <c r="AL22" s="1">
        <v>0</v>
      </c>
      <c r="AM22" s="1">
        <v>0</v>
      </c>
      <c r="AN22" s="1">
        <v>0</v>
      </c>
      <c r="AO22" s="1">
        <v>0</v>
      </c>
      <c r="AP22" s="1">
        <v>0</v>
      </c>
      <c r="AQ22" s="1">
        <v>0</v>
      </c>
      <c r="AR22" s="1">
        <v>0</v>
      </c>
      <c r="AS22" s="1">
        <v>0</v>
      </c>
      <c r="AT22" s="1">
        <v>0</v>
      </c>
      <c r="AU22" s="1">
        <v>0</v>
      </c>
      <c r="AV22" s="1">
        <v>0</v>
      </c>
      <c r="AW22" s="1">
        <v>0</v>
      </c>
      <c r="AX22" s="1">
        <v>0</v>
      </c>
      <c r="AY22" s="1">
        <v>0</v>
      </c>
      <c r="AZ22" s="1">
        <v>1</v>
      </c>
      <c r="BA22" s="1">
        <v>0</v>
      </c>
      <c r="BB22" s="1">
        <v>0</v>
      </c>
      <c r="BC22" s="1">
        <v>0</v>
      </c>
      <c r="BD22" s="1">
        <v>0</v>
      </c>
      <c r="BE22" s="1">
        <v>0</v>
      </c>
      <c r="BF22" s="1">
        <v>0</v>
      </c>
      <c r="BG22" s="1">
        <v>0</v>
      </c>
      <c r="BH22" s="1">
        <v>0</v>
      </c>
      <c r="BI22" s="1">
        <v>1</v>
      </c>
      <c r="BJ22" s="1">
        <v>0</v>
      </c>
      <c r="BK22" s="1">
        <v>0</v>
      </c>
      <c r="BL22" s="1">
        <v>1</v>
      </c>
      <c r="BM22" s="1">
        <v>0</v>
      </c>
      <c r="BN22" s="1">
        <v>0</v>
      </c>
      <c r="BO22" s="1">
        <v>0</v>
      </c>
      <c r="BP22" s="1">
        <v>0</v>
      </c>
      <c r="BQ22" s="1">
        <v>0</v>
      </c>
      <c r="BR22" s="1">
        <v>0</v>
      </c>
      <c r="BS22" s="1">
        <v>0</v>
      </c>
      <c r="BT22" s="1">
        <v>0</v>
      </c>
      <c r="BU22" s="1">
        <v>0</v>
      </c>
      <c r="BV22" s="1">
        <v>0</v>
      </c>
      <c r="BW22" s="1">
        <v>0</v>
      </c>
      <c r="BX22" s="1">
        <v>0</v>
      </c>
      <c r="BY22" s="1">
        <v>0</v>
      </c>
    </row>
    <row r="23" spans="1:77" x14ac:dyDescent="0.3">
      <c r="A23" s="2">
        <v>45512</v>
      </c>
      <c r="B23" s="1">
        <v>221</v>
      </c>
      <c r="C23" s="1" t="s">
        <v>187</v>
      </c>
      <c r="D23" s="1" t="s">
        <v>201</v>
      </c>
      <c r="E23" s="1">
        <v>0</v>
      </c>
      <c r="F23" s="1">
        <v>0</v>
      </c>
      <c r="G23" s="1">
        <v>0</v>
      </c>
      <c r="H23" s="1">
        <v>0</v>
      </c>
      <c r="I23" s="1">
        <v>0</v>
      </c>
      <c r="J23" s="1">
        <v>0</v>
      </c>
      <c r="K23" s="1">
        <v>0</v>
      </c>
      <c r="L23" s="1">
        <v>0</v>
      </c>
      <c r="M23" s="1">
        <v>0</v>
      </c>
      <c r="N23" s="1">
        <v>0</v>
      </c>
      <c r="O23" s="1">
        <v>0</v>
      </c>
      <c r="P23" s="1">
        <v>0</v>
      </c>
      <c r="Q23" s="1">
        <v>0</v>
      </c>
      <c r="R23" s="1">
        <v>0</v>
      </c>
      <c r="S23" s="1">
        <v>0</v>
      </c>
      <c r="T23" s="1">
        <v>0</v>
      </c>
      <c r="U23" s="1">
        <v>0</v>
      </c>
      <c r="V23" s="1">
        <v>0</v>
      </c>
      <c r="W23" s="1">
        <v>0</v>
      </c>
      <c r="X23" s="1">
        <v>0</v>
      </c>
      <c r="Y23" s="1">
        <v>0</v>
      </c>
      <c r="Z23" s="1">
        <v>0</v>
      </c>
      <c r="AA23" s="1">
        <v>0</v>
      </c>
      <c r="AB23" s="1">
        <v>0</v>
      </c>
      <c r="AC23" s="1">
        <v>0</v>
      </c>
      <c r="AD23" s="1">
        <v>0</v>
      </c>
      <c r="AE23" s="1">
        <v>0</v>
      </c>
      <c r="AF23" s="1">
        <v>0</v>
      </c>
      <c r="AG23" s="1">
        <v>0</v>
      </c>
      <c r="AH23" s="1">
        <v>0</v>
      </c>
      <c r="AI23" s="1">
        <v>0</v>
      </c>
      <c r="AJ23" s="1">
        <v>0</v>
      </c>
      <c r="AK23" s="1">
        <v>0</v>
      </c>
      <c r="AL23" s="1">
        <v>0</v>
      </c>
      <c r="AM23" s="1">
        <v>0</v>
      </c>
      <c r="AN23" s="1">
        <v>0</v>
      </c>
      <c r="AO23" s="1">
        <v>0</v>
      </c>
      <c r="AP23" s="1">
        <v>0</v>
      </c>
      <c r="AQ23" s="1">
        <v>0</v>
      </c>
      <c r="AR23" s="1">
        <v>0</v>
      </c>
      <c r="AS23" s="1">
        <v>0</v>
      </c>
      <c r="AT23" s="1">
        <v>0</v>
      </c>
      <c r="AU23" s="1">
        <v>0</v>
      </c>
      <c r="AV23" s="1">
        <v>0</v>
      </c>
      <c r="AW23" s="1">
        <v>0</v>
      </c>
      <c r="AX23" s="1">
        <v>0</v>
      </c>
      <c r="AY23" s="1">
        <v>0</v>
      </c>
      <c r="AZ23" s="1">
        <v>0</v>
      </c>
      <c r="BA23" s="1">
        <v>0</v>
      </c>
      <c r="BB23" s="1">
        <v>0</v>
      </c>
      <c r="BC23" s="1">
        <v>0</v>
      </c>
      <c r="BD23" s="1">
        <v>0</v>
      </c>
      <c r="BE23" s="1">
        <v>0</v>
      </c>
      <c r="BF23" s="1">
        <v>0</v>
      </c>
      <c r="BG23" s="1">
        <v>0</v>
      </c>
      <c r="BH23" s="1">
        <v>0</v>
      </c>
      <c r="BI23" s="1">
        <v>0</v>
      </c>
      <c r="BJ23" s="1">
        <v>0</v>
      </c>
      <c r="BK23" s="1">
        <v>0</v>
      </c>
      <c r="BL23" s="1">
        <v>0</v>
      </c>
      <c r="BM23" s="1">
        <v>0</v>
      </c>
      <c r="BN23" s="1">
        <v>0</v>
      </c>
      <c r="BO23" s="1">
        <v>0</v>
      </c>
      <c r="BP23" s="1">
        <v>0</v>
      </c>
      <c r="BQ23" s="1">
        <v>0</v>
      </c>
      <c r="BR23" s="1">
        <v>0</v>
      </c>
      <c r="BS23" s="1">
        <v>0</v>
      </c>
      <c r="BT23" s="1">
        <v>0</v>
      </c>
      <c r="BU23" s="1">
        <v>0</v>
      </c>
      <c r="BV23" s="1">
        <v>0</v>
      </c>
      <c r="BW23" s="1">
        <v>0</v>
      </c>
      <c r="BX23" s="1">
        <v>0</v>
      </c>
      <c r="BY23" s="1">
        <v>0</v>
      </c>
    </row>
    <row r="24" spans="1:77" x14ac:dyDescent="0.3">
      <c r="A24" s="2">
        <v>45512</v>
      </c>
      <c r="B24" s="1">
        <v>221</v>
      </c>
      <c r="C24" s="1" t="s">
        <v>204</v>
      </c>
      <c r="D24" s="1" t="s">
        <v>201</v>
      </c>
      <c r="E24" s="1">
        <v>0</v>
      </c>
      <c r="F24" s="1">
        <v>0</v>
      </c>
      <c r="G24" s="1">
        <v>0</v>
      </c>
      <c r="H24" s="1">
        <v>0</v>
      </c>
      <c r="I24" s="1">
        <v>0</v>
      </c>
      <c r="J24" s="1">
        <v>0</v>
      </c>
      <c r="K24" s="1">
        <v>0</v>
      </c>
      <c r="L24" s="1">
        <v>0</v>
      </c>
      <c r="M24" s="1">
        <v>0</v>
      </c>
      <c r="N24" s="1">
        <v>0</v>
      </c>
      <c r="O24" s="1">
        <v>0</v>
      </c>
      <c r="P24" s="1">
        <v>0</v>
      </c>
      <c r="Q24" s="1">
        <v>1</v>
      </c>
      <c r="R24" s="1">
        <v>0</v>
      </c>
      <c r="S24" s="1">
        <v>0</v>
      </c>
      <c r="T24" s="1">
        <v>0</v>
      </c>
      <c r="U24" s="1">
        <v>0</v>
      </c>
      <c r="V24" s="1">
        <v>1</v>
      </c>
      <c r="W24" s="1">
        <v>0</v>
      </c>
      <c r="X24" s="1">
        <v>0</v>
      </c>
      <c r="Y24" s="1">
        <v>0</v>
      </c>
      <c r="Z24" s="1">
        <v>0</v>
      </c>
      <c r="AA24" s="1">
        <v>2</v>
      </c>
      <c r="AB24" s="1">
        <v>1</v>
      </c>
      <c r="AC24" s="1">
        <v>0</v>
      </c>
      <c r="AD24" s="1">
        <v>0</v>
      </c>
      <c r="AE24" s="1">
        <v>0</v>
      </c>
      <c r="AF24" s="1">
        <v>0</v>
      </c>
      <c r="AG24" s="1">
        <v>0</v>
      </c>
      <c r="AH24" s="1">
        <v>1</v>
      </c>
      <c r="AI24" s="1">
        <v>0</v>
      </c>
      <c r="AJ24" s="1">
        <v>0</v>
      </c>
      <c r="AK24" s="1">
        <v>0</v>
      </c>
      <c r="AL24" s="1">
        <v>0</v>
      </c>
      <c r="AM24" s="1">
        <v>0</v>
      </c>
      <c r="AN24" s="1">
        <v>0</v>
      </c>
      <c r="AO24" s="1">
        <v>0</v>
      </c>
      <c r="AP24" s="1">
        <v>0</v>
      </c>
      <c r="AQ24" s="1">
        <v>0</v>
      </c>
      <c r="AR24" s="1">
        <v>0</v>
      </c>
      <c r="AS24" s="1">
        <v>0</v>
      </c>
      <c r="AT24" s="1">
        <v>0</v>
      </c>
      <c r="AU24" s="1">
        <v>0</v>
      </c>
      <c r="AV24" s="1">
        <v>0</v>
      </c>
      <c r="AW24" s="1">
        <v>0</v>
      </c>
      <c r="AX24" s="1">
        <v>0</v>
      </c>
      <c r="AY24" s="1">
        <v>0</v>
      </c>
      <c r="AZ24" s="1">
        <v>0</v>
      </c>
      <c r="BA24" s="1">
        <v>0</v>
      </c>
      <c r="BB24" s="1">
        <v>0</v>
      </c>
      <c r="BC24" s="1">
        <v>0</v>
      </c>
      <c r="BD24" s="1">
        <v>0</v>
      </c>
      <c r="BE24" s="1">
        <v>0</v>
      </c>
      <c r="BF24" s="1">
        <v>1</v>
      </c>
      <c r="BG24" s="1">
        <v>0</v>
      </c>
      <c r="BH24" s="1">
        <v>0</v>
      </c>
      <c r="BI24" s="1">
        <v>0</v>
      </c>
      <c r="BJ24" s="1">
        <v>0</v>
      </c>
      <c r="BK24" s="1">
        <v>0</v>
      </c>
      <c r="BL24" s="1">
        <v>2</v>
      </c>
      <c r="BM24" s="1">
        <v>0</v>
      </c>
      <c r="BN24" s="1">
        <v>0</v>
      </c>
      <c r="BO24" s="1">
        <v>0</v>
      </c>
      <c r="BP24" s="1">
        <v>0</v>
      </c>
      <c r="BQ24" s="1">
        <v>0</v>
      </c>
      <c r="BR24" s="1">
        <v>0</v>
      </c>
      <c r="BS24" s="1">
        <v>0</v>
      </c>
      <c r="BT24" s="1">
        <v>0</v>
      </c>
      <c r="BU24" s="1">
        <v>0</v>
      </c>
      <c r="BV24" s="1">
        <v>0</v>
      </c>
      <c r="BW24" s="1">
        <v>0</v>
      </c>
      <c r="BX24" s="1">
        <v>0</v>
      </c>
      <c r="BY24" s="1">
        <v>0</v>
      </c>
    </row>
    <row r="25" spans="1:77" x14ac:dyDescent="0.3">
      <c r="A25" s="2">
        <v>45518</v>
      </c>
      <c r="B25" s="1">
        <v>227</v>
      </c>
      <c r="C25" s="1" t="s">
        <v>204</v>
      </c>
      <c r="D25" s="1" t="s">
        <v>201</v>
      </c>
      <c r="E25" s="1">
        <v>0</v>
      </c>
      <c r="F25" s="1">
        <v>0</v>
      </c>
      <c r="G25" s="1">
        <v>0</v>
      </c>
      <c r="H25" s="1">
        <v>0</v>
      </c>
      <c r="I25" s="1">
        <v>0</v>
      </c>
      <c r="J25" s="1">
        <v>0</v>
      </c>
      <c r="K25" s="1">
        <v>0</v>
      </c>
      <c r="L25" s="1">
        <v>0</v>
      </c>
      <c r="M25" s="1">
        <v>0</v>
      </c>
      <c r="N25" s="1">
        <v>0</v>
      </c>
      <c r="O25" s="1">
        <v>0</v>
      </c>
      <c r="P25" s="1">
        <v>0</v>
      </c>
      <c r="Q25" s="1">
        <v>0</v>
      </c>
      <c r="R25" s="1">
        <v>0</v>
      </c>
      <c r="S25" s="1">
        <v>0</v>
      </c>
      <c r="T25" s="1">
        <v>0</v>
      </c>
      <c r="U25" s="1">
        <v>0</v>
      </c>
      <c r="V25" s="1">
        <v>0</v>
      </c>
      <c r="W25" s="1">
        <v>0</v>
      </c>
      <c r="X25" s="1">
        <v>0</v>
      </c>
      <c r="Y25" s="1">
        <v>0</v>
      </c>
      <c r="Z25" s="1">
        <v>0</v>
      </c>
      <c r="AA25" s="1">
        <v>0</v>
      </c>
      <c r="AB25" s="1">
        <v>0</v>
      </c>
      <c r="AC25" s="1">
        <v>0</v>
      </c>
      <c r="AD25" s="1">
        <v>0</v>
      </c>
      <c r="AE25" s="1">
        <v>0</v>
      </c>
      <c r="AF25" s="1">
        <v>0</v>
      </c>
      <c r="AG25" s="1">
        <v>0</v>
      </c>
      <c r="AH25" s="1">
        <v>0</v>
      </c>
      <c r="AI25" s="1">
        <v>0</v>
      </c>
      <c r="AJ25" s="1">
        <v>0</v>
      </c>
      <c r="AK25" s="1">
        <v>0</v>
      </c>
      <c r="AL25" s="1">
        <v>0</v>
      </c>
      <c r="AM25" s="1">
        <v>0</v>
      </c>
      <c r="AN25" s="1">
        <v>0</v>
      </c>
      <c r="AO25" s="1">
        <v>0</v>
      </c>
      <c r="AP25" s="1">
        <v>0</v>
      </c>
      <c r="AQ25" s="1">
        <v>0</v>
      </c>
      <c r="AR25" s="1">
        <v>0</v>
      </c>
      <c r="AS25" s="1">
        <v>0</v>
      </c>
      <c r="AT25" s="1">
        <v>0</v>
      </c>
      <c r="AU25" s="1">
        <v>0</v>
      </c>
      <c r="AV25" s="1">
        <v>0</v>
      </c>
      <c r="AW25" s="1">
        <v>0</v>
      </c>
      <c r="AX25" s="1">
        <v>0</v>
      </c>
      <c r="AY25" s="1">
        <v>0</v>
      </c>
      <c r="AZ25" s="1">
        <v>0</v>
      </c>
      <c r="BA25" s="1">
        <v>0</v>
      </c>
      <c r="BB25" s="1">
        <v>0</v>
      </c>
      <c r="BC25" s="1">
        <v>0</v>
      </c>
      <c r="BD25" s="1">
        <v>0</v>
      </c>
      <c r="BE25" s="1">
        <v>0</v>
      </c>
      <c r="BF25" s="1">
        <v>0</v>
      </c>
      <c r="BG25" s="1">
        <v>0</v>
      </c>
      <c r="BH25" s="1">
        <v>0</v>
      </c>
      <c r="BI25" s="1">
        <v>0</v>
      </c>
      <c r="BJ25" s="1">
        <v>0</v>
      </c>
      <c r="BK25" s="1">
        <v>0</v>
      </c>
      <c r="BL25" s="1">
        <v>3</v>
      </c>
      <c r="BM25" s="1">
        <v>0</v>
      </c>
      <c r="BN25" s="1">
        <v>0</v>
      </c>
      <c r="BO25" s="1">
        <v>0</v>
      </c>
      <c r="BP25" s="1">
        <v>0</v>
      </c>
      <c r="BQ25" s="1">
        <v>0</v>
      </c>
      <c r="BR25" s="1">
        <v>0</v>
      </c>
      <c r="BS25" s="1">
        <v>0</v>
      </c>
      <c r="BT25" s="1">
        <v>0</v>
      </c>
      <c r="BU25" s="1">
        <v>0</v>
      </c>
      <c r="BV25" s="1">
        <v>0</v>
      </c>
      <c r="BW25" s="1">
        <v>0</v>
      </c>
      <c r="BX25" s="1">
        <v>0</v>
      </c>
      <c r="BY25" s="1">
        <v>0</v>
      </c>
    </row>
    <row r="26" spans="1:77" x14ac:dyDescent="0.3">
      <c r="A26" s="2">
        <v>45498</v>
      </c>
      <c r="B26" s="1">
        <v>207</v>
      </c>
      <c r="C26" s="1" t="s">
        <v>184</v>
      </c>
      <c r="D26" s="1" t="s">
        <v>152</v>
      </c>
      <c r="E26" s="1">
        <v>0</v>
      </c>
      <c r="F26" s="1">
        <v>0</v>
      </c>
      <c r="G26" s="1">
        <v>0</v>
      </c>
      <c r="H26" s="1">
        <v>0</v>
      </c>
      <c r="I26" s="1">
        <v>0</v>
      </c>
      <c r="J26" s="1">
        <v>0</v>
      </c>
      <c r="K26" s="1">
        <v>0</v>
      </c>
      <c r="L26" s="1">
        <v>0</v>
      </c>
      <c r="M26" s="1">
        <v>0</v>
      </c>
      <c r="N26" s="1">
        <v>0</v>
      </c>
      <c r="O26" s="1">
        <v>0</v>
      </c>
      <c r="P26" s="1">
        <v>0</v>
      </c>
      <c r="Q26" s="1">
        <v>0</v>
      </c>
      <c r="R26" s="1">
        <v>0</v>
      </c>
      <c r="S26" s="1">
        <v>0</v>
      </c>
      <c r="T26" s="1">
        <v>0</v>
      </c>
      <c r="U26" s="1">
        <v>0</v>
      </c>
      <c r="V26" s="1">
        <v>0</v>
      </c>
      <c r="W26" s="1">
        <v>0</v>
      </c>
      <c r="X26" s="1">
        <v>0</v>
      </c>
      <c r="Y26" s="1">
        <v>0</v>
      </c>
      <c r="Z26" s="1">
        <v>0</v>
      </c>
      <c r="AA26" s="1">
        <v>1</v>
      </c>
      <c r="AB26" s="1">
        <v>0</v>
      </c>
      <c r="AC26" s="1">
        <v>0</v>
      </c>
      <c r="AD26" s="1">
        <v>0</v>
      </c>
      <c r="AE26" s="1">
        <v>0</v>
      </c>
      <c r="AF26" s="1">
        <v>0</v>
      </c>
      <c r="AG26" s="1">
        <v>0</v>
      </c>
      <c r="AH26" s="1">
        <v>0</v>
      </c>
      <c r="AI26" s="1">
        <v>0</v>
      </c>
      <c r="AJ26" s="1">
        <v>0</v>
      </c>
      <c r="AK26" s="1">
        <v>1</v>
      </c>
      <c r="AL26" s="1">
        <v>0</v>
      </c>
      <c r="AM26" s="1">
        <v>0</v>
      </c>
      <c r="AN26" s="1">
        <v>0</v>
      </c>
      <c r="AO26" s="1">
        <v>0</v>
      </c>
      <c r="AP26" s="1">
        <v>0</v>
      </c>
      <c r="AQ26" s="1">
        <v>0</v>
      </c>
      <c r="AR26" s="1">
        <v>0</v>
      </c>
      <c r="AS26" s="1">
        <v>0</v>
      </c>
      <c r="AT26" s="1">
        <v>0</v>
      </c>
      <c r="AU26" s="1">
        <v>0</v>
      </c>
      <c r="AV26" s="1">
        <v>0</v>
      </c>
      <c r="AW26" s="1">
        <v>0</v>
      </c>
      <c r="AX26" s="1">
        <v>0</v>
      </c>
      <c r="AY26" s="1">
        <v>0</v>
      </c>
      <c r="AZ26" s="1">
        <v>0</v>
      </c>
      <c r="BA26" s="1">
        <v>0</v>
      </c>
      <c r="BB26" s="1">
        <v>0</v>
      </c>
      <c r="BC26" s="1">
        <v>0</v>
      </c>
      <c r="BD26" s="1">
        <v>0</v>
      </c>
      <c r="BE26" s="1">
        <v>0</v>
      </c>
      <c r="BF26" s="1">
        <v>0</v>
      </c>
      <c r="BG26" s="1">
        <v>0</v>
      </c>
      <c r="BH26" s="1">
        <v>0</v>
      </c>
      <c r="BI26" s="1">
        <v>0</v>
      </c>
      <c r="BJ26" s="1">
        <v>0</v>
      </c>
      <c r="BK26" s="1">
        <v>0</v>
      </c>
      <c r="BL26" s="1">
        <v>0</v>
      </c>
      <c r="BM26" s="1">
        <v>0</v>
      </c>
      <c r="BN26" s="1">
        <v>0</v>
      </c>
      <c r="BO26" s="1">
        <v>0</v>
      </c>
      <c r="BP26" s="1">
        <v>0</v>
      </c>
      <c r="BQ26" s="1">
        <v>0</v>
      </c>
      <c r="BR26" s="1">
        <v>0</v>
      </c>
      <c r="BS26" s="1">
        <v>0</v>
      </c>
      <c r="BT26" s="1">
        <v>0</v>
      </c>
      <c r="BU26" s="1">
        <v>0</v>
      </c>
      <c r="BV26" s="1">
        <v>0</v>
      </c>
      <c r="BW26" s="1">
        <v>0</v>
      </c>
      <c r="BX26" s="1">
        <v>0</v>
      </c>
      <c r="BY26" s="1">
        <v>0</v>
      </c>
    </row>
    <row r="27" spans="1:77" x14ac:dyDescent="0.3">
      <c r="A27" s="2">
        <v>45486</v>
      </c>
      <c r="B27" s="1">
        <v>195</v>
      </c>
      <c r="C27" s="1" t="s">
        <v>161</v>
      </c>
      <c r="D27" s="1" t="s">
        <v>152</v>
      </c>
      <c r="E27" s="1">
        <v>0</v>
      </c>
      <c r="F27" s="1">
        <v>0</v>
      </c>
      <c r="G27" s="1">
        <v>0</v>
      </c>
      <c r="H27" s="1">
        <v>0</v>
      </c>
      <c r="I27" s="1">
        <v>0</v>
      </c>
      <c r="J27" s="1">
        <v>0</v>
      </c>
      <c r="K27" s="1">
        <v>0</v>
      </c>
      <c r="L27" s="1">
        <v>1</v>
      </c>
      <c r="M27" s="1">
        <v>0</v>
      </c>
      <c r="N27" s="1">
        <v>0</v>
      </c>
      <c r="O27" s="1">
        <v>0</v>
      </c>
      <c r="P27" s="1">
        <v>0</v>
      </c>
      <c r="Q27" s="1">
        <v>0</v>
      </c>
      <c r="R27" s="1">
        <v>1</v>
      </c>
      <c r="S27" s="1">
        <v>0</v>
      </c>
      <c r="T27" s="1">
        <v>0</v>
      </c>
      <c r="U27" s="1">
        <v>1</v>
      </c>
      <c r="V27" s="1">
        <v>0</v>
      </c>
      <c r="W27" s="1">
        <v>0</v>
      </c>
      <c r="X27" s="1">
        <v>0</v>
      </c>
      <c r="Y27" s="1">
        <v>0</v>
      </c>
      <c r="Z27" s="1">
        <v>0</v>
      </c>
      <c r="AA27" s="1">
        <v>2</v>
      </c>
      <c r="AB27" s="1">
        <v>0</v>
      </c>
      <c r="AC27" s="1">
        <v>0</v>
      </c>
      <c r="AD27" s="1">
        <v>0</v>
      </c>
      <c r="AE27" s="1">
        <v>0</v>
      </c>
      <c r="AF27" s="1">
        <v>0</v>
      </c>
      <c r="AG27" s="1">
        <v>0</v>
      </c>
      <c r="AH27" s="1">
        <v>2</v>
      </c>
      <c r="AI27" s="1">
        <v>0</v>
      </c>
      <c r="AJ27" s="1">
        <v>0</v>
      </c>
      <c r="AK27" s="1">
        <v>0</v>
      </c>
      <c r="AL27" s="1">
        <v>0</v>
      </c>
      <c r="AM27" s="1">
        <v>0</v>
      </c>
      <c r="AN27" s="1">
        <v>0</v>
      </c>
      <c r="AO27" s="1">
        <v>0</v>
      </c>
      <c r="AP27" s="1">
        <v>0</v>
      </c>
      <c r="AQ27" s="1">
        <v>0</v>
      </c>
      <c r="AR27" s="1">
        <v>1</v>
      </c>
      <c r="AS27" s="1">
        <v>0</v>
      </c>
      <c r="AT27" s="1">
        <v>0</v>
      </c>
      <c r="AU27" s="1">
        <v>0</v>
      </c>
      <c r="AV27" s="1">
        <v>0</v>
      </c>
      <c r="AW27" s="1">
        <v>0</v>
      </c>
      <c r="AX27" s="1">
        <v>3</v>
      </c>
      <c r="AY27" s="1">
        <v>0</v>
      </c>
      <c r="AZ27" s="1">
        <v>0</v>
      </c>
      <c r="BA27" s="1">
        <v>0</v>
      </c>
      <c r="BB27" s="1">
        <v>0</v>
      </c>
      <c r="BC27" s="1">
        <v>1</v>
      </c>
      <c r="BD27" s="1">
        <v>0</v>
      </c>
      <c r="BE27" s="1">
        <v>0</v>
      </c>
      <c r="BF27" s="1">
        <v>0</v>
      </c>
      <c r="BG27" s="1">
        <v>0</v>
      </c>
      <c r="BH27" s="1">
        <v>0</v>
      </c>
      <c r="BI27" s="1">
        <v>0</v>
      </c>
      <c r="BJ27" s="1">
        <v>0</v>
      </c>
      <c r="BK27" s="1">
        <v>4</v>
      </c>
      <c r="BL27" s="1">
        <v>28</v>
      </c>
      <c r="BM27" s="1">
        <v>0</v>
      </c>
      <c r="BN27" s="1">
        <v>0</v>
      </c>
      <c r="BO27" s="1">
        <v>0</v>
      </c>
      <c r="BP27" s="1">
        <v>0</v>
      </c>
      <c r="BQ27" s="1">
        <v>0</v>
      </c>
      <c r="BR27" s="1">
        <v>0</v>
      </c>
      <c r="BS27" s="1">
        <v>0</v>
      </c>
      <c r="BT27" s="1">
        <v>3</v>
      </c>
      <c r="BU27" s="1">
        <v>0</v>
      </c>
      <c r="BV27" s="1">
        <v>0</v>
      </c>
      <c r="BW27" s="1">
        <v>0</v>
      </c>
      <c r="BX27" s="1">
        <v>0</v>
      </c>
      <c r="BY27" s="1">
        <v>0</v>
      </c>
    </row>
    <row r="28" spans="1:77" x14ac:dyDescent="0.3">
      <c r="A28" s="2">
        <v>45490</v>
      </c>
      <c r="B28" s="1">
        <v>199</v>
      </c>
      <c r="C28" s="1" t="s">
        <v>161</v>
      </c>
      <c r="D28" s="1" t="s">
        <v>152</v>
      </c>
      <c r="E28" s="1">
        <v>0</v>
      </c>
      <c r="F28" s="1">
        <v>0</v>
      </c>
      <c r="G28" s="1">
        <v>0</v>
      </c>
      <c r="H28" s="1">
        <v>0</v>
      </c>
      <c r="I28" s="1">
        <v>0</v>
      </c>
      <c r="J28" s="1">
        <v>0</v>
      </c>
      <c r="K28" s="1">
        <v>0</v>
      </c>
      <c r="L28" s="1">
        <v>0</v>
      </c>
      <c r="M28" s="1">
        <v>0</v>
      </c>
      <c r="N28" s="1">
        <v>0</v>
      </c>
      <c r="O28" s="1">
        <v>0</v>
      </c>
      <c r="P28" s="1">
        <v>0</v>
      </c>
      <c r="Q28" s="1">
        <v>0</v>
      </c>
      <c r="R28" s="1">
        <v>0</v>
      </c>
      <c r="S28" s="1">
        <v>0</v>
      </c>
      <c r="T28" s="1">
        <v>0</v>
      </c>
      <c r="U28" s="1">
        <v>0</v>
      </c>
      <c r="V28" s="1">
        <v>0</v>
      </c>
      <c r="W28" s="1">
        <v>0</v>
      </c>
      <c r="X28" s="1">
        <v>0</v>
      </c>
      <c r="Y28" s="1">
        <v>0</v>
      </c>
      <c r="Z28" s="1">
        <v>0</v>
      </c>
      <c r="AA28" s="1">
        <v>0</v>
      </c>
      <c r="AB28" s="1">
        <v>0</v>
      </c>
      <c r="AC28" s="1">
        <v>0</v>
      </c>
      <c r="AD28" s="1">
        <v>0</v>
      </c>
      <c r="AE28" s="1">
        <v>0</v>
      </c>
      <c r="AF28" s="1">
        <v>0</v>
      </c>
      <c r="AG28" s="1">
        <v>0</v>
      </c>
      <c r="AH28" s="1">
        <v>0</v>
      </c>
      <c r="AI28" s="1">
        <v>0</v>
      </c>
      <c r="AJ28" s="1">
        <v>0</v>
      </c>
      <c r="AK28" s="1">
        <v>0</v>
      </c>
      <c r="AL28" s="1">
        <v>0</v>
      </c>
      <c r="AM28" s="1">
        <v>0</v>
      </c>
      <c r="AN28" s="1">
        <v>0</v>
      </c>
      <c r="AO28" s="1">
        <v>0</v>
      </c>
      <c r="AP28" s="1">
        <v>0</v>
      </c>
      <c r="AQ28" s="1">
        <v>0</v>
      </c>
      <c r="AR28" s="1">
        <v>0</v>
      </c>
      <c r="AS28" s="1">
        <v>0</v>
      </c>
      <c r="AT28" s="1">
        <v>0</v>
      </c>
      <c r="AU28" s="1">
        <v>0</v>
      </c>
      <c r="AV28" s="1">
        <v>0</v>
      </c>
      <c r="AW28" s="1">
        <v>0</v>
      </c>
      <c r="AX28" s="1">
        <v>0</v>
      </c>
      <c r="AY28" s="1">
        <v>0</v>
      </c>
      <c r="AZ28" s="1">
        <v>0</v>
      </c>
      <c r="BA28" s="1">
        <v>0</v>
      </c>
      <c r="BB28" s="1">
        <v>0</v>
      </c>
      <c r="BC28" s="1">
        <v>0</v>
      </c>
      <c r="BD28" s="1">
        <v>0</v>
      </c>
      <c r="BE28" s="1">
        <v>0</v>
      </c>
      <c r="BF28" s="1">
        <v>0</v>
      </c>
      <c r="BG28" s="1">
        <v>0</v>
      </c>
      <c r="BH28" s="1">
        <v>0</v>
      </c>
      <c r="BI28" s="1">
        <v>0</v>
      </c>
      <c r="BJ28" s="1">
        <v>0</v>
      </c>
      <c r="BK28" s="1">
        <v>0</v>
      </c>
      <c r="BL28" s="1">
        <v>3</v>
      </c>
      <c r="BM28" s="1">
        <v>0</v>
      </c>
      <c r="BN28" s="1">
        <v>0</v>
      </c>
      <c r="BO28" s="1">
        <v>0</v>
      </c>
      <c r="BP28" s="1">
        <v>0</v>
      </c>
      <c r="BQ28" s="1">
        <v>0</v>
      </c>
      <c r="BR28" s="1">
        <v>0</v>
      </c>
      <c r="BS28" s="1">
        <v>0</v>
      </c>
      <c r="BT28" s="1">
        <v>0</v>
      </c>
      <c r="BU28" s="1">
        <v>0</v>
      </c>
      <c r="BV28" s="1">
        <v>0</v>
      </c>
      <c r="BW28" s="1">
        <v>0</v>
      </c>
      <c r="BX28" s="1">
        <v>0</v>
      </c>
      <c r="BY28" s="1">
        <v>0</v>
      </c>
    </row>
    <row r="29" spans="1:77" x14ac:dyDescent="0.3">
      <c r="A29" s="2">
        <v>45498</v>
      </c>
      <c r="B29" s="1">
        <v>207</v>
      </c>
      <c r="C29" s="1" t="s">
        <v>183</v>
      </c>
      <c r="D29" s="1" t="s">
        <v>152</v>
      </c>
      <c r="E29" s="1">
        <v>0</v>
      </c>
      <c r="F29" s="1">
        <v>0</v>
      </c>
      <c r="G29" s="1">
        <v>0</v>
      </c>
      <c r="H29" s="1">
        <v>0</v>
      </c>
      <c r="I29" s="1">
        <v>0</v>
      </c>
      <c r="J29" s="1">
        <v>0</v>
      </c>
      <c r="K29" s="1">
        <v>0</v>
      </c>
      <c r="L29" s="1">
        <v>0</v>
      </c>
      <c r="M29" s="1">
        <v>0</v>
      </c>
      <c r="N29" s="1">
        <v>0</v>
      </c>
      <c r="O29" s="1">
        <v>0</v>
      </c>
      <c r="P29" s="1">
        <v>0</v>
      </c>
      <c r="Q29" s="1">
        <v>0</v>
      </c>
      <c r="R29" s="1">
        <v>0</v>
      </c>
      <c r="S29" s="1">
        <v>0</v>
      </c>
      <c r="T29" s="1">
        <v>0</v>
      </c>
      <c r="U29" s="1">
        <v>0</v>
      </c>
      <c r="V29" s="1">
        <v>0</v>
      </c>
      <c r="W29" s="1">
        <v>0</v>
      </c>
      <c r="X29" s="1">
        <v>0</v>
      </c>
      <c r="Y29" s="1">
        <v>0</v>
      </c>
      <c r="Z29" s="1">
        <v>0</v>
      </c>
      <c r="AA29" s="1">
        <v>0</v>
      </c>
      <c r="AB29" s="1">
        <v>0</v>
      </c>
      <c r="AC29" s="1">
        <v>0</v>
      </c>
      <c r="AD29" s="1">
        <v>0</v>
      </c>
      <c r="AE29" s="1">
        <v>0</v>
      </c>
      <c r="AF29" s="1">
        <v>0</v>
      </c>
      <c r="AG29" s="1">
        <v>0</v>
      </c>
      <c r="AH29" s="1">
        <v>0</v>
      </c>
      <c r="AI29" s="1">
        <v>0</v>
      </c>
      <c r="AJ29" s="1">
        <v>0</v>
      </c>
      <c r="AK29" s="1">
        <v>0</v>
      </c>
      <c r="AL29" s="1">
        <v>0</v>
      </c>
      <c r="AM29" s="1">
        <v>0</v>
      </c>
      <c r="AN29" s="1">
        <v>0</v>
      </c>
      <c r="AO29" s="1">
        <v>0</v>
      </c>
      <c r="AP29" s="1">
        <v>0</v>
      </c>
      <c r="AQ29" s="1">
        <v>0</v>
      </c>
      <c r="AR29" s="1">
        <v>0</v>
      </c>
      <c r="AS29" s="1">
        <v>0</v>
      </c>
      <c r="AT29" s="1">
        <v>0</v>
      </c>
      <c r="AU29" s="1">
        <v>0</v>
      </c>
      <c r="AV29" s="1">
        <v>0</v>
      </c>
      <c r="AW29" s="1">
        <v>0</v>
      </c>
      <c r="AX29" s="1">
        <v>0</v>
      </c>
      <c r="AY29" s="1">
        <v>0</v>
      </c>
      <c r="AZ29" s="1">
        <v>0</v>
      </c>
      <c r="BA29" s="1">
        <v>0</v>
      </c>
      <c r="BB29" s="1">
        <v>0</v>
      </c>
      <c r="BC29" s="1">
        <v>0</v>
      </c>
      <c r="BD29" s="1">
        <v>0</v>
      </c>
      <c r="BE29" s="1">
        <v>0</v>
      </c>
      <c r="BF29" s="1">
        <v>0</v>
      </c>
      <c r="BG29" s="1">
        <v>0</v>
      </c>
      <c r="BH29" s="1">
        <v>0</v>
      </c>
      <c r="BI29" s="1">
        <v>0</v>
      </c>
      <c r="BJ29" s="1">
        <v>0</v>
      </c>
      <c r="BK29" s="1">
        <v>0</v>
      </c>
      <c r="BL29" s="1">
        <v>0</v>
      </c>
      <c r="BM29" s="1">
        <v>0</v>
      </c>
      <c r="BN29" s="1">
        <v>0</v>
      </c>
      <c r="BO29" s="1">
        <v>0</v>
      </c>
      <c r="BP29" s="1">
        <v>0</v>
      </c>
      <c r="BQ29" s="1">
        <v>1</v>
      </c>
      <c r="BR29" s="1">
        <v>0</v>
      </c>
      <c r="BS29" s="1">
        <v>0</v>
      </c>
      <c r="BT29" s="1">
        <v>0</v>
      </c>
      <c r="BU29" s="1">
        <v>0</v>
      </c>
      <c r="BV29" s="1">
        <v>0</v>
      </c>
      <c r="BW29" s="1">
        <v>0</v>
      </c>
      <c r="BX29" s="1">
        <v>0</v>
      </c>
      <c r="BY29" s="1">
        <v>0</v>
      </c>
    </row>
    <row r="30" spans="1:77" x14ac:dyDescent="0.3">
      <c r="A30" s="2">
        <v>45505</v>
      </c>
      <c r="B30" s="1">
        <v>214</v>
      </c>
      <c r="C30" s="1" t="s">
        <v>183</v>
      </c>
      <c r="D30" s="1" t="s">
        <v>152</v>
      </c>
      <c r="E30" s="1">
        <v>0</v>
      </c>
      <c r="F30" s="1">
        <v>0</v>
      </c>
      <c r="G30" s="1">
        <v>0</v>
      </c>
      <c r="H30" s="1">
        <v>0</v>
      </c>
      <c r="I30" s="1">
        <v>0</v>
      </c>
      <c r="J30" s="1">
        <v>0</v>
      </c>
      <c r="K30" s="1">
        <v>0</v>
      </c>
      <c r="L30" s="1">
        <v>0</v>
      </c>
      <c r="M30" s="1">
        <v>0</v>
      </c>
      <c r="N30" s="1">
        <v>0</v>
      </c>
      <c r="O30" s="1">
        <v>0</v>
      </c>
      <c r="P30" s="1">
        <v>0</v>
      </c>
      <c r="Q30" s="1">
        <v>0</v>
      </c>
      <c r="R30" s="1">
        <v>0</v>
      </c>
      <c r="S30" s="1">
        <v>0</v>
      </c>
      <c r="T30" s="1">
        <v>0</v>
      </c>
      <c r="U30" s="1">
        <v>1</v>
      </c>
      <c r="V30" s="1">
        <v>0</v>
      </c>
      <c r="W30" s="1">
        <v>0</v>
      </c>
      <c r="X30" s="1">
        <v>0</v>
      </c>
      <c r="Y30" s="1">
        <v>0</v>
      </c>
      <c r="Z30" s="1">
        <v>0</v>
      </c>
      <c r="AA30" s="1">
        <v>0</v>
      </c>
      <c r="AB30" s="1">
        <v>0</v>
      </c>
      <c r="AC30" s="1">
        <v>0</v>
      </c>
      <c r="AD30" s="1">
        <v>0</v>
      </c>
      <c r="AE30" s="1">
        <v>0</v>
      </c>
      <c r="AF30" s="1">
        <v>0</v>
      </c>
      <c r="AG30" s="1">
        <v>0</v>
      </c>
      <c r="AH30" s="1">
        <v>0</v>
      </c>
      <c r="AI30" s="1">
        <v>0</v>
      </c>
      <c r="AJ30" s="1">
        <v>0</v>
      </c>
      <c r="AK30" s="1">
        <v>0</v>
      </c>
      <c r="AL30" s="1">
        <v>2</v>
      </c>
      <c r="AM30" s="1">
        <v>0</v>
      </c>
      <c r="AN30" s="1">
        <v>0</v>
      </c>
      <c r="AO30" s="1">
        <v>0</v>
      </c>
      <c r="AP30" s="1">
        <v>0</v>
      </c>
      <c r="AQ30" s="1">
        <v>0</v>
      </c>
      <c r="AR30" s="1">
        <v>0</v>
      </c>
      <c r="AS30" s="1">
        <v>0</v>
      </c>
      <c r="AT30" s="1">
        <v>0</v>
      </c>
      <c r="AU30" s="1">
        <v>0</v>
      </c>
      <c r="AV30" s="1">
        <v>0</v>
      </c>
      <c r="AW30" s="1">
        <v>0</v>
      </c>
      <c r="AX30" s="1">
        <v>0</v>
      </c>
      <c r="AY30" s="1">
        <v>0</v>
      </c>
      <c r="AZ30" s="1">
        <v>0</v>
      </c>
      <c r="BA30" s="1">
        <v>0</v>
      </c>
      <c r="BB30" s="1">
        <v>0</v>
      </c>
      <c r="BC30" s="1">
        <v>0</v>
      </c>
      <c r="BD30" s="1">
        <v>0</v>
      </c>
      <c r="BE30" s="1">
        <v>0</v>
      </c>
      <c r="BF30" s="1">
        <v>0</v>
      </c>
      <c r="BG30" s="1">
        <v>0</v>
      </c>
      <c r="BH30" s="1">
        <v>0</v>
      </c>
      <c r="BI30" s="1">
        <v>1</v>
      </c>
      <c r="BJ30" s="1">
        <v>0</v>
      </c>
      <c r="BK30" s="1">
        <v>0</v>
      </c>
      <c r="BL30" s="1">
        <v>3</v>
      </c>
      <c r="BM30" s="1">
        <v>0</v>
      </c>
      <c r="BN30" s="1">
        <v>0</v>
      </c>
      <c r="BO30" s="1">
        <v>0</v>
      </c>
      <c r="BP30" s="1">
        <v>0</v>
      </c>
      <c r="BQ30" s="1">
        <v>0</v>
      </c>
      <c r="BR30" s="1">
        <v>0</v>
      </c>
      <c r="BS30" s="1">
        <v>0</v>
      </c>
      <c r="BT30" s="1">
        <v>0</v>
      </c>
      <c r="BU30" s="1">
        <v>0</v>
      </c>
      <c r="BV30" s="1">
        <v>0</v>
      </c>
      <c r="BW30" s="1">
        <v>0</v>
      </c>
      <c r="BX30" s="1">
        <v>0</v>
      </c>
      <c r="BY30" s="1">
        <v>0</v>
      </c>
    </row>
    <row r="31" spans="1:77" x14ac:dyDescent="0.3">
      <c r="A31" s="2">
        <v>45490</v>
      </c>
      <c r="B31" s="1">
        <v>199</v>
      </c>
      <c r="C31" s="1" t="s">
        <v>162</v>
      </c>
      <c r="D31" s="1" t="s">
        <v>152</v>
      </c>
      <c r="E31" s="1">
        <v>0</v>
      </c>
      <c r="F31" s="1">
        <v>0</v>
      </c>
      <c r="G31" s="1">
        <v>0</v>
      </c>
      <c r="H31" s="1">
        <v>0</v>
      </c>
      <c r="I31" s="1">
        <v>0</v>
      </c>
      <c r="J31" s="1">
        <v>0</v>
      </c>
      <c r="K31" s="1">
        <v>0</v>
      </c>
      <c r="L31" s="1">
        <v>0</v>
      </c>
      <c r="M31" s="1">
        <v>0</v>
      </c>
      <c r="N31" s="1">
        <v>0</v>
      </c>
      <c r="O31" s="1">
        <v>0</v>
      </c>
      <c r="P31" s="1">
        <v>0</v>
      </c>
      <c r="Q31" s="1">
        <v>1</v>
      </c>
      <c r="R31" s="1">
        <v>0</v>
      </c>
      <c r="S31" s="1">
        <v>0</v>
      </c>
      <c r="T31" s="1">
        <v>0</v>
      </c>
      <c r="U31" s="1">
        <v>1</v>
      </c>
      <c r="V31" s="1">
        <v>0</v>
      </c>
      <c r="W31" s="1">
        <v>0</v>
      </c>
      <c r="X31" s="1">
        <v>0</v>
      </c>
      <c r="Y31" s="1">
        <v>0</v>
      </c>
      <c r="Z31" s="1">
        <v>0</v>
      </c>
      <c r="AA31" s="1">
        <v>0</v>
      </c>
      <c r="AB31" s="1">
        <v>0</v>
      </c>
      <c r="AC31" s="1">
        <v>0</v>
      </c>
      <c r="AD31" s="1">
        <v>0</v>
      </c>
      <c r="AE31" s="1">
        <v>0</v>
      </c>
      <c r="AF31" s="1">
        <v>0</v>
      </c>
      <c r="AG31" s="1">
        <v>0</v>
      </c>
      <c r="AH31" s="1">
        <v>0</v>
      </c>
      <c r="AI31" s="1">
        <v>0</v>
      </c>
      <c r="AJ31" s="1">
        <v>0</v>
      </c>
      <c r="AK31" s="1">
        <v>0</v>
      </c>
      <c r="AL31" s="1">
        <v>1</v>
      </c>
      <c r="AM31" s="1">
        <v>0</v>
      </c>
      <c r="AN31" s="1">
        <v>0</v>
      </c>
      <c r="AO31" s="1">
        <v>0</v>
      </c>
      <c r="AP31" s="1">
        <v>0</v>
      </c>
      <c r="AQ31" s="1">
        <v>0</v>
      </c>
      <c r="AR31" s="1">
        <v>0</v>
      </c>
      <c r="AS31" s="1">
        <v>0</v>
      </c>
      <c r="AT31" s="1">
        <v>0</v>
      </c>
      <c r="AU31" s="1">
        <v>0</v>
      </c>
      <c r="AV31" s="1">
        <v>0</v>
      </c>
      <c r="AW31" s="1">
        <v>0</v>
      </c>
      <c r="AX31" s="1">
        <v>0</v>
      </c>
      <c r="AY31" s="1">
        <v>0</v>
      </c>
      <c r="AZ31" s="1">
        <v>0</v>
      </c>
      <c r="BA31" s="1">
        <v>0</v>
      </c>
      <c r="BB31" s="1">
        <v>0</v>
      </c>
      <c r="BC31" s="1">
        <v>0</v>
      </c>
      <c r="BD31" s="1">
        <v>0</v>
      </c>
      <c r="BE31" s="1">
        <v>0</v>
      </c>
      <c r="BF31" s="1">
        <v>0</v>
      </c>
      <c r="BG31" s="1">
        <v>0</v>
      </c>
      <c r="BH31" s="1">
        <v>0</v>
      </c>
      <c r="BI31" s="1">
        <v>0</v>
      </c>
      <c r="BJ31" s="1">
        <v>0</v>
      </c>
      <c r="BK31" s="1">
        <v>0</v>
      </c>
      <c r="BL31" s="1">
        <v>1</v>
      </c>
      <c r="BM31" s="1">
        <v>0</v>
      </c>
      <c r="BN31" s="1">
        <v>0</v>
      </c>
      <c r="BO31" s="1">
        <v>0</v>
      </c>
      <c r="BP31" s="1">
        <v>0</v>
      </c>
      <c r="BQ31" s="1">
        <v>0</v>
      </c>
      <c r="BR31" s="1">
        <v>0</v>
      </c>
      <c r="BS31" s="1">
        <v>0</v>
      </c>
      <c r="BT31" s="1">
        <v>0</v>
      </c>
      <c r="BU31" s="1">
        <v>0</v>
      </c>
      <c r="BV31" s="1">
        <v>0</v>
      </c>
      <c r="BW31" s="1">
        <v>0</v>
      </c>
      <c r="BX31" s="1">
        <v>0</v>
      </c>
      <c r="BY31" s="1">
        <v>0</v>
      </c>
    </row>
    <row r="32" spans="1:77" x14ac:dyDescent="0.3">
      <c r="A32" s="2">
        <v>45512</v>
      </c>
      <c r="B32" s="1">
        <v>221</v>
      </c>
      <c r="C32" s="1" t="s">
        <v>205</v>
      </c>
      <c r="D32" s="1" t="s">
        <v>201</v>
      </c>
      <c r="E32" s="1">
        <v>0</v>
      </c>
      <c r="F32" s="1">
        <v>0</v>
      </c>
      <c r="G32" s="1">
        <v>0</v>
      </c>
      <c r="H32" s="1">
        <v>0</v>
      </c>
      <c r="I32" s="1">
        <v>0</v>
      </c>
      <c r="J32" s="1">
        <v>0</v>
      </c>
      <c r="K32" s="1">
        <v>0</v>
      </c>
      <c r="L32" s="1">
        <v>0</v>
      </c>
      <c r="M32" s="1">
        <v>0</v>
      </c>
      <c r="N32" s="1">
        <v>0</v>
      </c>
      <c r="O32" s="1">
        <v>0</v>
      </c>
      <c r="P32" s="1">
        <v>0</v>
      </c>
      <c r="Q32" s="1">
        <v>0</v>
      </c>
      <c r="R32" s="1">
        <v>2</v>
      </c>
      <c r="S32" s="1">
        <v>0</v>
      </c>
      <c r="T32" s="1">
        <v>0</v>
      </c>
      <c r="U32" s="1">
        <v>0</v>
      </c>
      <c r="V32" s="1">
        <v>2</v>
      </c>
      <c r="W32" s="1">
        <v>0</v>
      </c>
      <c r="X32" s="1">
        <v>0</v>
      </c>
      <c r="Y32" s="1">
        <v>1</v>
      </c>
      <c r="Z32" s="1">
        <v>0</v>
      </c>
      <c r="AA32" s="1">
        <v>3</v>
      </c>
      <c r="AB32" s="1">
        <v>0</v>
      </c>
      <c r="AC32" s="1">
        <v>0</v>
      </c>
      <c r="AD32" s="1">
        <v>0</v>
      </c>
      <c r="AE32" s="1">
        <v>0</v>
      </c>
      <c r="AF32" s="1">
        <v>2</v>
      </c>
      <c r="AG32" s="1">
        <v>0</v>
      </c>
      <c r="AH32" s="1">
        <v>1</v>
      </c>
      <c r="AI32" s="1">
        <v>0</v>
      </c>
      <c r="AJ32" s="1">
        <v>0</v>
      </c>
      <c r="AK32" s="1">
        <v>0</v>
      </c>
      <c r="AL32" s="1">
        <v>0</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1</v>
      </c>
      <c r="BG32" s="1">
        <v>0</v>
      </c>
      <c r="BH32" s="1">
        <v>1</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row>
    <row r="33" spans="1:77" x14ac:dyDescent="0.3">
      <c r="A33" s="2">
        <v>45525</v>
      </c>
      <c r="B33" s="1">
        <v>234</v>
      </c>
      <c r="C33" s="1" t="s">
        <v>205</v>
      </c>
      <c r="D33" s="1" t="s">
        <v>201</v>
      </c>
      <c r="E33" s="1">
        <v>0</v>
      </c>
      <c r="F33" s="1">
        <v>0</v>
      </c>
      <c r="G33" s="1">
        <v>0</v>
      </c>
      <c r="H33" s="1">
        <v>0</v>
      </c>
      <c r="I33" s="1">
        <v>0</v>
      </c>
      <c r="J33" s="1">
        <v>0</v>
      </c>
      <c r="K33" s="1">
        <v>0</v>
      </c>
      <c r="L33" s="1">
        <v>0</v>
      </c>
      <c r="M33" s="1">
        <v>0</v>
      </c>
      <c r="N33" s="1">
        <v>0</v>
      </c>
      <c r="O33" s="1">
        <v>0</v>
      </c>
      <c r="P33" s="1">
        <v>0</v>
      </c>
      <c r="Q33" s="1">
        <v>0</v>
      </c>
      <c r="R33" s="1">
        <v>0</v>
      </c>
      <c r="S33" s="1">
        <v>0</v>
      </c>
      <c r="T33" s="1">
        <v>0</v>
      </c>
      <c r="U33" s="1">
        <v>0</v>
      </c>
      <c r="V33" s="1">
        <v>0</v>
      </c>
      <c r="W33" s="1">
        <v>0</v>
      </c>
      <c r="X33" s="1">
        <v>0</v>
      </c>
      <c r="Y33" s="1">
        <v>3</v>
      </c>
      <c r="Z33" s="1">
        <v>0</v>
      </c>
      <c r="AA33" s="1">
        <v>3</v>
      </c>
      <c r="AB33" s="1">
        <v>0</v>
      </c>
      <c r="AC33" s="1">
        <v>2</v>
      </c>
      <c r="AD33" s="1">
        <v>0</v>
      </c>
      <c r="AE33" s="1">
        <v>0</v>
      </c>
      <c r="AF33" s="1">
        <v>0</v>
      </c>
      <c r="AG33" s="1">
        <v>0</v>
      </c>
      <c r="AH33" s="1">
        <v>0</v>
      </c>
      <c r="AI33" s="1">
        <v>0</v>
      </c>
      <c r="AJ33" s="1">
        <v>0</v>
      </c>
      <c r="AK33" s="1">
        <v>1</v>
      </c>
      <c r="AL33" s="1">
        <v>0</v>
      </c>
      <c r="AM33" s="1">
        <v>0</v>
      </c>
      <c r="AN33" s="1">
        <v>0</v>
      </c>
      <c r="AO33" s="1">
        <v>0</v>
      </c>
      <c r="AP33" s="1">
        <v>0</v>
      </c>
      <c r="AQ33" s="1">
        <v>0</v>
      </c>
      <c r="AR33" s="1">
        <v>0</v>
      </c>
      <c r="AS33" s="1">
        <v>0</v>
      </c>
      <c r="AT33" s="1">
        <v>0</v>
      </c>
      <c r="AU33" s="1">
        <v>0</v>
      </c>
      <c r="AV33" s="1">
        <v>0</v>
      </c>
      <c r="AW33" s="1">
        <v>0</v>
      </c>
      <c r="AX33" s="1">
        <v>0</v>
      </c>
      <c r="AY33" s="1">
        <v>0</v>
      </c>
      <c r="AZ33" s="1">
        <v>0</v>
      </c>
      <c r="BA33" s="1">
        <v>0</v>
      </c>
      <c r="BB33" s="1">
        <v>0</v>
      </c>
      <c r="BC33" s="1">
        <v>0</v>
      </c>
      <c r="BD33" s="1">
        <v>0</v>
      </c>
      <c r="BE33" s="1">
        <v>0</v>
      </c>
      <c r="BF33" s="1">
        <v>0</v>
      </c>
      <c r="BG33" s="1">
        <v>0</v>
      </c>
      <c r="BH33" s="1">
        <v>0</v>
      </c>
      <c r="BI33" s="1">
        <v>0</v>
      </c>
      <c r="BJ33" s="1">
        <v>0</v>
      </c>
      <c r="BK33" s="1">
        <v>0</v>
      </c>
      <c r="BL33" s="1">
        <v>0</v>
      </c>
      <c r="BM33" s="1">
        <v>0</v>
      </c>
      <c r="BN33" s="1">
        <v>0</v>
      </c>
      <c r="BO33" s="1">
        <v>0</v>
      </c>
      <c r="BP33" s="1">
        <v>0</v>
      </c>
      <c r="BQ33" s="1">
        <v>0</v>
      </c>
      <c r="BR33" s="1">
        <v>0</v>
      </c>
      <c r="BS33" s="1">
        <v>0</v>
      </c>
      <c r="BT33" s="1">
        <v>0</v>
      </c>
      <c r="BU33" s="1">
        <v>0</v>
      </c>
      <c r="BV33" s="1">
        <v>1</v>
      </c>
      <c r="BW33" s="1">
        <v>0</v>
      </c>
      <c r="BX33" s="1">
        <v>0</v>
      </c>
      <c r="BY33" s="1">
        <v>0</v>
      </c>
    </row>
    <row r="34" spans="1:77" x14ac:dyDescent="0.3">
      <c r="A34" s="2">
        <v>45505</v>
      </c>
      <c r="B34" s="1">
        <v>214</v>
      </c>
      <c r="C34" s="1" t="s">
        <v>197</v>
      </c>
      <c r="D34" s="1" t="s">
        <v>152</v>
      </c>
      <c r="E34" s="1">
        <v>0</v>
      </c>
      <c r="F34" s="1">
        <v>0</v>
      </c>
      <c r="G34" s="1">
        <v>0</v>
      </c>
      <c r="H34" s="1">
        <v>0</v>
      </c>
      <c r="I34" s="1">
        <v>0</v>
      </c>
      <c r="J34" s="1">
        <v>0</v>
      </c>
      <c r="K34" s="1">
        <v>0</v>
      </c>
      <c r="L34" s="1">
        <v>0</v>
      </c>
      <c r="M34" s="1">
        <v>0</v>
      </c>
      <c r="N34" s="1">
        <v>0</v>
      </c>
      <c r="O34" s="1">
        <v>0</v>
      </c>
      <c r="P34" s="1">
        <v>0</v>
      </c>
      <c r="Q34" s="1">
        <v>0</v>
      </c>
      <c r="R34" s="1">
        <v>0</v>
      </c>
      <c r="S34" s="1">
        <v>0</v>
      </c>
      <c r="T34" s="1">
        <v>0</v>
      </c>
      <c r="U34" s="1">
        <v>0</v>
      </c>
      <c r="V34" s="1">
        <v>0</v>
      </c>
      <c r="W34" s="1">
        <v>0</v>
      </c>
      <c r="X34" s="1">
        <v>0</v>
      </c>
      <c r="Y34" s="1">
        <v>0</v>
      </c>
      <c r="Z34" s="1">
        <v>0</v>
      </c>
      <c r="AA34" s="1">
        <v>1</v>
      </c>
      <c r="AB34" s="1">
        <v>0</v>
      </c>
      <c r="AC34" s="1">
        <v>0</v>
      </c>
      <c r="AD34" s="1">
        <v>0</v>
      </c>
      <c r="AE34" s="1">
        <v>0</v>
      </c>
      <c r="AF34" s="1">
        <v>0</v>
      </c>
      <c r="AG34" s="1">
        <v>0</v>
      </c>
      <c r="AH34" s="1">
        <v>0</v>
      </c>
      <c r="AI34" s="1">
        <v>0</v>
      </c>
      <c r="AJ34" s="1">
        <v>0</v>
      </c>
      <c r="AK34" s="1">
        <v>1</v>
      </c>
      <c r="AL34" s="1">
        <v>1</v>
      </c>
      <c r="AM34" s="1">
        <v>0</v>
      </c>
      <c r="AN34" s="1">
        <v>0</v>
      </c>
      <c r="AO34" s="1">
        <v>0</v>
      </c>
      <c r="AP34" s="1">
        <v>0</v>
      </c>
      <c r="AQ34" s="1">
        <v>0</v>
      </c>
      <c r="AR34" s="1">
        <v>0</v>
      </c>
      <c r="AS34" s="1">
        <v>0</v>
      </c>
      <c r="AT34" s="1">
        <v>0</v>
      </c>
      <c r="AU34" s="1">
        <v>0</v>
      </c>
      <c r="AV34" s="1">
        <v>0</v>
      </c>
      <c r="AW34" s="1">
        <v>0</v>
      </c>
      <c r="AX34" s="1">
        <v>0</v>
      </c>
      <c r="AY34" s="1">
        <v>0</v>
      </c>
      <c r="AZ34" s="1">
        <v>0</v>
      </c>
      <c r="BA34" s="1">
        <v>0</v>
      </c>
      <c r="BB34" s="1">
        <v>0</v>
      </c>
      <c r="BC34" s="1">
        <v>0</v>
      </c>
      <c r="BD34" s="1">
        <v>0</v>
      </c>
      <c r="BE34" s="1">
        <v>0</v>
      </c>
      <c r="BF34" s="1">
        <v>1</v>
      </c>
      <c r="BG34" s="1">
        <v>0</v>
      </c>
      <c r="BH34" s="1">
        <v>0</v>
      </c>
      <c r="BI34" s="1">
        <v>1</v>
      </c>
      <c r="BJ34" s="1">
        <v>0</v>
      </c>
      <c r="BK34" s="1">
        <v>0</v>
      </c>
      <c r="BL34" s="1">
        <v>0</v>
      </c>
      <c r="BM34" s="1">
        <v>0</v>
      </c>
      <c r="BN34" s="1">
        <v>0</v>
      </c>
      <c r="BO34" s="1">
        <v>0</v>
      </c>
      <c r="BP34" s="1">
        <v>0</v>
      </c>
      <c r="BQ34" s="1">
        <v>0</v>
      </c>
      <c r="BR34" s="1">
        <v>0</v>
      </c>
      <c r="BS34" s="1">
        <v>0</v>
      </c>
      <c r="BT34" s="1">
        <v>0</v>
      </c>
      <c r="BU34" s="1">
        <v>0</v>
      </c>
      <c r="BV34" s="1">
        <v>0</v>
      </c>
      <c r="BW34" s="1">
        <v>0</v>
      </c>
      <c r="BX34" s="1">
        <v>0</v>
      </c>
      <c r="BY34" s="1">
        <v>0</v>
      </c>
    </row>
    <row r="35" spans="1:77" x14ac:dyDescent="0.3">
      <c r="A35" s="2">
        <v>45499</v>
      </c>
      <c r="B35" s="1">
        <v>208</v>
      </c>
      <c r="C35" s="1" t="s">
        <v>189</v>
      </c>
      <c r="D35" s="1" t="s">
        <v>152</v>
      </c>
      <c r="E35" s="1">
        <v>0</v>
      </c>
      <c r="F35" s="1">
        <v>0</v>
      </c>
      <c r="G35" s="1">
        <v>0</v>
      </c>
      <c r="H35" s="1">
        <v>0</v>
      </c>
      <c r="I35" s="1">
        <v>0</v>
      </c>
      <c r="J35" s="1">
        <v>0</v>
      </c>
      <c r="K35" s="1">
        <v>0</v>
      </c>
      <c r="L35" s="1">
        <v>0</v>
      </c>
      <c r="M35" s="1">
        <v>0</v>
      </c>
      <c r="N35" s="1">
        <v>0</v>
      </c>
      <c r="O35" s="1">
        <v>0</v>
      </c>
      <c r="P35" s="1">
        <v>0</v>
      </c>
      <c r="Q35" s="1">
        <v>0</v>
      </c>
      <c r="R35" s="1">
        <v>0</v>
      </c>
      <c r="S35" s="1">
        <v>0</v>
      </c>
      <c r="T35" s="1">
        <v>0</v>
      </c>
      <c r="U35" s="1">
        <v>0</v>
      </c>
      <c r="V35" s="1">
        <v>0</v>
      </c>
      <c r="W35" s="1">
        <v>0</v>
      </c>
      <c r="X35" s="1">
        <v>0</v>
      </c>
      <c r="Y35" s="1">
        <v>1</v>
      </c>
      <c r="Z35" s="1">
        <v>0</v>
      </c>
      <c r="AA35" s="1">
        <v>4</v>
      </c>
      <c r="AB35" s="1">
        <v>0</v>
      </c>
      <c r="AC35" s="1">
        <v>0</v>
      </c>
      <c r="AD35" s="1">
        <v>0</v>
      </c>
      <c r="AE35" s="1">
        <v>0</v>
      </c>
      <c r="AF35" s="1">
        <v>0</v>
      </c>
      <c r="AG35" s="1">
        <v>0</v>
      </c>
      <c r="AH35" s="1">
        <v>0</v>
      </c>
      <c r="AI35" s="1">
        <v>0</v>
      </c>
      <c r="AJ35" s="1">
        <v>0</v>
      </c>
      <c r="AK35" s="1">
        <v>4</v>
      </c>
      <c r="AL35" s="1">
        <v>0</v>
      </c>
      <c r="AM35" s="1">
        <v>0</v>
      </c>
      <c r="AN35" s="1">
        <v>0</v>
      </c>
      <c r="AO35" s="1">
        <v>0</v>
      </c>
      <c r="AP35" s="1">
        <v>0</v>
      </c>
      <c r="AQ35" s="1">
        <v>0</v>
      </c>
      <c r="AR35" s="1">
        <v>0</v>
      </c>
      <c r="AS35" s="1">
        <v>0</v>
      </c>
      <c r="AT35" s="1">
        <v>0</v>
      </c>
      <c r="AU35" s="1">
        <v>0</v>
      </c>
      <c r="AV35" s="1">
        <v>0</v>
      </c>
      <c r="AW35" s="1">
        <v>0</v>
      </c>
      <c r="AX35" s="1">
        <v>1</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0</v>
      </c>
      <c r="BX35" s="1">
        <v>0</v>
      </c>
      <c r="BY35" s="1">
        <v>0</v>
      </c>
    </row>
    <row r="36" spans="1:77" x14ac:dyDescent="0.3">
      <c r="A36" s="2">
        <v>45505</v>
      </c>
      <c r="B36" s="1">
        <v>214</v>
      </c>
      <c r="C36" s="1" t="s">
        <v>189</v>
      </c>
      <c r="D36" s="1" t="s">
        <v>152</v>
      </c>
      <c r="E36" s="1">
        <v>0</v>
      </c>
      <c r="F36" s="1">
        <v>0</v>
      </c>
      <c r="G36" s="1">
        <v>0</v>
      </c>
      <c r="H36" s="1">
        <v>0</v>
      </c>
      <c r="I36" s="1">
        <v>0</v>
      </c>
      <c r="J36" s="1">
        <v>0</v>
      </c>
      <c r="K36" s="1">
        <v>0</v>
      </c>
      <c r="L36" s="1">
        <v>0</v>
      </c>
      <c r="M36" s="1">
        <v>0</v>
      </c>
      <c r="N36" s="1">
        <v>0</v>
      </c>
      <c r="O36" s="1">
        <v>0</v>
      </c>
      <c r="P36" s="1">
        <v>0</v>
      </c>
      <c r="Q36" s="1">
        <v>0</v>
      </c>
      <c r="R36" s="1">
        <v>1</v>
      </c>
      <c r="S36" s="1">
        <v>0</v>
      </c>
      <c r="T36" s="1">
        <v>0</v>
      </c>
      <c r="U36" s="1">
        <v>0</v>
      </c>
      <c r="V36" s="1">
        <v>0</v>
      </c>
      <c r="W36" s="1">
        <v>0</v>
      </c>
      <c r="X36" s="1">
        <v>0</v>
      </c>
      <c r="Y36" s="1">
        <v>0</v>
      </c>
      <c r="Z36" s="1">
        <v>0</v>
      </c>
      <c r="AA36" s="1">
        <v>1</v>
      </c>
      <c r="AB36" s="1">
        <v>0</v>
      </c>
      <c r="AC36" s="1">
        <v>1</v>
      </c>
      <c r="AD36" s="1">
        <v>0</v>
      </c>
      <c r="AE36" s="1">
        <v>0</v>
      </c>
      <c r="AF36" s="1">
        <v>0</v>
      </c>
      <c r="AG36" s="1">
        <v>0</v>
      </c>
      <c r="AH36" s="1">
        <v>0</v>
      </c>
      <c r="AI36" s="1">
        <v>0</v>
      </c>
      <c r="AJ36" s="1">
        <v>0</v>
      </c>
      <c r="AK36" s="1">
        <v>0</v>
      </c>
      <c r="AL36" s="1">
        <v>2</v>
      </c>
      <c r="AM36" s="1">
        <v>0</v>
      </c>
      <c r="AN36" s="1">
        <v>0</v>
      </c>
      <c r="AO36" s="1">
        <v>0</v>
      </c>
      <c r="AP36" s="1">
        <v>0</v>
      </c>
      <c r="AQ36" s="1">
        <v>0</v>
      </c>
      <c r="AR36" s="1">
        <v>0</v>
      </c>
      <c r="AS36" s="1">
        <v>0</v>
      </c>
      <c r="AT36" s="1">
        <v>0</v>
      </c>
      <c r="AU36" s="1">
        <v>0</v>
      </c>
      <c r="AV36" s="1">
        <v>0</v>
      </c>
      <c r="AW36" s="1">
        <v>0</v>
      </c>
      <c r="AX36" s="1">
        <v>1</v>
      </c>
      <c r="AY36" s="1">
        <v>0</v>
      </c>
      <c r="AZ36" s="1">
        <v>0</v>
      </c>
      <c r="BA36" s="1">
        <v>0</v>
      </c>
      <c r="BB36" s="1">
        <v>0</v>
      </c>
      <c r="BC36" s="1">
        <v>2</v>
      </c>
      <c r="BD36" s="1">
        <v>0</v>
      </c>
      <c r="BE36" s="1">
        <v>0</v>
      </c>
      <c r="BF36" s="1">
        <v>0</v>
      </c>
      <c r="BG36" s="1">
        <v>0</v>
      </c>
      <c r="BH36" s="1">
        <v>0</v>
      </c>
      <c r="BI36" s="1">
        <v>0</v>
      </c>
      <c r="BJ36" s="1">
        <v>0</v>
      </c>
      <c r="BK36" s="1">
        <v>0</v>
      </c>
      <c r="BL36" s="1">
        <v>7</v>
      </c>
      <c r="BM36" s="1">
        <v>0</v>
      </c>
      <c r="BN36" s="1">
        <v>0</v>
      </c>
      <c r="BO36" s="1">
        <v>0</v>
      </c>
      <c r="BP36" s="1">
        <v>0</v>
      </c>
      <c r="BQ36" s="1">
        <v>0</v>
      </c>
      <c r="BR36" s="1">
        <v>0</v>
      </c>
      <c r="BS36" s="1">
        <v>0</v>
      </c>
      <c r="BT36" s="1">
        <v>0</v>
      </c>
      <c r="BU36" s="1">
        <v>0</v>
      </c>
      <c r="BV36" s="1">
        <v>0</v>
      </c>
      <c r="BW36" s="1">
        <v>0</v>
      </c>
      <c r="BX36" s="1">
        <v>0</v>
      </c>
      <c r="BY36" s="1">
        <v>0</v>
      </c>
    </row>
    <row r="37" spans="1:77" x14ac:dyDescent="0.3">
      <c r="A37" s="2">
        <v>45481</v>
      </c>
      <c r="B37" s="1">
        <v>190</v>
      </c>
      <c r="C37" s="1" t="s">
        <v>153</v>
      </c>
      <c r="D37" s="1" t="s">
        <v>152</v>
      </c>
      <c r="E37" s="1">
        <v>0</v>
      </c>
      <c r="F37" s="1">
        <v>0</v>
      </c>
      <c r="G37" s="1">
        <v>0</v>
      </c>
      <c r="H37" s="1">
        <v>0</v>
      </c>
      <c r="I37" s="1">
        <v>0</v>
      </c>
      <c r="J37" s="1">
        <v>0</v>
      </c>
      <c r="K37" s="1">
        <v>0</v>
      </c>
      <c r="L37" s="1">
        <v>0</v>
      </c>
      <c r="M37" s="1">
        <v>0</v>
      </c>
      <c r="N37" s="1">
        <v>0</v>
      </c>
      <c r="O37" s="1">
        <v>0</v>
      </c>
      <c r="P37" s="1">
        <v>0</v>
      </c>
      <c r="Q37" s="1">
        <v>1</v>
      </c>
      <c r="R37" s="1">
        <v>0</v>
      </c>
      <c r="S37" s="1">
        <v>0</v>
      </c>
      <c r="T37" s="1">
        <v>0</v>
      </c>
      <c r="U37" s="1">
        <v>0</v>
      </c>
      <c r="V37" s="1">
        <v>0</v>
      </c>
      <c r="W37" s="1">
        <v>0</v>
      </c>
      <c r="X37" s="1">
        <v>1</v>
      </c>
      <c r="Y37" s="1">
        <v>1</v>
      </c>
      <c r="Z37" s="1">
        <v>0</v>
      </c>
      <c r="AA37" s="1">
        <v>2</v>
      </c>
      <c r="AB37" s="1">
        <v>0</v>
      </c>
      <c r="AC37" s="1">
        <v>0</v>
      </c>
      <c r="AD37" s="1">
        <v>0</v>
      </c>
      <c r="AE37" s="1">
        <v>0</v>
      </c>
      <c r="AF37" s="1">
        <v>0</v>
      </c>
      <c r="AG37" s="1">
        <v>0</v>
      </c>
      <c r="AH37" s="1">
        <v>2</v>
      </c>
      <c r="AI37" s="1">
        <v>0</v>
      </c>
      <c r="AJ37" s="1">
        <v>0</v>
      </c>
      <c r="AK37" s="1">
        <v>0</v>
      </c>
      <c r="AL37" s="1">
        <v>1</v>
      </c>
      <c r="AM37" s="1">
        <v>0</v>
      </c>
      <c r="AN37" s="1">
        <v>0</v>
      </c>
      <c r="AO37" s="1">
        <v>0</v>
      </c>
      <c r="AP37" s="1">
        <v>0</v>
      </c>
      <c r="AQ37" s="1">
        <v>0</v>
      </c>
      <c r="AR37" s="1">
        <v>0</v>
      </c>
      <c r="AS37" s="1">
        <v>0</v>
      </c>
      <c r="AT37" s="1">
        <v>0</v>
      </c>
      <c r="AU37" s="1">
        <v>0</v>
      </c>
      <c r="AV37" s="1">
        <v>0</v>
      </c>
      <c r="AW37" s="1">
        <v>0</v>
      </c>
      <c r="AX37" s="1">
        <v>0</v>
      </c>
      <c r="AY37" s="1">
        <v>0</v>
      </c>
      <c r="AZ37" s="1">
        <v>0</v>
      </c>
      <c r="BA37" s="1">
        <v>0</v>
      </c>
      <c r="BB37" s="1">
        <v>0</v>
      </c>
      <c r="BC37" s="1">
        <v>0</v>
      </c>
      <c r="BD37" s="1">
        <v>0</v>
      </c>
      <c r="BE37" s="1">
        <v>0</v>
      </c>
      <c r="BF37" s="1">
        <v>0</v>
      </c>
      <c r="BG37" s="1">
        <v>0</v>
      </c>
      <c r="BH37" s="1">
        <v>0</v>
      </c>
      <c r="BI37" s="1">
        <v>0</v>
      </c>
      <c r="BJ37" s="1">
        <v>0</v>
      </c>
      <c r="BK37" s="1">
        <v>0</v>
      </c>
      <c r="BL37" s="1">
        <v>8</v>
      </c>
      <c r="BM37" s="1">
        <v>0</v>
      </c>
      <c r="BN37" s="1">
        <v>0</v>
      </c>
      <c r="BO37" s="1">
        <v>0</v>
      </c>
      <c r="BP37" s="1">
        <v>0</v>
      </c>
      <c r="BQ37" s="1">
        <v>0</v>
      </c>
      <c r="BR37" s="1">
        <v>0</v>
      </c>
      <c r="BS37" s="1">
        <v>0</v>
      </c>
      <c r="BT37" s="1">
        <v>2</v>
      </c>
      <c r="BU37" s="1">
        <v>0</v>
      </c>
      <c r="BV37" s="1">
        <v>0</v>
      </c>
      <c r="BW37" s="1">
        <v>0</v>
      </c>
      <c r="BX37" s="1">
        <v>0</v>
      </c>
      <c r="BY37" s="1">
        <v>0</v>
      </c>
    </row>
    <row r="38" spans="1:77" x14ac:dyDescent="0.3">
      <c r="A38" s="2">
        <v>45490</v>
      </c>
      <c r="B38" s="1">
        <v>199</v>
      </c>
      <c r="C38" s="1" t="s">
        <v>153</v>
      </c>
      <c r="D38" s="1" t="s">
        <v>152</v>
      </c>
      <c r="E38" s="1">
        <v>0</v>
      </c>
      <c r="F38" s="1">
        <v>0</v>
      </c>
      <c r="G38" s="1">
        <v>0</v>
      </c>
      <c r="H38" s="1">
        <v>0</v>
      </c>
      <c r="I38" s="1">
        <v>0</v>
      </c>
      <c r="J38" s="1">
        <v>0</v>
      </c>
      <c r="K38" s="1">
        <v>0</v>
      </c>
      <c r="L38" s="1">
        <v>0</v>
      </c>
      <c r="M38" s="1">
        <v>0</v>
      </c>
      <c r="N38" s="1">
        <v>0</v>
      </c>
      <c r="O38" s="1">
        <v>0</v>
      </c>
      <c r="P38" s="1">
        <v>0</v>
      </c>
      <c r="Q38" s="1">
        <v>2</v>
      </c>
      <c r="R38" s="1">
        <v>0</v>
      </c>
      <c r="S38" s="1">
        <v>0</v>
      </c>
      <c r="T38" s="1">
        <v>0</v>
      </c>
      <c r="U38" s="1">
        <v>0</v>
      </c>
      <c r="V38" s="1">
        <v>0</v>
      </c>
      <c r="W38" s="1">
        <v>0</v>
      </c>
      <c r="X38" s="1">
        <v>0</v>
      </c>
      <c r="Y38" s="1">
        <v>0</v>
      </c>
      <c r="Z38" s="1">
        <v>0</v>
      </c>
      <c r="AA38" s="1">
        <v>3</v>
      </c>
      <c r="AB38" s="1">
        <v>1</v>
      </c>
      <c r="AC38" s="1">
        <v>0</v>
      </c>
      <c r="AD38" s="1">
        <v>0</v>
      </c>
      <c r="AE38" s="1">
        <v>0</v>
      </c>
      <c r="AF38" s="1">
        <v>0</v>
      </c>
      <c r="AG38" s="1">
        <v>1</v>
      </c>
      <c r="AH38" s="1">
        <v>0</v>
      </c>
      <c r="AI38" s="1">
        <v>0</v>
      </c>
      <c r="AJ38" s="1">
        <v>0</v>
      </c>
      <c r="AK38" s="1">
        <v>1</v>
      </c>
      <c r="AL38" s="1">
        <v>1</v>
      </c>
      <c r="AM38" s="1">
        <v>0</v>
      </c>
      <c r="AN38" s="1">
        <v>0</v>
      </c>
      <c r="AO38" s="1">
        <v>0</v>
      </c>
      <c r="AP38" s="1">
        <v>0</v>
      </c>
      <c r="AQ38" s="1">
        <v>0</v>
      </c>
      <c r="AR38" s="1">
        <v>0</v>
      </c>
      <c r="AS38" s="1">
        <v>0</v>
      </c>
      <c r="AT38" s="1">
        <v>0</v>
      </c>
      <c r="AU38" s="1">
        <v>0</v>
      </c>
      <c r="AV38" s="1">
        <v>0</v>
      </c>
      <c r="AW38" s="1">
        <v>0</v>
      </c>
      <c r="AX38" s="1">
        <v>0</v>
      </c>
      <c r="AY38" s="1">
        <v>0</v>
      </c>
      <c r="AZ38" s="1">
        <v>0</v>
      </c>
      <c r="BA38" s="1">
        <v>0</v>
      </c>
      <c r="BB38" s="1">
        <v>0</v>
      </c>
      <c r="BC38" s="1">
        <v>0</v>
      </c>
      <c r="BD38" s="1">
        <v>0</v>
      </c>
      <c r="BE38" s="1">
        <v>0</v>
      </c>
      <c r="BF38" s="1">
        <v>0</v>
      </c>
      <c r="BG38" s="1">
        <v>0</v>
      </c>
      <c r="BH38" s="1">
        <v>0</v>
      </c>
      <c r="BI38" s="1">
        <v>0</v>
      </c>
      <c r="BJ38" s="1">
        <v>0</v>
      </c>
      <c r="BK38" s="1">
        <v>0</v>
      </c>
      <c r="BL38" s="1">
        <v>0</v>
      </c>
      <c r="BM38" s="1">
        <v>0</v>
      </c>
      <c r="BN38" s="1">
        <v>0</v>
      </c>
      <c r="BO38" s="1">
        <v>0</v>
      </c>
      <c r="BP38" s="1">
        <v>0</v>
      </c>
      <c r="BQ38" s="1">
        <v>0</v>
      </c>
      <c r="BR38" s="1">
        <v>0</v>
      </c>
      <c r="BS38" s="1">
        <v>0</v>
      </c>
      <c r="BT38" s="1">
        <v>0</v>
      </c>
      <c r="BU38" s="1">
        <v>0</v>
      </c>
      <c r="BV38" s="1">
        <v>0</v>
      </c>
      <c r="BW38" s="1">
        <v>0</v>
      </c>
      <c r="BX38" s="1">
        <v>0</v>
      </c>
      <c r="BY38" s="1">
        <v>0</v>
      </c>
    </row>
    <row r="39" spans="1:77" x14ac:dyDescent="0.3">
      <c r="A39" s="2">
        <v>45499</v>
      </c>
      <c r="B39" s="1">
        <v>208</v>
      </c>
      <c r="C39" s="1" t="s">
        <v>153</v>
      </c>
      <c r="D39" s="1" t="s">
        <v>152</v>
      </c>
      <c r="E39" s="1">
        <v>0</v>
      </c>
      <c r="F39" s="1">
        <v>0</v>
      </c>
      <c r="G39" s="1">
        <v>0</v>
      </c>
      <c r="H39" s="1">
        <v>0</v>
      </c>
      <c r="I39" s="1">
        <v>0</v>
      </c>
      <c r="J39" s="1">
        <v>0</v>
      </c>
      <c r="K39" s="1">
        <v>0</v>
      </c>
      <c r="L39" s="1">
        <v>0</v>
      </c>
      <c r="M39" s="1">
        <v>0</v>
      </c>
      <c r="N39" s="1">
        <v>0</v>
      </c>
      <c r="O39" s="1">
        <v>0</v>
      </c>
      <c r="P39" s="1">
        <v>0</v>
      </c>
      <c r="Q39" s="1">
        <v>0</v>
      </c>
      <c r="R39" s="1">
        <v>0</v>
      </c>
      <c r="S39" s="1">
        <v>0</v>
      </c>
      <c r="T39" s="1">
        <v>0</v>
      </c>
      <c r="U39" s="1">
        <v>0</v>
      </c>
      <c r="V39" s="1">
        <v>0</v>
      </c>
      <c r="W39" s="1">
        <v>0</v>
      </c>
      <c r="X39" s="1">
        <v>0</v>
      </c>
      <c r="Y39" s="1">
        <v>0</v>
      </c>
      <c r="Z39" s="1">
        <v>0</v>
      </c>
      <c r="AA39" s="1">
        <v>0</v>
      </c>
      <c r="AB39" s="1">
        <v>0</v>
      </c>
      <c r="AC39" s="1">
        <v>0</v>
      </c>
      <c r="AD39" s="1">
        <v>0</v>
      </c>
      <c r="AE39" s="1">
        <v>0</v>
      </c>
      <c r="AF39" s="1">
        <v>0</v>
      </c>
      <c r="AG39" s="1">
        <v>0</v>
      </c>
      <c r="AH39" s="1">
        <v>0</v>
      </c>
      <c r="AI39" s="1">
        <v>0</v>
      </c>
      <c r="AJ39" s="1">
        <v>0</v>
      </c>
      <c r="AK39" s="1">
        <v>0</v>
      </c>
      <c r="AL39" s="1">
        <v>0</v>
      </c>
      <c r="AM39" s="1">
        <v>0</v>
      </c>
      <c r="AN39" s="1">
        <v>0</v>
      </c>
      <c r="AO39" s="1">
        <v>0</v>
      </c>
      <c r="AP39" s="1">
        <v>0</v>
      </c>
      <c r="AQ39" s="1">
        <v>0</v>
      </c>
      <c r="AR39" s="1">
        <v>0</v>
      </c>
      <c r="AS39" s="1">
        <v>0</v>
      </c>
      <c r="AT39" s="1">
        <v>0</v>
      </c>
      <c r="AU39" s="1">
        <v>0</v>
      </c>
      <c r="AV39" s="1">
        <v>0</v>
      </c>
      <c r="AW39" s="1">
        <v>0</v>
      </c>
      <c r="AX39" s="1">
        <v>0</v>
      </c>
      <c r="AY39" s="1">
        <v>0</v>
      </c>
      <c r="AZ39" s="1">
        <v>0</v>
      </c>
      <c r="BA39" s="1">
        <v>0</v>
      </c>
      <c r="BB39" s="1">
        <v>0</v>
      </c>
      <c r="BC39" s="1">
        <v>0</v>
      </c>
      <c r="BD39" s="1">
        <v>0</v>
      </c>
      <c r="BE39" s="1">
        <v>0</v>
      </c>
      <c r="BF39" s="1">
        <v>0</v>
      </c>
      <c r="BG39" s="1">
        <v>0</v>
      </c>
      <c r="BH39" s="1">
        <v>0</v>
      </c>
      <c r="BI39" s="1">
        <v>0</v>
      </c>
      <c r="BJ39" s="1">
        <v>0</v>
      </c>
      <c r="BK39" s="1">
        <v>0</v>
      </c>
      <c r="BL39" s="1">
        <v>0</v>
      </c>
      <c r="BM39" s="1">
        <v>0</v>
      </c>
      <c r="BN39" s="1">
        <v>0</v>
      </c>
      <c r="BO39" s="1">
        <v>0</v>
      </c>
      <c r="BP39" s="1">
        <v>0</v>
      </c>
      <c r="BQ39" s="1">
        <v>0</v>
      </c>
      <c r="BR39" s="1">
        <v>0</v>
      </c>
      <c r="BS39" s="1">
        <v>0</v>
      </c>
      <c r="BT39" s="1">
        <v>1</v>
      </c>
      <c r="BU39" s="1">
        <v>0</v>
      </c>
      <c r="BV39" s="1">
        <v>0</v>
      </c>
      <c r="BW39" s="1">
        <v>0</v>
      </c>
      <c r="BX39" s="1">
        <v>0</v>
      </c>
      <c r="BY39" s="1">
        <v>0</v>
      </c>
    </row>
    <row r="40" spans="1:77" x14ac:dyDescent="0.3">
      <c r="A40" s="2">
        <v>45506</v>
      </c>
      <c r="B40" s="1">
        <v>215</v>
      </c>
      <c r="C40" s="1" t="s">
        <v>153</v>
      </c>
      <c r="D40" s="1" t="s">
        <v>152</v>
      </c>
      <c r="E40" s="1">
        <v>0</v>
      </c>
      <c r="F40" s="1">
        <v>0</v>
      </c>
      <c r="G40" s="1">
        <v>0</v>
      </c>
      <c r="H40" s="1">
        <v>0</v>
      </c>
      <c r="I40" s="1">
        <v>0</v>
      </c>
      <c r="J40" s="1">
        <v>0</v>
      </c>
      <c r="K40" s="1">
        <v>0</v>
      </c>
      <c r="L40" s="1">
        <v>0</v>
      </c>
      <c r="M40" s="1">
        <v>0</v>
      </c>
      <c r="N40" s="1">
        <v>0</v>
      </c>
      <c r="O40" s="1">
        <v>0</v>
      </c>
      <c r="P40" s="1">
        <v>0</v>
      </c>
      <c r="Q40" s="1">
        <v>0</v>
      </c>
      <c r="R40" s="1">
        <v>0</v>
      </c>
      <c r="S40" s="1">
        <v>0</v>
      </c>
      <c r="T40" s="1">
        <v>0</v>
      </c>
      <c r="U40" s="1">
        <v>0</v>
      </c>
      <c r="V40" s="1">
        <v>0</v>
      </c>
      <c r="W40" s="1">
        <v>0</v>
      </c>
      <c r="X40" s="1">
        <v>0</v>
      </c>
      <c r="Y40" s="1">
        <v>1</v>
      </c>
      <c r="Z40" s="1">
        <v>0</v>
      </c>
      <c r="AA40" s="1">
        <v>0</v>
      </c>
      <c r="AB40" s="1">
        <v>0</v>
      </c>
      <c r="AC40" s="1">
        <v>0</v>
      </c>
      <c r="AD40" s="1">
        <v>0</v>
      </c>
      <c r="AE40" s="1">
        <v>0</v>
      </c>
      <c r="AF40" s="1">
        <v>0</v>
      </c>
      <c r="AG40" s="1">
        <v>0</v>
      </c>
      <c r="AH40" s="1">
        <v>0</v>
      </c>
      <c r="AI40" s="1">
        <v>0</v>
      </c>
      <c r="AJ40" s="1">
        <v>0</v>
      </c>
      <c r="AK40" s="1">
        <v>0</v>
      </c>
      <c r="AL40" s="1">
        <v>0</v>
      </c>
      <c r="AM40" s="1">
        <v>0</v>
      </c>
      <c r="AN40" s="1">
        <v>0</v>
      </c>
      <c r="AO40" s="1">
        <v>0</v>
      </c>
      <c r="AP40" s="1">
        <v>0</v>
      </c>
      <c r="AQ40" s="1">
        <v>0</v>
      </c>
      <c r="AR40" s="1">
        <v>0</v>
      </c>
      <c r="AS40" s="1">
        <v>0</v>
      </c>
      <c r="AT40" s="1">
        <v>0</v>
      </c>
      <c r="AU40" s="1">
        <v>0</v>
      </c>
      <c r="AV40" s="1">
        <v>2</v>
      </c>
      <c r="AW40" s="1">
        <v>0</v>
      </c>
      <c r="AX40" s="1">
        <v>0</v>
      </c>
      <c r="AY40" s="1">
        <v>0</v>
      </c>
      <c r="AZ40" s="1">
        <v>0</v>
      </c>
      <c r="BA40" s="1">
        <v>0</v>
      </c>
      <c r="BB40" s="1">
        <v>0</v>
      </c>
      <c r="BC40" s="1">
        <v>2</v>
      </c>
      <c r="BD40" s="1">
        <v>0</v>
      </c>
      <c r="BE40" s="1">
        <v>0</v>
      </c>
      <c r="BF40" s="1">
        <v>0</v>
      </c>
      <c r="BG40" s="1">
        <v>0</v>
      </c>
      <c r="BH40" s="1">
        <v>0</v>
      </c>
      <c r="BI40" s="1">
        <v>0</v>
      </c>
      <c r="BJ40" s="1">
        <v>0</v>
      </c>
      <c r="BK40" s="1">
        <v>0</v>
      </c>
      <c r="BL40" s="1">
        <v>0</v>
      </c>
      <c r="BM40" s="1">
        <v>0</v>
      </c>
      <c r="BN40" s="1">
        <v>0</v>
      </c>
      <c r="BO40" s="1">
        <v>0</v>
      </c>
      <c r="BP40" s="1">
        <v>0</v>
      </c>
      <c r="BQ40" s="1">
        <v>0</v>
      </c>
      <c r="BR40" s="1">
        <v>0</v>
      </c>
      <c r="BS40" s="1">
        <v>0</v>
      </c>
      <c r="BT40" s="1">
        <v>0</v>
      </c>
      <c r="BU40" s="1">
        <v>0</v>
      </c>
      <c r="BV40" s="1">
        <v>0</v>
      </c>
      <c r="BW40" s="1">
        <v>0</v>
      </c>
      <c r="BX40" s="1">
        <v>0</v>
      </c>
      <c r="BY40" s="1">
        <v>0</v>
      </c>
    </row>
    <row r="41" spans="1:77" x14ac:dyDescent="0.3">
      <c r="A41" s="2">
        <v>45512</v>
      </c>
      <c r="B41" s="1">
        <v>221</v>
      </c>
      <c r="C41" s="1" t="s">
        <v>211</v>
      </c>
      <c r="D41" s="1" t="s">
        <v>201</v>
      </c>
      <c r="E41" s="1">
        <v>0</v>
      </c>
      <c r="F41" s="1">
        <v>0</v>
      </c>
      <c r="G41" s="1">
        <v>0</v>
      </c>
      <c r="H41" s="1">
        <v>0</v>
      </c>
      <c r="I41" s="1">
        <v>0</v>
      </c>
      <c r="J41" s="1">
        <v>0</v>
      </c>
      <c r="K41" s="1">
        <v>0</v>
      </c>
      <c r="L41" s="1">
        <v>0</v>
      </c>
      <c r="M41" s="1">
        <v>0</v>
      </c>
      <c r="N41" s="1">
        <v>0</v>
      </c>
      <c r="O41" s="1">
        <v>0</v>
      </c>
      <c r="P41" s="1">
        <v>0</v>
      </c>
      <c r="Q41" s="1">
        <v>0</v>
      </c>
      <c r="R41" s="1">
        <v>0</v>
      </c>
      <c r="S41" s="1">
        <v>0</v>
      </c>
      <c r="T41" s="1">
        <v>0</v>
      </c>
      <c r="U41" s="1">
        <v>0</v>
      </c>
      <c r="V41" s="1">
        <v>0</v>
      </c>
      <c r="W41" s="1">
        <v>0</v>
      </c>
      <c r="X41" s="1">
        <v>0</v>
      </c>
      <c r="Y41" s="1">
        <v>0</v>
      </c>
      <c r="Z41" s="1">
        <v>0</v>
      </c>
      <c r="AA41" s="1">
        <v>0</v>
      </c>
      <c r="AB41" s="1">
        <v>0</v>
      </c>
      <c r="AC41" s="1">
        <v>0</v>
      </c>
      <c r="AD41" s="1">
        <v>0</v>
      </c>
      <c r="AE41" s="1">
        <v>0</v>
      </c>
      <c r="AF41" s="1">
        <v>0</v>
      </c>
      <c r="AG41" s="1">
        <v>0</v>
      </c>
      <c r="AH41" s="1">
        <v>0</v>
      </c>
      <c r="AI41" s="1">
        <v>0</v>
      </c>
      <c r="AJ41" s="1">
        <v>0</v>
      </c>
      <c r="AK41" s="1">
        <v>0</v>
      </c>
      <c r="AL41" s="1">
        <v>0</v>
      </c>
      <c r="AM41" s="1">
        <v>0</v>
      </c>
      <c r="AN41" s="1">
        <v>0</v>
      </c>
      <c r="AO41" s="1">
        <v>0</v>
      </c>
      <c r="AP41" s="1">
        <v>0</v>
      </c>
      <c r="AQ41" s="1">
        <v>0</v>
      </c>
      <c r="AR41" s="1">
        <v>0</v>
      </c>
      <c r="AS41" s="1">
        <v>0</v>
      </c>
      <c r="AT41" s="1">
        <v>0</v>
      </c>
      <c r="AU41" s="1">
        <v>0</v>
      </c>
      <c r="AV41" s="1">
        <v>0</v>
      </c>
      <c r="AW41" s="1">
        <v>0</v>
      </c>
      <c r="AX41" s="1">
        <v>0</v>
      </c>
      <c r="AY41" s="1">
        <v>0</v>
      </c>
      <c r="AZ41" s="1">
        <v>0</v>
      </c>
      <c r="BA41" s="1">
        <v>0</v>
      </c>
      <c r="BB41" s="1">
        <v>0</v>
      </c>
      <c r="BC41" s="1">
        <v>0</v>
      </c>
      <c r="BD41" s="1">
        <v>0</v>
      </c>
      <c r="BE41" s="1">
        <v>0</v>
      </c>
      <c r="BF41" s="1">
        <v>0</v>
      </c>
      <c r="BG41" s="1">
        <v>0</v>
      </c>
      <c r="BH41" s="1">
        <v>0</v>
      </c>
      <c r="BI41" s="1">
        <v>1</v>
      </c>
      <c r="BJ41" s="1">
        <v>0</v>
      </c>
      <c r="BK41" s="1">
        <v>0</v>
      </c>
      <c r="BL41" s="1">
        <v>0</v>
      </c>
      <c r="BM41" s="1">
        <v>0</v>
      </c>
      <c r="BN41" s="1">
        <v>0</v>
      </c>
      <c r="BO41" s="1">
        <v>0</v>
      </c>
      <c r="BP41" s="1">
        <v>0</v>
      </c>
      <c r="BQ41" s="1">
        <v>0</v>
      </c>
      <c r="BR41" s="1">
        <v>0</v>
      </c>
      <c r="BS41" s="1">
        <v>0</v>
      </c>
      <c r="BT41" s="1">
        <v>0</v>
      </c>
      <c r="BU41" s="1">
        <v>0</v>
      </c>
      <c r="BV41" s="1">
        <v>1</v>
      </c>
      <c r="BW41" s="1">
        <v>0</v>
      </c>
      <c r="BX41" s="1">
        <v>0</v>
      </c>
      <c r="BY41" s="1">
        <v>0</v>
      </c>
    </row>
    <row r="42" spans="1:77" x14ac:dyDescent="0.3">
      <c r="A42" s="2">
        <v>45518</v>
      </c>
      <c r="B42" s="1">
        <v>227</v>
      </c>
      <c r="C42" s="1" t="s">
        <v>211</v>
      </c>
      <c r="D42" s="1" t="s">
        <v>201</v>
      </c>
      <c r="E42" s="1">
        <v>0</v>
      </c>
      <c r="F42" s="1">
        <v>0</v>
      </c>
      <c r="G42" s="1">
        <v>0</v>
      </c>
      <c r="H42" s="1">
        <v>0</v>
      </c>
      <c r="I42" s="1">
        <v>0</v>
      </c>
      <c r="J42" s="1">
        <v>0</v>
      </c>
      <c r="K42" s="1">
        <v>0</v>
      </c>
      <c r="L42" s="1">
        <v>0</v>
      </c>
      <c r="M42" s="1">
        <v>0</v>
      </c>
      <c r="N42" s="1">
        <v>0</v>
      </c>
      <c r="O42" s="1">
        <v>0</v>
      </c>
      <c r="P42" s="1">
        <v>0</v>
      </c>
      <c r="Q42" s="1">
        <v>0</v>
      </c>
      <c r="R42" s="1">
        <v>0</v>
      </c>
      <c r="S42" s="1">
        <v>0</v>
      </c>
      <c r="T42" s="1">
        <v>0</v>
      </c>
      <c r="U42" s="1">
        <v>0</v>
      </c>
      <c r="V42" s="1">
        <v>0</v>
      </c>
      <c r="W42" s="1">
        <v>0</v>
      </c>
      <c r="X42" s="1">
        <v>0</v>
      </c>
      <c r="Y42" s="1">
        <v>0</v>
      </c>
      <c r="Z42" s="1">
        <v>0</v>
      </c>
      <c r="AA42" s="1">
        <v>0</v>
      </c>
      <c r="AB42" s="1">
        <v>0</v>
      </c>
      <c r="AC42" s="1">
        <v>0</v>
      </c>
      <c r="AD42" s="1">
        <v>0</v>
      </c>
      <c r="AE42" s="1">
        <v>0</v>
      </c>
      <c r="AF42" s="1">
        <v>0</v>
      </c>
      <c r="AG42" s="1">
        <v>0</v>
      </c>
      <c r="AH42" s="1">
        <v>0</v>
      </c>
      <c r="AI42" s="1">
        <v>0</v>
      </c>
      <c r="AJ42" s="1">
        <v>0</v>
      </c>
      <c r="AK42" s="1">
        <v>0</v>
      </c>
      <c r="AL42" s="1">
        <v>0</v>
      </c>
      <c r="AM42" s="1">
        <v>0</v>
      </c>
      <c r="AN42" s="1">
        <v>0</v>
      </c>
      <c r="AO42" s="1">
        <v>0</v>
      </c>
      <c r="AP42" s="1">
        <v>0</v>
      </c>
      <c r="AQ42" s="1">
        <v>0</v>
      </c>
      <c r="AR42" s="1">
        <v>0</v>
      </c>
      <c r="AS42" s="1">
        <v>0</v>
      </c>
      <c r="AT42" s="1">
        <v>0</v>
      </c>
      <c r="AU42" s="1">
        <v>0</v>
      </c>
      <c r="AV42" s="1">
        <v>0</v>
      </c>
      <c r="AW42" s="1">
        <v>0</v>
      </c>
      <c r="AX42" s="1">
        <v>0</v>
      </c>
      <c r="AY42" s="1">
        <v>0</v>
      </c>
      <c r="AZ42" s="1">
        <v>0</v>
      </c>
      <c r="BA42" s="1">
        <v>0</v>
      </c>
      <c r="BB42" s="1">
        <v>0</v>
      </c>
      <c r="BC42" s="1">
        <v>1</v>
      </c>
      <c r="BD42" s="1">
        <v>0</v>
      </c>
      <c r="BE42" s="1">
        <v>0</v>
      </c>
      <c r="BF42" s="1">
        <v>0</v>
      </c>
      <c r="BG42" s="1">
        <v>0</v>
      </c>
      <c r="BH42" s="1">
        <v>0</v>
      </c>
      <c r="BI42" s="1">
        <v>0</v>
      </c>
      <c r="BJ42" s="1">
        <v>0</v>
      </c>
      <c r="BK42" s="1">
        <v>0</v>
      </c>
      <c r="BL42" s="1">
        <v>2</v>
      </c>
      <c r="BM42" s="1">
        <v>0</v>
      </c>
      <c r="BN42" s="1">
        <v>0</v>
      </c>
      <c r="BO42" s="1">
        <v>0</v>
      </c>
      <c r="BP42" s="1">
        <v>0</v>
      </c>
      <c r="BQ42" s="1">
        <v>0</v>
      </c>
      <c r="BR42" s="1">
        <v>0</v>
      </c>
      <c r="BS42" s="1">
        <v>0</v>
      </c>
      <c r="BT42" s="1">
        <v>0</v>
      </c>
      <c r="BU42" s="1">
        <v>0</v>
      </c>
      <c r="BV42" s="1">
        <v>0</v>
      </c>
      <c r="BW42" s="1">
        <v>0</v>
      </c>
      <c r="BX42" s="1">
        <v>0</v>
      </c>
      <c r="BY42" s="1">
        <v>0</v>
      </c>
    </row>
    <row r="43" spans="1:77" x14ac:dyDescent="0.3">
      <c r="A43" s="2">
        <v>45512</v>
      </c>
      <c r="B43" s="1">
        <v>221</v>
      </c>
      <c r="C43" s="1" t="s">
        <v>203</v>
      </c>
      <c r="D43" s="1" t="s">
        <v>201</v>
      </c>
      <c r="E43" s="1">
        <v>0</v>
      </c>
      <c r="F43" s="1">
        <v>0</v>
      </c>
      <c r="G43" s="1">
        <v>0</v>
      </c>
      <c r="H43" s="1">
        <v>0</v>
      </c>
      <c r="I43" s="1">
        <v>0</v>
      </c>
      <c r="J43" s="1">
        <v>0</v>
      </c>
      <c r="K43" s="1">
        <v>0</v>
      </c>
      <c r="L43" s="1">
        <v>0</v>
      </c>
      <c r="M43" s="1">
        <v>0</v>
      </c>
      <c r="N43" s="1">
        <v>0</v>
      </c>
      <c r="O43" s="1">
        <v>0</v>
      </c>
      <c r="P43" s="1">
        <v>0</v>
      </c>
      <c r="Q43" s="1">
        <v>0</v>
      </c>
      <c r="R43" s="1">
        <v>0</v>
      </c>
      <c r="S43" s="1">
        <v>0</v>
      </c>
      <c r="T43" s="1">
        <v>0</v>
      </c>
      <c r="U43" s="1">
        <v>0</v>
      </c>
      <c r="V43" s="1">
        <v>0</v>
      </c>
      <c r="W43" s="1">
        <v>0</v>
      </c>
      <c r="X43" s="1">
        <v>0</v>
      </c>
      <c r="Y43" s="1">
        <v>0</v>
      </c>
      <c r="Z43" s="1">
        <v>0</v>
      </c>
      <c r="AA43" s="1">
        <v>3</v>
      </c>
      <c r="AB43" s="1">
        <v>0</v>
      </c>
      <c r="AC43" s="1">
        <v>0</v>
      </c>
      <c r="AD43" s="1">
        <v>0</v>
      </c>
      <c r="AE43" s="1">
        <v>0</v>
      </c>
      <c r="AF43" s="1">
        <v>0</v>
      </c>
      <c r="AG43" s="1">
        <v>0</v>
      </c>
      <c r="AH43" s="1">
        <v>1</v>
      </c>
      <c r="AI43" s="1">
        <v>0</v>
      </c>
      <c r="AJ43" s="1">
        <v>0</v>
      </c>
      <c r="AK43" s="1">
        <v>2</v>
      </c>
      <c r="AL43" s="1">
        <v>2</v>
      </c>
      <c r="AM43" s="1">
        <v>0</v>
      </c>
      <c r="AN43" s="1">
        <v>0</v>
      </c>
      <c r="AO43" s="1">
        <v>0</v>
      </c>
      <c r="AP43" s="1">
        <v>0</v>
      </c>
      <c r="AQ43" s="1">
        <v>0</v>
      </c>
      <c r="AR43" s="1">
        <v>0</v>
      </c>
      <c r="AS43" s="1">
        <v>0</v>
      </c>
      <c r="AT43" s="1">
        <v>0</v>
      </c>
      <c r="AU43" s="1">
        <v>0</v>
      </c>
      <c r="AV43" s="1">
        <v>0</v>
      </c>
      <c r="AW43" s="1">
        <v>0</v>
      </c>
      <c r="AX43" s="1">
        <v>0</v>
      </c>
      <c r="AY43" s="1">
        <v>0</v>
      </c>
      <c r="AZ43" s="1">
        <v>0</v>
      </c>
      <c r="BA43" s="1">
        <v>0</v>
      </c>
      <c r="BB43" s="1">
        <v>0</v>
      </c>
      <c r="BC43" s="1">
        <v>0</v>
      </c>
      <c r="BD43" s="1">
        <v>0</v>
      </c>
      <c r="BE43" s="1">
        <v>0</v>
      </c>
      <c r="BF43" s="1">
        <v>1</v>
      </c>
      <c r="BG43" s="1">
        <v>0</v>
      </c>
      <c r="BH43" s="1">
        <v>0</v>
      </c>
      <c r="BI43" s="1">
        <v>0</v>
      </c>
      <c r="BJ43" s="1">
        <v>0</v>
      </c>
      <c r="BK43" s="1">
        <v>0</v>
      </c>
      <c r="BL43" s="1">
        <v>1</v>
      </c>
      <c r="BM43" s="1">
        <v>0</v>
      </c>
      <c r="BN43" s="1">
        <v>0</v>
      </c>
      <c r="BO43" s="1">
        <v>0</v>
      </c>
      <c r="BP43" s="1">
        <v>0</v>
      </c>
      <c r="BQ43" s="1">
        <v>0</v>
      </c>
      <c r="BR43" s="1">
        <v>0</v>
      </c>
      <c r="BS43" s="1">
        <v>0</v>
      </c>
      <c r="BT43" s="1">
        <v>0</v>
      </c>
      <c r="BU43" s="1">
        <v>0</v>
      </c>
      <c r="BV43" s="1">
        <v>0</v>
      </c>
      <c r="BW43" s="1">
        <v>0</v>
      </c>
      <c r="BX43" s="1">
        <v>0</v>
      </c>
      <c r="BY43" s="1">
        <v>0</v>
      </c>
    </row>
    <row r="44" spans="1:77" x14ac:dyDescent="0.3">
      <c r="A44" s="2">
        <v>45518</v>
      </c>
      <c r="B44" s="1">
        <v>227</v>
      </c>
      <c r="C44" s="1" t="s">
        <v>203</v>
      </c>
      <c r="D44" s="1" t="s">
        <v>201</v>
      </c>
      <c r="E44" s="1">
        <v>0</v>
      </c>
      <c r="F44" s="1">
        <v>0</v>
      </c>
      <c r="G44" s="1">
        <v>0</v>
      </c>
      <c r="H44" s="1">
        <v>0</v>
      </c>
      <c r="I44" s="1">
        <v>0</v>
      </c>
      <c r="J44" s="1">
        <v>0</v>
      </c>
      <c r="K44" s="1">
        <v>0</v>
      </c>
      <c r="L44" s="1">
        <v>0</v>
      </c>
      <c r="M44" s="1">
        <v>0</v>
      </c>
      <c r="N44" s="1">
        <v>0</v>
      </c>
      <c r="O44" s="1">
        <v>0</v>
      </c>
      <c r="P44" s="1">
        <v>0</v>
      </c>
      <c r="Q44" s="1">
        <v>0</v>
      </c>
      <c r="R44" s="1">
        <v>0</v>
      </c>
      <c r="S44" s="1">
        <v>0</v>
      </c>
      <c r="T44" s="1">
        <v>0</v>
      </c>
      <c r="U44" s="1">
        <v>0</v>
      </c>
      <c r="V44" s="1">
        <v>1</v>
      </c>
      <c r="W44" s="1">
        <v>0</v>
      </c>
      <c r="X44" s="1">
        <v>0</v>
      </c>
      <c r="Y44" s="1">
        <v>0</v>
      </c>
      <c r="Z44" s="1">
        <v>0</v>
      </c>
      <c r="AA44" s="1">
        <v>0</v>
      </c>
      <c r="AB44" s="1">
        <v>0</v>
      </c>
      <c r="AC44" s="1">
        <v>0</v>
      </c>
      <c r="AD44" s="1">
        <v>0</v>
      </c>
      <c r="AE44" s="1">
        <v>0</v>
      </c>
      <c r="AF44" s="1">
        <v>0</v>
      </c>
      <c r="AG44" s="1">
        <v>0</v>
      </c>
      <c r="AH44" s="1">
        <v>0</v>
      </c>
      <c r="AI44" s="1">
        <v>0</v>
      </c>
      <c r="AJ44" s="1">
        <v>0</v>
      </c>
      <c r="AK44" s="1">
        <v>0</v>
      </c>
      <c r="AL44" s="1">
        <v>0</v>
      </c>
      <c r="AM44" s="1">
        <v>0</v>
      </c>
      <c r="AN44" s="1">
        <v>0</v>
      </c>
      <c r="AO44" s="1">
        <v>0</v>
      </c>
      <c r="AP44" s="1">
        <v>0</v>
      </c>
      <c r="AQ44" s="1">
        <v>0</v>
      </c>
      <c r="AR44" s="1">
        <v>0</v>
      </c>
      <c r="AS44" s="1">
        <v>0</v>
      </c>
      <c r="AT44" s="1">
        <v>0</v>
      </c>
      <c r="AU44" s="1">
        <v>0</v>
      </c>
      <c r="AV44" s="1">
        <v>0</v>
      </c>
      <c r="AW44" s="1">
        <v>0</v>
      </c>
      <c r="AX44" s="1">
        <v>0</v>
      </c>
      <c r="AY44" s="1">
        <v>0</v>
      </c>
      <c r="AZ44" s="1">
        <v>0</v>
      </c>
      <c r="BA44" s="1">
        <v>0</v>
      </c>
      <c r="BB44" s="1">
        <v>0</v>
      </c>
      <c r="BC44" s="1">
        <v>0</v>
      </c>
      <c r="BD44" s="1">
        <v>0</v>
      </c>
      <c r="BE44" s="1">
        <v>0</v>
      </c>
      <c r="BF44" s="1">
        <v>0</v>
      </c>
      <c r="BG44" s="1">
        <v>0</v>
      </c>
      <c r="BH44" s="1">
        <v>0</v>
      </c>
      <c r="BI44" s="1">
        <v>0</v>
      </c>
      <c r="BJ44" s="1">
        <v>0</v>
      </c>
      <c r="BK44" s="1">
        <v>1</v>
      </c>
      <c r="BL44" s="1">
        <v>3</v>
      </c>
      <c r="BM44" s="1">
        <v>0</v>
      </c>
      <c r="BN44" s="1">
        <v>0</v>
      </c>
      <c r="BO44" s="1">
        <v>0</v>
      </c>
      <c r="BP44" s="1">
        <v>0</v>
      </c>
      <c r="BQ44" s="1">
        <v>0</v>
      </c>
      <c r="BR44" s="1">
        <v>0</v>
      </c>
      <c r="BS44" s="1">
        <v>0</v>
      </c>
      <c r="BT44" s="1">
        <v>0</v>
      </c>
      <c r="BU44" s="1">
        <v>0</v>
      </c>
      <c r="BV44" s="1">
        <v>0</v>
      </c>
      <c r="BW44" s="1">
        <v>0</v>
      </c>
      <c r="BX44" s="1">
        <v>0</v>
      </c>
      <c r="BY44" s="1">
        <v>0</v>
      </c>
    </row>
    <row r="45" spans="1:77" x14ac:dyDescent="0.3">
      <c r="A45" s="2">
        <v>45525</v>
      </c>
      <c r="B45" s="1">
        <v>234</v>
      </c>
      <c r="C45" s="1" t="s">
        <v>203</v>
      </c>
      <c r="D45" s="1" t="s">
        <v>152</v>
      </c>
      <c r="E45" s="1">
        <v>0</v>
      </c>
      <c r="F45" s="1">
        <v>0</v>
      </c>
      <c r="G45" s="1">
        <v>0</v>
      </c>
      <c r="H45" s="1">
        <v>0</v>
      </c>
      <c r="I45" s="1">
        <v>0</v>
      </c>
      <c r="J45" s="1">
        <v>0</v>
      </c>
      <c r="K45" s="1">
        <v>0</v>
      </c>
      <c r="L45" s="1">
        <v>0</v>
      </c>
      <c r="M45" s="1">
        <v>0</v>
      </c>
      <c r="N45" s="1">
        <v>0</v>
      </c>
      <c r="O45" s="1">
        <v>0</v>
      </c>
      <c r="P45" s="1">
        <v>0</v>
      </c>
      <c r="Q45" s="1">
        <v>0</v>
      </c>
      <c r="R45" s="1">
        <v>0</v>
      </c>
      <c r="S45" s="1">
        <v>0</v>
      </c>
      <c r="T45" s="1">
        <v>0</v>
      </c>
      <c r="U45" s="1">
        <v>0</v>
      </c>
      <c r="V45" s="1">
        <v>0</v>
      </c>
      <c r="W45" s="1">
        <v>0</v>
      </c>
      <c r="X45" s="1">
        <v>0</v>
      </c>
      <c r="Y45" s="1">
        <v>0</v>
      </c>
      <c r="Z45" s="1">
        <v>0</v>
      </c>
      <c r="AA45" s="1">
        <v>1</v>
      </c>
      <c r="AB45" s="1">
        <v>0</v>
      </c>
      <c r="AC45" s="1">
        <v>0</v>
      </c>
      <c r="AD45" s="1">
        <v>0</v>
      </c>
      <c r="AE45" s="1">
        <v>0</v>
      </c>
      <c r="AF45" s="1">
        <v>0</v>
      </c>
      <c r="AG45" s="1">
        <v>0</v>
      </c>
      <c r="AH45" s="1">
        <v>0</v>
      </c>
      <c r="AI45" s="1">
        <v>0</v>
      </c>
      <c r="AJ45" s="1">
        <v>0</v>
      </c>
      <c r="AK45" s="1">
        <v>1</v>
      </c>
      <c r="AL45" s="1">
        <v>0</v>
      </c>
      <c r="AM45" s="1">
        <v>0</v>
      </c>
      <c r="AN45" s="1">
        <v>0</v>
      </c>
      <c r="AO45" s="1">
        <v>0</v>
      </c>
      <c r="AP45" s="1">
        <v>0</v>
      </c>
      <c r="AQ45" s="1">
        <v>0</v>
      </c>
      <c r="AR45" s="1">
        <v>0</v>
      </c>
      <c r="AS45" s="1">
        <v>0</v>
      </c>
      <c r="AT45" s="1">
        <v>0</v>
      </c>
      <c r="AU45" s="1">
        <v>0</v>
      </c>
      <c r="AV45" s="1">
        <v>0</v>
      </c>
      <c r="AW45" s="1">
        <v>0</v>
      </c>
      <c r="AX45" s="1">
        <v>0</v>
      </c>
      <c r="AY45" s="1">
        <v>0</v>
      </c>
      <c r="AZ45" s="1">
        <v>0</v>
      </c>
      <c r="BA45" s="1">
        <v>0</v>
      </c>
      <c r="BB45" s="1">
        <v>0</v>
      </c>
      <c r="BC45" s="1">
        <v>0</v>
      </c>
      <c r="BD45" s="1">
        <v>0</v>
      </c>
      <c r="BE45" s="1">
        <v>0</v>
      </c>
      <c r="BF45" s="1">
        <v>0</v>
      </c>
      <c r="BG45" s="1">
        <v>0</v>
      </c>
      <c r="BH45" s="1">
        <v>0</v>
      </c>
      <c r="BI45" s="1">
        <v>0</v>
      </c>
      <c r="BJ45" s="1">
        <v>0</v>
      </c>
      <c r="BK45" s="1">
        <v>0</v>
      </c>
      <c r="BL45" s="1">
        <v>0</v>
      </c>
      <c r="BM45" s="1">
        <v>0</v>
      </c>
      <c r="BN45" s="1">
        <v>0</v>
      </c>
      <c r="BO45" s="1">
        <v>0</v>
      </c>
      <c r="BP45" s="1">
        <v>0</v>
      </c>
      <c r="BQ45" s="1">
        <v>0</v>
      </c>
      <c r="BR45" s="1">
        <v>0</v>
      </c>
      <c r="BS45" s="1">
        <v>0</v>
      </c>
      <c r="BT45" s="1">
        <v>0</v>
      </c>
      <c r="BU45" s="1">
        <v>0</v>
      </c>
      <c r="BV45" s="1">
        <v>0</v>
      </c>
      <c r="BW45" s="1">
        <v>0</v>
      </c>
      <c r="BX45" s="1">
        <v>0</v>
      </c>
      <c r="BY45" s="1">
        <v>0</v>
      </c>
    </row>
    <row r="46" spans="1:77" x14ac:dyDescent="0.3">
      <c r="A46" s="2">
        <v>45490</v>
      </c>
      <c r="B46" s="1">
        <v>199</v>
      </c>
      <c r="C46" s="1" t="s">
        <v>164</v>
      </c>
      <c r="D46" s="1" t="s">
        <v>152</v>
      </c>
      <c r="E46" s="1">
        <v>0</v>
      </c>
      <c r="F46" s="1">
        <v>0</v>
      </c>
      <c r="G46" s="1">
        <v>0</v>
      </c>
      <c r="H46" s="1">
        <v>0</v>
      </c>
      <c r="I46" s="1">
        <v>0</v>
      </c>
      <c r="J46" s="1">
        <v>0</v>
      </c>
      <c r="K46" s="1">
        <v>0</v>
      </c>
      <c r="L46" s="1">
        <v>0</v>
      </c>
      <c r="M46" s="1">
        <v>0</v>
      </c>
      <c r="N46" s="1">
        <v>0</v>
      </c>
      <c r="O46" s="1">
        <v>0</v>
      </c>
      <c r="P46" s="1">
        <v>0</v>
      </c>
      <c r="Q46" s="1">
        <v>2</v>
      </c>
      <c r="R46" s="1">
        <v>0</v>
      </c>
      <c r="S46" s="1">
        <v>0</v>
      </c>
      <c r="T46" s="1">
        <v>0</v>
      </c>
      <c r="U46" s="1">
        <v>1</v>
      </c>
      <c r="V46" s="1">
        <v>0</v>
      </c>
      <c r="W46" s="1">
        <v>0</v>
      </c>
      <c r="X46" s="1">
        <v>0</v>
      </c>
      <c r="Y46" s="1">
        <v>0</v>
      </c>
      <c r="Z46" s="1">
        <v>0</v>
      </c>
      <c r="AA46" s="1">
        <v>0</v>
      </c>
      <c r="AB46" s="1">
        <v>0</v>
      </c>
      <c r="AC46" s="1">
        <v>0</v>
      </c>
      <c r="AD46" s="1">
        <v>0</v>
      </c>
      <c r="AE46" s="1">
        <v>0</v>
      </c>
      <c r="AF46" s="1">
        <v>0</v>
      </c>
      <c r="AG46" s="1">
        <v>0</v>
      </c>
      <c r="AH46" s="1">
        <v>0</v>
      </c>
      <c r="AI46" s="1">
        <v>0</v>
      </c>
      <c r="AJ46" s="1">
        <v>0</v>
      </c>
      <c r="AK46" s="1">
        <v>0</v>
      </c>
      <c r="AL46" s="1">
        <v>0</v>
      </c>
      <c r="AM46" s="1">
        <v>0</v>
      </c>
      <c r="AN46" s="1">
        <v>0</v>
      </c>
      <c r="AO46" s="1">
        <v>0</v>
      </c>
      <c r="AP46" s="1">
        <v>0</v>
      </c>
      <c r="AQ46" s="1">
        <v>0</v>
      </c>
      <c r="AR46" s="1">
        <v>0</v>
      </c>
      <c r="AS46" s="1">
        <v>0</v>
      </c>
      <c r="AT46" s="1">
        <v>0</v>
      </c>
      <c r="AU46" s="1">
        <v>0</v>
      </c>
      <c r="AV46" s="1">
        <v>0</v>
      </c>
      <c r="AW46" s="1">
        <v>0</v>
      </c>
      <c r="AX46" s="1">
        <v>0</v>
      </c>
      <c r="AY46" s="1">
        <v>0</v>
      </c>
      <c r="AZ46" s="1">
        <v>0</v>
      </c>
      <c r="BA46" s="1">
        <v>0</v>
      </c>
      <c r="BB46" s="1">
        <v>0</v>
      </c>
      <c r="BC46" s="1">
        <v>0</v>
      </c>
      <c r="BD46" s="1">
        <v>0</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1">
        <v>0</v>
      </c>
      <c r="BY46" s="1">
        <v>0</v>
      </c>
    </row>
    <row r="47" spans="1:77" x14ac:dyDescent="0.3">
      <c r="A47" s="2">
        <v>45512</v>
      </c>
      <c r="B47" s="1">
        <v>221</v>
      </c>
      <c r="C47" s="1" t="s">
        <v>164</v>
      </c>
      <c r="D47" s="1" t="s">
        <v>201</v>
      </c>
      <c r="E47" s="1">
        <v>0</v>
      </c>
      <c r="F47" s="1">
        <v>0</v>
      </c>
      <c r="G47" s="1">
        <v>0</v>
      </c>
      <c r="H47" s="1">
        <v>0</v>
      </c>
      <c r="I47" s="1">
        <v>0</v>
      </c>
      <c r="J47" s="1">
        <v>0</v>
      </c>
      <c r="K47" s="1">
        <v>0</v>
      </c>
      <c r="L47" s="1">
        <v>0</v>
      </c>
      <c r="M47" s="1">
        <v>0</v>
      </c>
      <c r="N47" s="1">
        <v>0</v>
      </c>
      <c r="O47" s="1">
        <v>0</v>
      </c>
      <c r="P47" s="1">
        <v>0</v>
      </c>
      <c r="Q47" s="1">
        <v>0</v>
      </c>
      <c r="R47" s="1">
        <v>0</v>
      </c>
      <c r="S47" s="1">
        <v>0</v>
      </c>
      <c r="T47" s="1">
        <v>0</v>
      </c>
      <c r="U47" s="1">
        <v>0</v>
      </c>
      <c r="V47" s="1">
        <v>0</v>
      </c>
      <c r="W47" s="1">
        <v>0</v>
      </c>
      <c r="X47" s="1">
        <v>0</v>
      </c>
      <c r="Y47" s="1">
        <v>1</v>
      </c>
      <c r="Z47" s="1">
        <v>0</v>
      </c>
      <c r="AA47" s="1">
        <v>0</v>
      </c>
      <c r="AB47" s="1">
        <v>0</v>
      </c>
      <c r="AC47" s="1">
        <v>0</v>
      </c>
      <c r="AD47" s="1">
        <v>0</v>
      </c>
      <c r="AE47" s="1">
        <v>0</v>
      </c>
      <c r="AF47" s="1">
        <v>0</v>
      </c>
      <c r="AG47" s="1">
        <v>0</v>
      </c>
      <c r="AH47" s="1">
        <v>0</v>
      </c>
      <c r="AI47" s="1">
        <v>0</v>
      </c>
      <c r="AJ47" s="1">
        <v>0</v>
      </c>
      <c r="AK47" s="1">
        <v>0</v>
      </c>
      <c r="AL47" s="1">
        <v>5</v>
      </c>
      <c r="AM47" s="1">
        <v>0</v>
      </c>
      <c r="AN47" s="1">
        <v>0</v>
      </c>
      <c r="AO47" s="1">
        <v>0</v>
      </c>
      <c r="AP47" s="1">
        <v>0</v>
      </c>
      <c r="AQ47" s="1">
        <v>0</v>
      </c>
      <c r="AR47" s="1">
        <v>0</v>
      </c>
      <c r="AS47" s="1">
        <v>0</v>
      </c>
      <c r="AT47" s="1">
        <v>0</v>
      </c>
      <c r="AU47" s="1">
        <v>0</v>
      </c>
      <c r="AV47" s="1">
        <v>0</v>
      </c>
      <c r="AW47" s="1">
        <v>0</v>
      </c>
      <c r="AX47" s="1">
        <v>0</v>
      </c>
      <c r="AY47" s="1">
        <v>0</v>
      </c>
      <c r="AZ47" s="1">
        <v>0</v>
      </c>
      <c r="BA47" s="1">
        <v>0</v>
      </c>
      <c r="BB47" s="1">
        <v>0</v>
      </c>
      <c r="BC47" s="1">
        <v>1</v>
      </c>
      <c r="BD47" s="1">
        <v>0</v>
      </c>
      <c r="BE47" s="1">
        <v>0</v>
      </c>
      <c r="BF47" s="1">
        <v>0</v>
      </c>
      <c r="BG47" s="1">
        <v>0</v>
      </c>
      <c r="BH47" s="1">
        <v>0</v>
      </c>
      <c r="BI47" s="1">
        <v>0</v>
      </c>
      <c r="BJ47" s="1">
        <v>0</v>
      </c>
      <c r="BK47" s="1">
        <v>0</v>
      </c>
      <c r="BL47" s="1">
        <v>1</v>
      </c>
      <c r="BM47" s="1">
        <v>0</v>
      </c>
      <c r="BN47" s="1">
        <v>0</v>
      </c>
      <c r="BO47" s="1">
        <v>0</v>
      </c>
      <c r="BP47" s="1">
        <v>0</v>
      </c>
      <c r="BQ47" s="1">
        <v>0</v>
      </c>
      <c r="BR47" s="1">
        <v>0</v>
      </c>
      <c r="BS47" s="1">
        <v>0</v>
      </c>
      <c r="BT47" s="1">
        <v>0</v>
      </c>
      <c r="BU47" s="1">
        <v>0</v>
      </c>
      <c r="BV47" s="1">
        <v>0</v>
      </c>
      <c r="BW47" s="1">
        <v>0</v>
      </c>
      <c r="BX47" s="1">
        <v>0</v>
      </c>
      <c r="BY47" s="1">
        <v>0</v>
      </c>
    </row>
    <row r="48" spans="1:77" x14ac:dyDescent="0.3">
      <c r="A48" s="2">
        <v>45518</v>
      </c>
      <c r="B48" s="1">
        <v>227</v>
      </c>
      <c r="C48" s="1" t="s">
        <v>164</v>
      </c>
      <c r="D48" s="1" t="s">
        <v>201</v>
      </c>
      <c r="E48" s="1">
        <v>0</v>
      </c>
      <c r="F48" s="1">
        <v>0</v>
      </c>
      <c r="G48" s="1">
        <v>0</v>
      </c>
      <c r="H48" s="1">
        <v>0</v>
      </c>
      <c r="I48" s="1">
        <v>0</v>
      </c>
      <c r="J48" s="1">
        <v>0</v>
      </c>
      <c r="K48" s="1">
        <v>0</v>
      </c>
      <c r="L48" s="1">
        <v>1</v>
      </c>
      <c r="M48" s="1">
        <v>0</v>
      </c>
      <c r="N48" s="1">
        <v>0</v>
      </c>
      <c r="O48" s="1">
        <v>0</v>
      </c>
      <c r="P48" s="1">
        <v>0</v>
      </c>
      <c r="Q48" s="1">
        <v>0</v>
      </c>
      <c r="R48" s="1">
        <v>0</v>
      </c>
      <c r="S48" s="1">
        <v>0</v>
      </c>
      <c r="T48" s="1">
        <v>0</v>
      </c>
      <c r="U48" s="1">
        <v>0</v>
      </c>
      <c r="V48" s="1">
        <v>1</v>
      </c>
      <c r="W48" s="1">
        <v>0</v>
      </c>
      <c r="X48" s="1">
        <v>0</v>
      </c>
      <c r="Y48" s="1">
        <v>0</v>
      </c>
      <c r="Z48" s="1">
        <v>0</v>
      </c>
      <c r="AA48" s="1">
        <v>0</v>
      </c>
      <c r="AB48" s="1">
        <v>0</v>
      </c>
      <c r="AC48" s="1">
        <v>0</v>
      </c>
      <c r="AD48" s="1">
        <v>0</v>
      </c>
      <c r="AE48" s="1">
        <v>0</v>
      </c>
      <c r="AF48" s="1">
        <v>0</v>
      </c>
      <c r="AG48" s="1">
        <v>0</v>
      </c>
      <c r="AH48" s="1">
        <v>0</v>
      </c>
      <c r="AI48" s="1">
        <v>0</v>
      </c>
      <c r="AJ48" s="1">
        <v>0</v>
      </c>
      <c r="AK48" s="1">
        <v>0</v>
      </c>
      <c r="AL48" s="1">
        <v>0</v>
      </c>
      <c r="AM48" s="1">
        <v>0</v>
      </c>
      <c r="AN48" s="1">
        <v>0</v>
      </c>
      <c r="AO48" s="1">
        <v>0</v>
      </c>
      <c r="AP48" s="1">
        <v>0</v>
      </c>
      <c r="AQ48" s="1">
        <v>0</v>
      </c>
      <c r="AR48" s="1">
        <v>0</v>
      </c>
      <c r="AS48" s="1">
        <v>0</v>
      </c>
      <c r="AT48" s="1">
        <v>0</v>
      </c>
      <c r="AU48" s="1">
        <v>0</v>
      </c>
      <c r="AV48" s="1">
        <v>0</v>
      </c>
      <c r="AW48" s="1">
        <v>0</v>
      </c>
      <c r="AX48" s="1">
        <v>0</v>
      </c>
      <c r="AY48" s="1">
        <v>0</v>
      </c>
      <c r="AZ48" s="1">
        <v>0</v>
      </c>
      <c r="BA48" s="1">
        <v>0</v>
      </c>
      <c r="BB48" s="1">
        <v>0</v>
      </c>
      <c r="BC48" s="1">
        <v>0</v>
      </c>
      <c r="BD48" s="1">
        <v>0</v>
      </c>
      <c r="BE48" s="1">
        <v>0</v>
      </c>
      <c r="BF48" s="1">
        <v>0</v>
      </c>
      <c r="BG48" s="1">
        <v>0</v>
      </c>
      <c r="BH48" s="1">
        <v>0</v>
      </c>
      <c r="BI48" s="1">
        <v>0</v>
      </c>
      <c r="BJ48" s="1">
        <v>0</v>
      </c>
      <c r="BK48" s="1">
        <v>0</v>
      </c>
      <c r="BL48" s="1">
        <v>2</v>
      </c>
      <c r="BM48" s="1">
        <v>0</v>
      </c>
      <c r="BN48" s="1">
        <v>0</v>
      </c>
      <c r="BO48" s="1">
        <v>0</v>
      </c>
      <c r="BP48" s="1">
        <v>0</v>
      </c>
      <c r="BQ48" s="1">
        <v>0</v>
      </c>
      <c r="BR48" s="1">
        <v>0</v>
      </c>
      <c r="BS48" s="1">
        <v>0</v>
      </c>
      <c r="BT48" s="1">
        <v>0</v>
      </c>
      <c r="BU48" s="1">
        <v>0</v>
      </c>
      <c r="BV48" s="1">
        <v>0</v>
      </c>
      <c r="BW48" s="1">
        <v>0</v>
      </c>
      <c r="BX48" s="1">
        <v>0</v>
      </c>
      <c r="BY48" s="1">
        <v>0</v>
      </c>
    </row>
    <row r="49" spans="1:77" x14ac:dyDescent="0.3">
      <c r="A49" s="2">
        <v>45525</v>
      </c>
      <c r="B49" s="1">
        <v>234</v>
      </c>
      <c r="C49" s="1" t="s">
        <v>164</v>
      </c>
      <c r="D49" s="1" t="s">
        <v>201</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1</v>
      </c>
      <c r="Z49" s="1">
        <v>0</v>
      </c>
      <c r="AA49" s="1">
        <v>1</v>
      </c>
      <c r="AB49" s="1">
        <v>0</v>
      </c>
      <c r="AC49" s="1">
        <v>0</v>
      </c>
      <c r="AD49" s="1">
        <v>0</v>
      </c>
      <c r="AE49" s="1">
        <v>0</v>
      </c>
      <c r="AF49" s="1">
        <v>0</v>
      </c>
      <c r="AG49" s="1">
        <v>0</v>
      </c>
      <c r="AH49" s="1">
        <v>0</v>
      </c>
      <c r="AI49" s="1">
        <v>0</v>
      </c>
      <c r="AJ49" s="1">
        <v>0</v>
      </c>
      <c r="AK49" s="1">
        <v>1</v>
      </c>
      <c r="AL49" s="1">
        <v>0</v>
      </c>
      <c r="AM49" s="1">
        <v>0</v>
      </c>
      <c r="AN49" s="1">
        <v>0</v>
      </c>
      <c r="AO49" s="1">
        <v>0</v>
      </c>
      <c r="AP49" s="1">
        <v>0</v>
      </c>
      <c r="AQ49" s="1">
        <v>0</v>
      </c>
      <c r="AR49" s="1">
        <v>0</v>
      </c>
      <c r="AS49" s="1">
        <v>0</v>
      </c>
      <c r="AT49" s="1">
        <v>0</v>
      </c>
      <c r="AU49" s="1">
        <v>0</v>
      </c>
      <c r="AV49" s="1">
        <v>0</v>
      </c>
      <c r="AW49" s="1">
        <v>0</v>
      </c>
      <c r="AX49" s="1">
        <v>0</v>
      </c>
      <c r="AY49" s="1">
        <v>0</v>
      </c>
      <c r="AZ49" s="1">
        <v>0</v>
      </c>
      <c r="BA49" s="1">
        <v>0</v>
      </c>
      <c r="BB49" s="1">
        <v>0</v>
      </c>
      <c r="BC49" s="1">
        <v>0</v>
      </c>
      <c r="BD49" s="1">
        <v>0</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0</v>
      </c>
      <c r="BX49" s="1">
        <v>0</v>
      </c>
      <c r="BY49" s="1">
        <v>0</v>
      </c>
    </row>
    <row r="50" spans="1:77" x14ac:dyDescent="0.3">
      <c r="A50" s="2">
        <v>45491</v>
      </c>
      <c r="B50" s="1">
        <v>200</v>
      </c>
      <c r="C50" s="1" t="s">
        <v>173</v>
      </c>
      <c r="D50" s="1" t="s">
        <v>152</v>
      </c>
      <c r="E50" s="1">
        <v>0</v>
      </c>
      <c r="F50" s="1">
        <v>0</v>
      </c>
      <c r="G50" s="1">
        <v>0</v>
      </c>
      <c r="H50" s="1">
        <v>0</v>
      </c>
      <c r="I50" s="1">
        <v>0</v>
      </c>
      <c r="J50" s="1">
        <v>0</v>
      </c>
      <c r="K50" s="1">
        <v>0</v>
      </c>
      <c r="L50" s="1">
        <v>0</v>
      </c>
      <c r="M50" s="1">
        <v>0</v>
      </c>
      <c r="N50" s="1">
        <v>0</v>
      </c>
      <c r="O50" s="1">
        <v>0</v>
      </c>
      <c r="P50" s="1">
        <v>0</v>
      </c>
      <c r="Q50" s="1">
        <v>0</v>
      </c>
      <c r="R50" s="1">
        <v>0</v>
      </c>
      <c r="S50" s="1">
        <v>0</v>
      </c>
      <c r="T50" s="1">
        <v>0</v>
      </c>
      <c r="U50" s="1">
        <v>0</v>
      </c>
      <c r="V50" s="1">
        <v>0</v>
      </c>
      <c r="W50" s="1">
        <v>0</v>
      </c>
      <c r="X50" s="1">
        <v>0</v>
      </c>
      <c r="Y50" s="1">
        <v>0</v>
      </c>
      <c r="Z50" s="1">
        <v>0</v>
      </c>
      <c r="AA50" s="1">
        <v>1</v>
      </c>
      <c r="AB50" s="1">
        <v>0</v>
      </c>
      <c r="AC50" s="1">
        <v>0</v>
      </c>
      <c r="AD50" s="1">
        <v>0</v>
      </c>
      <c r="AE50" s="1">
        <v>0</v>
      </c>
      <c r="AF50" s="1">
        <v>0</v>
      </c>
      <c r="AG50" s="1">
        <v>0</v>
      </c>
      <c r="AH50" s="1">
        <v>0</v>
      </c>
      <c r="AI50" s="1">
        <v>0</v>
      </c>
      <c r="AJ50" s="1">
        <v>0</v>
      </c>
      <c r="AK50" s="1">
        <v>1</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1</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row>
    <row r="51" spans="1:77" x14ac:dyDescent="0.3">
      <c r="A51" s="2">
        <v>45499</v>
      </c>
      <c r="B51" s="1">
        <v>208</v>
      </c>
      <c r="C51" s="1" t="s">
        <v>173</v>
      </c>
      <c r="D51" s="1" t="s">
        <v>152</v>
      </c>
      <c r="E51" s="1">
        <v>0</v>
      </c>
      <c r="F51" s="1">
        <v>0</v>
      </c>
      <c r="G51" s="1">
        <v>0</v>
      </c>
      <c r="H51" s="1">
        <v>0</v>
      </c>
      <c r="I51" s="1">
        <v>0</v>
      </c>
      <c r="J51" s="1">
        <v>0</v>
      </c>
      <c r="K51" s="1">
        <v>0</v>
      </c>
      <c r="L51" s="1">
        <v>0</v>
      </c>
      <c r="M51" s="1">
        <v>0</v>
      </c>
      <c r="N51" s="1">
        <v>0</v>
      </c>
      <c r="O51" s="1">
        <v>0</v>
      </c>
      <c r="P51" s="1">
        <v>0</v>
      </c>
      <c r="Q51" s="1">
        <v>0</v>
      </c>
      <c r="R51" s="1">
        <v>0</v>
      </c>
      <c r="S51" s="1">
        <v>0</v>
      </c>
      <c r="T51" s="1">
        <v>0</v>
      </c>
      <c r="U51" s="1">
        <v>0</v>
      </c>
      <c r="V51" s="1">
        <v>0</v>
      </c>
      <c r="W51" s="1">
        <v>0</v>
      </c>
      <c r="X51" s="1">
        <v>0</v>
      </c>
      <c r="Y51" s="1">
        <v>0</v>
      </c>
      <c r="Z51" s="1">
        <v>0</v>
      </c>
      <c r="AA51" s="1">
        <v>0</v>
      </c>
      <c r="AB51" s="1">
        <v>0</v>
      </c>
      <c r="AC51" s="1">
        <v>0</v>
      </c>
      <c r="AD51" s="1">
        <v>0</v>
      </c>
      <c r="AE51" s="1">
        <v>0</v>
      </c>
      <c r="AF51" s="1">
        <v>0</v>
      </c>
      <c r="AG51" s="1">
        <v>0</v>
      </c>
      <c r="AH51" s="1">
        <v>0</v>
      </c>
      <c r="AI51" s="1">
        <v>0</v>
      </c>
      <c r="AJ51" s="1">
        <v>0</v>
      </c>
      <c r="AK51" s="1">
        <v>0</v>
      </c>
      <c r="AL51" s="1">
        <v>1</v>
      </c>
      <c r="AM51" s="1">
        <v>0</v>
      </c>
      <c r="AN51" s="1">
        <v>0</v>
      </c>
      <c r="AO51" s="1">
        <v>0</v>
      </c>
      <c r="AP51" s="1">
        <v>0</v>
      </c>
      <c r="AQ51" s="1">
        <v>0</v>
      </c>
      <c r="AR51" s="1">
        <v>0</v>
      </c>
      <c r="AS51" s="1">
        <v>0</v>
      </c>
      <c r="AT51" s="1">
        <v>0</v>
      </c>
      <c r="AU51" s="1">
        <v>0</v>
      </c>
      <c r="AV51" s="1">
        <v>0</v>
      </c>
      <c r="AW51" s="1">
        <v>0</v>
      </c>
      <c r="AX51" s="1">
        <v>0</v>
      </c>
      <c r="AY51" s="1">
        <v>0</v>
      </c>
      <c r="AZ51" s="1">
        <v>0</v>
      </c>
      <c r="BA51" s="1">
        <v>0</v>
      </c>
      <c r="BB51" s="1">
        <v>0</v>
      </c>
      <c r="BC51" s="1">
        <v>0</v>
      </c>
      <c r="BD51" s="1">
        <v>0</v>
      </c>
      <c r="BE51" s="1">
        <v>0</v>
      </c>
      <c r="BF51" s="1">
        <v>1</v>
      </c>
      <c r="BG51" s="1">
        <v>0</v>
      </c>
      <c r="BH51" s="1">
        <v>0</v>
      </c>
      <c r="BI51" s="1">
        <v>0</v>
      </c>
      <c r="BJ51" s="1">
        <v>0</v>
      </c>
      <c r="BK51" s="1">
        <v>0</v>
      </c>
      <c r="BL51" s="1">
        <v>0</v>
      </c>
      <c r="BM51" s="1">
        <v>0</v>
      </c>
      <c r="BN51" s="1">
        <v>0</v>
      </c>
      <c r="BO51" s="1">
        <v>0</v>
      </c>
      <c r="BP51" s="1">
        <v>0</v>
      </c>
      <c r="BQ51" s="1">
        <v>0</v>
      </c>
      <c r="BR51" s="1">
        <v>0</v>
      </c>
      <c r="BS51" s="1">
        <v>0</v>
      </c>
      <c r="BT51" s="1">
        <v>0</v>
      </c>
      <c r="BU51" s="1">
        <v>0</v>
      </c>
      <c r="BV51" s="1">
        <v>0</v>
      </c>
      <c r="BW51" s="1">
        <v>0</v>
      </c>
      <c r="BX51" s="1">
        <v>0</v>
      </c>
      <c r="BY51" s="1">
        <v>0</v>
      </c>
    </row>
    <row r="52" spans="1:77" x14ac:dyDescent="0.3">
      <c r="A52" s="2">
        <v>45506</v>
      </c>
      <c r="B52" s="1">
        <v>215</v>
      </c>
      <c r="C52" s="1" t="s">
        <v>173</v>
      </c>
      <c r="D52" s="1" t="s">
        <v>152</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1</v>
      </c>
      <c r="W52" s="1">
        <v>0</v>
      </c>
      <c r="X52" s="1">
        <v>0</v>
      </c>
      <c r="Y52" s="1">
        <v>0</v>
      </c>
      <c r="Z52" s="1">
        <v>0</v>
      </c>
      <c r="AA52" s="1">
        <v>5</v>
      </c>
      <c r="AB52" s="1">
        <v>0</v>
      </c>
      <c r="AC52" s="1">
        <v>0</v>
      </c>
      <c r="AD52" s="1">
        <v>0</v>
      </c>
      <c r="AE52" s="1">
        <v>1</v>
      </c>
      <c r="AF52" s="1">
        <v>0</v>
      </c>
      <c r="AG52" s="1">
        <v>0</v>
      </c>
      <c r="AH52" s="1">
        <v>1</v>
      </c>
      <c r="AI52" s="1">
        <v>0</v>
      </c>
      <c r="AJ52" s="1">
        <v>0</v>
      </c>
      <c r="AK52" s="1">
        <v>3</v>
      </c>
      <c r="AL52" s="1">
        <v>2</v>
      </c>
      <c r="AM52" s="1">
        <v>0</v>
      </c>
      <c r="AN52" s="1">
        <v>0</v>
      </c>
      <c r="AO52" s="1">
        <v>0</v>
      </c>
      <c r="AP52" s="1">
        <v>0</v>
      </c>
      <c r="AQ52" s="1">
        <v>0</v>
      </c>
      <c r="AR52" s="1">
        <v>0</v>
      </c>
      <c r="AS52" s="1">
        <v>0</v>
      </c>
      <c r="AT52" s="1">
        <v>0</v>
      </c>
      <c r="AU52" s="1">
        <v>0</v>
      </c>
      <c r="AV52" s="1">
        <v>0</v>
      </c>
      <c r="AW52" s="1">
        <v>0</v>
      </c>
      <c r="AX52" s="1">
        <v>0</v>
      </c>
      <c r="AY52" s="1">
        <v>0</v>
      </c>
      <c r="AZ52" s="1">
        <v>0</v>
      </c>
      <c r="BA52" s="1">
        <v>0</v>
      </c>
      <c r="BB52" s="1">
        <v>0</v>
      </c>
      <c r="BC52" s="1">
        <v>0</v>
      </c>
      <c r="BD52" s="1">
        <v>0</v>
      </c>
      <c r="BE52" s="1">
        <v>0</v>
      </c>
      <c r="BF52" s="1">
        <v>0</v>
      </c>
      <c r="BG52" s="1">
        <v>0</v>
      </c>
      <c r="BH52" s="1">
        <v>0</v>
      </c>
      <c r="BI52" s="1">
        <v>3</v>
      </c>
      <c r="BJ52" s="1">
        <v>0</v>
      </c>
      <c r="BK52" s="1">
        <v>0</v>
      </c>
      <c r="BL52" s="1">
        <v>5</v>
      </c>
      <c r="BM52" s="1">
        <v>0</v>
      </c>
      <c r="BN52" s="1">
        <v>0</v>
      </c>
      <c r="BO52" s="1">
        <v>0</v>
      </c>
      <c r="BP52" s="1">
        <v>0</v>
      </c>
      <c r="BQ52" s="1">
        <v>0</v>
      </c>
      <c r="BR52" s="1">
        <v>0</v>
      </c>
      <c r="BS52" s="1">
        <v>0</v>
      </c>
      <c r="BT52" s="1">
        <v>0</v>
      </c>
      <c r="BU52" s="1">
        <v>0</v>
      </c>
      <c r="BV52" s="1">
        <v>0</v>
      </c>
      <c r="BW52" s="1">
        <v>0</v>
      </c>
      <c r="BX52" s="1">
        <v>0</v>
      </c>
      <c r="BY52" s="1">
        <v>0</v>
      </c>
    </row>
    <row r="53" spans="1:77" x14ac:dyDescent="0.3">
      <c r="A53" s="2">
        <v>45517</v>
      </c>
      <c r="B53" s="1">
        <v>226</v>
      </c>
      <c r="C53" s="1" t="s">
        <v>173</v>
      </c>
      <c r="D53" s="1" t="s">
        <v>201</v>
      </c>
      <c r="E53" s="1">
        <v>0</v>
      </c>
      <c r="F53" s="1">
        <v>0</v>
      </c>
      <c r="G53" s="1">
        <v>0</v>
      </c>
      <c r="H53" s="1">
        <v>0</v>
      </c>
      <c r="I53" s="1">
        <v>0</v>
      </c>
      <c r="J53" s="1">
        <v>0</v>
      </c>
      <c r="K53" s="1">
        <v>0</v>
      </c>
      <c r="L53" s="1">
        <v>0</v>
      </c>
      <c r="M53" s="1">
        <v>0</v>
      </c>
      <c r="N53" s="1">
        <v>0</v>
      </c>
      <c r="O53" s="1">
        <v>0</v>
      </c>
      <c r="P53" s="1">
        <v>0</v>
      </c>
      <c r="Q53" s="1">
        <v>0</v>
      </c>
      <c r="R53" s="1">
        <v>0</v>
      </c>
      <c r="S53" s="1">
        <v>0</v>
      </c>
      <c r="T53" s="1">
        <v>0</v>
      </c>
      <c r="U53" s="1">
        <v>0</v>
      </c>
      <c r="V53" s="1">
        <v>0</v>
      </c>
      <c r="W53" s="1">
        <v>0</v>
      </c>
      <c r="X53" s="1">
        <v>0</v>
      </c>
      <c r="Y53" s="1">
        <v>0</v>
      </c>
      <c r="Z53" s="1">
        <v>0</v>
      </c>
      <c r="AA53" s="1">
        <v>1</v>
      </c>
      <c r="AB53" s="1">
        <v>0</v>
      </c>
      <c r="AC53" s="1">
        <v>0</v>
      </c>
      <c r="AD53" s="1">
        <v>0</v>
      </c>
      <c r="AE53" s="1">
        <v>0</v>
      </c>
      <c r="AF53" s="1">
        <v>0</v>
      </c>
      <c r="AG53" s="1">
        <v>0</v>
      </c>
      <c r="AH53" s="1">
        <v>0</v>
      </c>
      <c r="AI53" s="1">
        <v>0</v>
      </c>
      <c r="AJ53" s="1">
        <v>0</v>
      </c>
      <c r="AK53" s="1">
        <v>1</v>
      </c>
      <c r="AL53" s="1">
        <v>0</v>
      </c>
      <c r="AM53" s="1">
        <v>0</v>
      </c>
      <c r="AN53" s="1">
        <v>0</v>
      </c>
      <c r="AO53" s="1">
        <v>0</v>
      </c>
      <c r="AP53" s="1">
        <v>0</v>
      </c>
      <c r="AQ53" s="1">
        <v>0</v>
      </c>
      <c r="AR53" s="1">
        <v>0</v>
      </c>
      <c r="AS53" s="1">
        <v>0</v>
      </c>
      <c r="AT53" s="1">
        <v>0</v>
      </c>
      <c r="AU53" s="1">
        <v>0</v>
      </c>
      <c r="AV53" s="1">
        <v>0</v>
      </c>
      <c r="AW53" s="1">
        <v>0</v>
      </c>
      <c r="AX53" s="1">
        <v>0</v>
      </c>
      <c r="AY53" s="1">
        <v>0</v>
      </c>
      <c r="AZ53" s="1">
        <v>0</v>
      </c>
      <c r="BA53" s="1">
        <v>0</v>
      </c>
      <c r="BB53" s="1">
        <v>0</v>
      </c>
      <c r="BC53" s="1">
        <v>0</v>
      </c>
      <c r="BD53" s="1">
        <v>0</v>
      </c>
      <c r="BE53" s="1">
        <v>0</v>
      </c>
      <c r="BF53" s="1">
        <v>0</v>
      </c>
      <c r="BG53" s="1">
        <v>0</v>
      </c>
      <c r="BH53" s="1">
        <v>0</v>
      </c>
      <c r="BI53" s="1">
        <v>0</v>
      </c>
      <c r="BJ53" s="1">
        <v>0</v>
      </c>
      <c r="BK53" s="1">
        <v>0</v>
      </c>
      <c r="BL53" s="1">
        <v>0</v>
      </c>
      <c r="BM53" s="1">
        <v>0</v>
      </c>
      <c r="BN53" s="1">
        <v>0</v>
      </c>
      <c r="BO53" s="1">
        <v>0</v>
      </c>
      <c r="BP53" s="1">
        <v>0</v>
      </c>
      <c r="BQ53" s="1">
        <v>0</v>
      </c>
      <c r="BR53" s="1">
        <v>0</v>
      </c>
      <c r="BS53" s="1">
        <v>0</v>
      </c>
      <c r="BT53" s="1">
        <v>0</v>
      </c>
      <c r="BU53" s="1">
        <v>0</v>
      </c>
      <c r="BV53" s="1">
        <v>0</v>
      </c>
      <c r="BW53" s="1">
        <v>0</v>
      </c>
      <c r="BX53" s="1">
        <v>0</v>
      </c>
      <c r="BY53" s="1">
        <v>0</v>
      </c>
    </row>
    <row r="54" spans="1:77" x14ac:dyDescent="0.3">
      <c r="A54" s="2">
        <v>45483</v>
      </c>
      <c r="B54" s="1">
        <v>192</v>
      </c>
      <c r="C54" s="1" t="s">
        <v>156</v>
      </c>
      <c r="D54" s="1" t="s">
        <v>152</v>
      </c>
      <c r="E54" s="1">
        <v>0</v>
      </c>
      <c r="F54" s="1">
        <v>0</v>
      </c>
      <c r="G54" s="1">
        <v>0</v>
      </c>
      <c r="H54" s="1">
        <v>0</v>
      </c>
      <c r="I54" s="1">
        <v>0</v>
      </c>
      <c r="J54" s="1">
        <v>0</v>
      </c>
      <c r="K54" s="1">
        <v>0</v>
      </c>
      <c r="L54" s="1">
        <v>0</v>
      </c>
      <c r="M54" s="1">
        <v>0</v>
      </c>
      <c r="N54" s="1">
        <v>0</v>
      </c>
      <c r="O54" s="1">
        <v>0</v>
      </c>
      <c r="P54" s="1">
        <v>0</v>
      </c>
      <c r="Q54" s="1">
        <v>2</v>
      </c>
      <c r="R54" s="1">
        <v>0</v>
      </c>
      <c r="S54" s="1">
        <v>0</v>
      </c>
      <c r="T54" s="1">
        <v>0</v>
      </c>
      <c r="U54" s="1">
        <v>1</v>
      </c>
      <c r="V54" s="1">
        <v>0</v>
      </c>
      <c r="W54" s="1">
        <v>0</v>
      </c>
      <c r="X54" s="1">
        <v>0</v>
      </c>
      <c r="Y54" s="1">
        <v>0</v>
      </c>
      <c r="Z54" s="1">
        <v>0</v>
      </c>
      <c r="AA54" s="1">
        <v>2</v>
      </c>
      <c r="AB54" s="1">
        <v>0</v>
      </c>
      <c r="AC54" s="1">
        <v>0</v>
      </c>
      <c r="AD54" s="1">
        <v>0</v>
      </c>
      <c r="AE54" s="1">
        <v>0</v>
      </c>
      <c r="AF54" s="1">
        <v>0</v>
      </c>
      <c r="AG54" s="1">
        <v>0</v>
      </c>
      <c r="AH54" s="1">
        <v>2</v>
      </c>
      <c r="AI54" s="1">
        <v>0</v>
      </c>
      <c r="AJ54" s="1">
        <v>0</v>
      </c>
      <c r="AK54" s="1">
        <v>0</v>
      </c>
      <c r="AL54" s="1">
        <v>1</v>
      </c>
      <c r="AM54" s="1">
        <v>0</v>
      </c>
      <c r="AN54" s="1">
        <v>0</v>
      </c>
      <c r="AO54" s="1">
        <v>0</v>
      </c>
      <c r="AP54" s="1">
        <v>0</v>
      </c>
      <c r="AQ54" s="1">
        <v>0</v>
      </c>
      <c r="AR54" s="1">
        <v>0</v>
      </c>
      <c r="AS54" s="1">
        <v>0</v>
      </c>
      <c r="AT54" s="1">
        <v>0</v>
      </c>
      <c r="AU54" s="1">
        <v>0</v>
      </c>
      <c r="AV54" s="1">
        <v>0</v>
      </c>
      <c r="AW54" s="1">
        <v>0</v>
      </c>
      <c r="AX54" s="1">
        <v>0</v>
      </c>
      <c r="AY54" s="1">
        <v>0</v>
      </c>
      <c r="AZ54" s="1">
        <v>0</v>
      </c>
      <c r="BA54" s="1">
        <v>0</v>
      </c>
      <c r="BB54" s="1">
        <v>0</v>
      </c>
      <c r="BC54" s="1">
        <v>0</v>
      </c>
      <c r="BD54" s="1">
        <v>0</v>
      </c>
      <c r="BE54" s="1">
        <v>0</v>
      </c>
      <c r="BF54" s="1">
        <v>0</v>
      </c>
      <c r="BG54" s="1">
        <v>0</v>
      </c>
      <c r="BH54" s="1">
        <v>0</v>
      </c>
      <c r="BI54" s="1">
        <v>0</v>
      </c>
      <c r="BJ54" s="1">
        <v>0</v>
      </c>
      <c r="BK54" s="1">
        <v>0</v>
      </c>
      <c r="BL54" s="1">
        <v>4</v>
      </c>
      <c r="BM54" s="1">
        <v>0</v>
      </c>
      <c r="BN54" s="1">
        <v>0</v>
      </c>
      <c r="BO54" s="1">
        <v>0</v>
      </c>
      <c r="BP54" s="1">
        <v>0</v>
      </c>
      <c r="BQ54" s="1">
        <v>0</v>
      </c>
      <c r="BR54" s="1">
        <v>0</v>
      </c>
      <c r="BS54" s="1">
        <v>0</v>
      </c>
      <c r="BT54" s="1">
        <v>1</v>
      </c>
      <c r="BU54" s="1">
        <v>0</v>
      </c>
      <c r="BV54" s="1">
        <v>0</v>
      </c>
      <c r="BW54" s="1">
        <v>0</v>
      </c>
      <c r="BX54" s="1">
        <v>0</v>
      </c>
      <c r="BY54" s="1">
        <v>0</v>
      </c>
    </row>
    <row r="55" spans="1:77" x14ac:dyDescent="0.3">
      <c r="A55" s="2">
        <v>45498</v>
      </c>
      <c r="B55" s="1">
        <v>207</v>
      </c>
      <c r="C55" s="1" t="s">
        <v>156</v>
      </c>
      <c r="D55" s="1" t="s">
        <v>152</v>
      </c>
      <c r="E55" s="1">
        <v>0</v>
      </c>
      <c r="F55" s="1">
        <v>0</v>
      </c>
      <c r="G55" s="1">
        <v>0</v>
      </c>
      <c r="H55" s="1">
        <v>0</v>
      </c>
      <c r="I55" s="1">
        <v>0</v>
      </c>
      <c r="J55" s="1">
        <v>0</v>
      </c>
      <c r="K55" s="1">
        <v>0</v>
      </c>
      <c r="L55" s="1">
        <v>0</v>
      </c>
      <c r="M55" s="1">
        <v>0</v>
      </c>
      <c r="N55" s="1">
        <v>0</v>
      </c>
      <c r="O55" s="1">
        <v>0</v>
      </c>
      <c r="P55" s="1">
        <v>0</v>
      </c>
      <c r="Q55" s="1">
        <v>0</v>
      </c>
      <c r="R55" s="1">
        <v>1</v>
      </c>
      <c r="S55" s="1">
        <v>0</v>
      </c>
      <c r="T55" s="1">
        <v>0</v>
      </c>
      <c r="U55" s="1">
        <v>0</v>
      </c>
      <c r="V55" s="1">
        <v>0</v>
      </c>
      <c r="W55" s="1">
        <v>0</v>
      </c>
      <c r="X55" s="1">
        <v>0</v>
      </c>
      <c r="Y55" s="1">
        <v>1</v>
      </c>
      <c r="Z55" s="1">
        <v>0</v>
      </c>
      <c r="AA55" s="1">
        <v>0</v>
      </c>
      <c r="AB55" s="1">
        <v>0</v>
      </c>
      <c r="AC55" s="1">
        <v>0</v>
      </c>
      <c r="AD55" s="1">
        <v>0</v>
      </c>
      <c r="AE55" s="1">
        <v>0</v>
      </c>
      <c r="AF55" s="1">
        <v>0</v>
      </c>
      <c r="AG55" s="1">
        <v>0</v>
      </c>
      <c r="AH55" s="1">
        <v>0</v>
      </c>
      <c r="AI55" s="1">
        <v>0</v>
      </c>
      <c r="AJ55" s="1">
        <v>0</v>
      </c>
      <c r="AK55" s="1">
        <v>0</v>
      </c>
      <c r="AL55" s="1">
        <v>2</v>
      </c>
      <c r="AM55" s="1">
        <v>0</v>
      </c>
      <c r="AN55" s="1">
        <v>0</v>
      </c>
      <c r="AO55" s="1">
        <v>0</v>
      </c>
      <c r="AP55" s="1">
        <v>0</v>
      </c>
      <c r="AQ55" s="1">
        <v>0</v>
      </c>
      <c r="AR55" s="1">
        <v>0</v>
      </c>
      <c r="AS55" s="1">
        <v>0</v>
      </c>
      <c r="AT55" s="1">
        <v>0</v>
      </c>
      <c r="AU55" s="1">
        <v>0</v>
      </c>
      <c r="AV55" s="1">
        <v>0</v>
      </c>
      <c r="AW55" s="1">
        <v>0</v>
      </c>
      <c r="AX55" s="1">
        <v>0</v>
      </c>
      <c r="AY55" s="1">
        <v>0</v>
      </c>
      <c r="AZ55" s="1">
        <v>0</v>
      </c>
      <c r="BA55" s="1">
        <v>0</v>
      </c>
      <c r="BB55" s="1">
        <v>0</v>
      </c>
      <c r="BC55" s="1">
        <v>0</v>
      </c>
      <c r="BD55" s="1">
        <v>0</v>
      </c>
      <c r="BE55" s="1">
        <v>0</v>
      </c>
      <c r="BF55" s="1">
        <v>0</v>
      </c>
      <c r="BG55" s="1">
        <v>0</v>
      </c>
      <c r="BH55" s="1">
        <v>0</v>
      </c>
      <c r="BI55" s="1">
        <v>0</v>
      </c>
      <c r="BJ55" s="1">
        <v>0</v>
      </c>
      <c r="BK55" s="1">
        <v>0</v>
      </c>
      <c r="BL55" s="1">
        <v>0</v>
      </c>
      <c r="BM55" s="1">
        <v>0</v>
      </c>
      <c r="BN55" s="1">
        <v>0</v>
      </c>
      <c r="BO55" s="1">
        <v>0</v>
      </c>
      <c r="BP55" s="1">
        <v>0</v>
      </c>
      <c r="BQ55" s="1">
        <v>0</v>
      </c>
      <c r="BR55" s="1">
        <v>0</v>
      </c>
      <c r="BS55" s="1">
        <v>0</v>
      </c>
      <c r="BT55" s="1">
        <v>0</v>
      </c>
      <c r="BU55" s="1">
        <v>0</v>
      </c>
      <c r="BV55" s="1">
        <v>0</v>
      </c>
      <c r="BW55" s="1">
        <v>0</v>
      </c>
      <c r="BX55" s="1">
        <v>0</v>
      </c>
      <c r="BY55" s="1">
        <v>0</v>
      </c>
    </row>
    <row r="56" spans="1:77" x14ac:dyDescent="0.3">
      <c r="A56" s="2">
        <v>45513</v>
      </c>
      <c r="B56" s="1">
        <v>222</v>
      </c>
      <c r="C56" s="1" t="s">
        <v>156</v>
      </c>
      <c r="D56" s="1" t="s">
        <v>152</v>
      </c>
      <c r="E56" s="1">
        <v>0</v>
      </c>
      <c r="F56" s="1">
        <v>0</v>
      </c>
      <c r="G56" s="1">
        <v>0</v>
      </c>
      <c r="H56" s="1">
        <v>0</v>
      </c>
      <c r="I56" s="1">
        <v>0</v>
      </c>
      <c r="J56" s="1">
        <v>0</v>
      </c>
      <c r="K56" s="1">
        <v>0</v>
      </c>
      <c r="L56" s="1">
        <v>0</v>
      </c>
      <c r="M56" s="1">
        <v>0</v>
      </c>
      <c r="N56" s="1">
        <v>0</v>
      </c>
      <c r="O56" s="1">
        <v>0</v>
      </c>
      <c r="P56" s="1">
        <v>0</v>
      </c>
      <c r="Q56" s="1">
        <v>0</v>
      </c>
      <c r="R56" s="1">
        <v>0</v>
      </c>
      <c r="S56" s="1">
        <v>0</v>
      </c>
      <c r="T56" s="1">
        <v>0</v>
      </c>
      <c r="U56" s="1">
        <v>1</v>
      </c>
      <c r="V56" s="1">
        <v>0</v>
      </c>
      <c r="W56" s="1">
        <v>0</v>
      </c>
      <c r="X56" s="1">
        <v>0</v>
      </c>
      <c r="Y56" s="1">
        <v>0</v>
      </c>
      <c r="Z56" s="1">
        <v>0</v>
      </c>
      <c r="AA56" s="1">
        <v>0</v>
      </c>
      <c r="AB56" s="1">
        <v>0</v>
      </c>
      <c r="AC56" s="1">
        <v>0</v>
      </c>
      <c r="AD56" s="1">
        <v>0</v>
      </c>
      <c r="AE56" s="1">
        <v>0</v>
      </c>
      <c r="AF56" s="1">
        <v>0</v>
      </c>
      <c r="AG56" s="1">
        <v>0</v>
      </c>
      <c r="AH56" s="1">
        <v>0</v>
      </c>
      <c r="AI56" s="1">
        <v>0</v>
      </c>
      <c r="AJ56" s="1">
        <v>0</v>
      </c>
      <c r="AK56" s="1">
        <v>0</v>
      </c>
      <c r="AL56" s="1">
        <v>0</v>
      </c>
      <c r="AM56" s="1">
        <v>0</v>
      </c>
      <c r="AN56" s="1">
        <v>0</v>
      </c>
      <c r="AO56" s="1">
        <v>0</v>
      </c>
      <c r="AP56" s="1">
        <v>0</v>
      </c>
      <c r="AQ56" s="1">
        <v>0</v>
      </c>
      <c r="AR56" s="1">
        <v>0</v>
      </c>
      <c r="AS56" s="1">
        <v>0</v>
      </c>
      <c r="AT56" s="1">
        <v>0</v>
      </c>
      <c r="AU56" s="1">
        <v>0</v>
      </c>
      <c r="AV56" s="1">
        <v>0</v>
      </c>
      <c r="AW56" s="1">
        <v>0</v>
      </c>
      <c r="AX56" s="1">
        <v>0</v>
      </c>
      <c r="AY56" s="1">
        <v>0</v>
      </c>
      <c r="AZ56" s="1">
        <v>0</v>
      </c>
      <c r="BA56" s="1">
        <v>0</v>
      </c>
      <c r="BB56" s="1">
        <v>0</v>
      </c>
      <c r="BC56" s="1">
        <v>0</v>
      </c>
      <c r="BD56" s="1">
        <v>0</v>
      </c>
      <c r="BE56" s="1">
        <v>0</v>
      </c>
      <c r="BF56" s="1">
        <v>0</v>
      </c>
      <c r="BG56" s="1">
        <v>0</v>
      </c>
      <c r="BH56" s="1">
        <v>0</v>
      </c>
      <c r="BI56" s="1">
        <v>0</v>
      </c>
      <c r="BJ56" s="1">
        <v>0</v>
      </c>
      <c r="BK56" s="1">
        <v>0</v>
      </c>
      <c r="BL56" s="1">
        <v>0</v>
      </c>
      <c r="BM56" s="1">
        <v>0</v>
      </c>
      <c r="BN56" s="1">
        <v>0</v>
      </c>
      <c r="BO56" s="1">
        <v>0</v>
      </c>
      <c r="BP56" s="1">
        <v>0</v>
      </c>
      <c r="BQ56" s="1">
        <v>0</v>
      </c>
      <c r="BR56" s="1">
        <v>0</v>
      </c>
      <c r="BS56" s="1">
        <v>0</v>
      </c>
      <c r="BT56" s="1">
        <v>0</v>
      </c>
      <c r="BU56" s="1">
        <v>0</v>
      </c>
      <c r="BV56" s="1">
        <v>0</v>
      </c>
      <c r="BW56" s="1">
        <v>0</v>
      </c>
      <c r="BX56" s="1">
        <v>0</v>
      </c>
      <c r="BY56" s="1">
        <v>0</v>
      </c>
    </row>
    <row r="57" spans="1:77" x14ac:dyDescent="0.3">
      <c r="A57" s="2">
        <v>45499</v>
      </c>
      <c r="B57" s="1">
        <v>208</v>
      </c>
      <c r="C57" s="1" t="s">
        <v>195</v>
      </c>
      <c r="D57" s="1" t="s">
        <v>152</v>
      </c>
      <c r="E57" s="1">
        <v>0</v>
      </c>
      <c r="F57" s="1">
        <v>0</v>
      </c>
      <c r="G57" s="1">
        <v>0</v>
      </c>
      <c r="H57" s="1">
        <v>0</v>
      </c>
      <c r="I57" s="1">
        <v>0</v>
      </c>
      <c r="J57" s="1">
        <v>0</v>
      </c>
      <c r="K57" s="1">
        <v>0</v>
      </c>
      <c r="L57" s="1">
        <v>0</v>
      </c>
      <c r="M57" s="1">
        <v>0</v>
      </c>
      <c r="N57" s="1">
        <v>0</v>
      </c>
      <c r="O57" s="1">
        <v>0</v>
      </c>
      <c r="P57" s="1">
        <v>0</v>
      </c>
      <c r="Q57" s="1">
        <v>0</v>
      </c>
      <c r="R57" s="1">
        <v>0</v>
      </c>
      <c r="S57" s="1">
        <v>0</v>
      </c>
      <c r="T57" s="1">
        <v>0</v>
      </c>
      <c r="U57" s="1">
        <v>0</v>
      </c>
      <c r="V57" s="1">
        <v>0</v>
      </c>
      <c r="W57" s="1">
        <v>0</v>
      </c>
      <c r="X57" s="1">
        <v>0</v>
      </c>
      <c r="Y57" s="1">
        <v>1</v>
      </c>
      <c r="Z57" s="1">
        <v>0</v>
      </c>
      <c r="AA57" s="1">
        <v>1</v>
      </c>
      <c r="AB57" s="1">
        <v>0</v>
      </c>
      <c r="AC57" s="1">
        <v>0</v>
      </c>
      <c r="AD57" s="1">
        <v>0</v>
      </c>
      <c r="AE57" s="1">
        <v>0</v>
      </c>
      <c r="AF57" s="1">
        <v>0</v>
      </c>
      <c r="AG57" s="1">
        <v>0</v>
      </c>
      <c r="AH57" s="1">
        <v>0</v>
      </c>
      <c r="AI57" s="1">
        <v>0</v>
      </c>
      <c r="AJ57" s="1">
        <v>0</v>
      </c>
      <c r="AK57" s="1">
        <v>1</v>
      </c>
      <c r="AL57" s="1">
        <v>0</v>
      </c>
      <c r="AM57" s="1">
        <v>0</v>
      </c>
      <c r="AN57" s="1">
        <v>0</v>
      </c>
      <c r="AO57" s="1">
        <v>0</v>
      </c>
      <c r="AP57" s="1">
        <v>0</v>
      </c>
      <c r="AQ57" s="1">
        <v>0</v>
      </c>
      <c r="AR57" s="1">
        <v>0</v>
      </c>
      <c r="AS57" s="1">
        <v>0</v>
      </c>
      <c r="AT57" s="1">
        <v>0</v>
      </c>
      <c r="AU57" s="1">
        <v>0</v>
      </c>
      <c r="AV57" s="1">
        <v>0</v>
      </c>
      <c r="AW57" s="1">
        <v>0</v>
      </c>
      <c r="AX57" s="1">
        <v>0</v>
      </c>
      <c r="AY57" s="1">
        <v>0</v>
      </c>
      <c r="AZ57" s="1">
        <v>0</v>
      </c>
      <c r="BA57" s="1">
        <v>0</v>
      </c>
      <c r="BB57" s="1">
        <v>0</v>
      </c>
      <c r="BC57" s="1">
        <v>0</v>
      </c>
      <c r="BD57" s="1">
        <v>0</v>
      </c>
      <c r="BE57" s="1">
        <v>0</v>
      </c>
      <c r="BF57" s="1">
        <v>0</v>
      </c>
      <c r="BG57" s="1">
        <v>0</v>
      </c>
      <c r="BH57" s="1">
        <v>0</v>
      </c>
      <c r="BI57" s="1">
        <v>0</v>
      </c>
      <c r="BJ57" s="1">
        <v>0</v>
      </c>
      <c r="BK57" s="1">
        <v>0</v>
      </c>
      <c r="BL57" s="1">
        <v>1</v>
      </c>
      <c r="BM57" s="1">
        <v>0</v>
      </c>
      <c r="BN57" s="1">
        <v>0</v>
      </c>
      <c r="BO57" s="1">
        <v>0</v>
      </c>
      <c r="BP57" s="1">
        <v>0</v>
      </c>
      <c r="BQ57" s="1">
        <v>0</v>
      </c>
      <c r="BR57" s="1">
        <v>0</v>
      </c>
      <c r="BS57" s="1">
        <v>0</v>
      </c>
      <c r="BT57" s="1">
        <v>0</v>
      </c>
      <c r="BU57" s="1">
        <v>0</v>
      </c>
      <c r="BV57" s="1">
        <v>0</v>
      </c>
      <c r="BW57" s="1">
        <v>0</v>
      </c>
      <c r="BX57" s="1">
        <v>0</v>
      </c>
      <c r="BY57" s="1">
        <v>0</v>
      </c>
    </row>
    <row r="58" spans="1:77" x14ac:dyDescent="0.3">
      <c r="A58" s="2">
        <v>45502</v>
      </c>
      <c r="B58" s="1">
        <v>211</v>
      </c>
      <c r="C58" s="1" t="s">
        <v>195</v>
      </c>
      <c r="D58" s="1" t="s">
        <v>152</v>
      </c>
      <c r="E58" s="1">
        <v>0</v>
      </c>
      <c r="F58" s="1">
        <v>0</v>
      </c>
      <c r="G58" s="1">
        <v>0</v>
      </c>
      <c r="H58" s="1">
        <v>0</v>
      </c>
      <c r="I58" s="1">
        <v>0</v>
      </c>
      <c r="J58" s="1">
        <v>0</v>
      </c>
      <c r="K58" s="1">
        <v>0</v>
      </c>
      <c r="L58" s="1">
        <v>0</v>
      </c>
      <c r="M58" s="1">
        <v>0</v>
      </c>
      <c r="N58" s="1">
        <v>0</v>
      </c>
      <c r="O58" s="1">
        <v>0</v>
      </c>
      <c r="P58" s="1">
        <v>0</v>
      </c>
      <c r="Q58" s="1">
        <v>0</v>
      </c>
      <c r="R58" s="1">
        <v>0</v>
      </c>
      <c r="S58" s="1">
        <v>0</v>
      </c>
      <c r="T58" s="1">
        <v>0</v>
      </c>
      <c r="U58" s="1">
        <v>1</v>
      </c>
      <c r="V58" s="1">
        <v>0</v>
      </c>
      <c r="W58" s="1">
        <v>0</v>
      </c>
      <c r="X58" s="1">
        <v>0</v>
      </c>
      <c r="Y58" s="1">
        <v>0</v>
      </c>
      <c r="Z58" s="1">
        <v>0</v>
      </c>
      <c r="AA58" s="1">
        <v>0</v>
      </c>
      <c r="AB58" s="1">
        <v>0</v>
      </c>
      <c r="AC58" s="1">
        <v>0</v>
      </c>
      <c r="AD58" s="1">
        <v>0</v>
      </c>
      <c r="AE58" s="1">
        <v>0</v>
      </c>
      <c r="AF58" s="1">
        <v>0</v>
      </c>
      <c r="AG58" s="1">
        <v>0</v>
      </c>
      <c r="AH58" s="1">
        <v>0</v>
      </c>
      <c r="AI58" s="1">
        <v>0</v>
      </c>
      <c r="AJ58" s="1">
        <v>0</v>
      </c>
      <c r="AK58" s="1">
        <v>0</v>
      </c>
      <c r="AL58" s="1">
        <v>0</v>
      </c>
      <c r="AM58" s="1">
        <v>0</v>
      </c>
      <c r="AN58" s="1">
        <v>0</v>
      </c>
      <c r="AO58" s="1">
        <v>0</v>
      </c>
      <c r="AP58" s="1">
        <v>0</v>
      </c>
      <c r="AQ58" s="1">
        <v>0</v>
      </c>
      <c r="AR58" s="1">
        <v>0</v>
      </c>
      <c r="AS58" s="1">
        <v>0</v>
      </c>
      <c r="AT58" s="1">
        <v>0</v>
      </c>
      <c r="AU58" s="1">
        <v>0</v>
      </c>
      <c r="AV58" s="1">
        <v>0</v>
      </c>
      <c r="AW58" s="1">
        <v>0</v>
      </c>
      <c r="AX58" s="1">
        <v>0</v>
      </c>
      <c r="AY58" s="1">
        <v>0</v>
      </c>
      <c r="AZ58" s="1">
        <v>0</v>
      </c>
      <c r="BA58" s="1">
        <v>0</v>
      </c>
      <c r="BB58" s="1">
        <v>0</v>
      </c>
      <c r="BC58" s="1">
        <v>0</v>
      </c>
      <c r="BD58" s="1">
        <v>0</v>
      </c>
      <c r="BE58" s="1">
        <v>0</v>
      </c>
      <c r="BF58" s="1">
        <v>0</v>
      </c>
      <c r="BG58" s="1">
        <v>0</v>
      </c>
      <c r="BH58" s="1">
        <v>0</v>
      </c>
      <c r="BI58" s="1">
        <v>0</v>
      </c>
      <c r="BJ58" s="1">
        <v>0</v>
      </c>
      <c r="BK58" s="1">
        <v>0</v>
      </c>
      <c r="BL58" s="1">
        <v>1</v>
      </c>
      <c r="BM58" s="1">
        <v>0</v>
      </c>
      <c r="BN58" s="1">
        <v>0</v>
      </c>
      <c r="BO58" s="1">
        <v>0</v>
      </c>
      <c r="BP58" s="1">
        <v>0</v>
      </c>
      <c r="BQ58" s="1">
        <v>0</v>
      </c>
      <c r="BR58" s="1">
        <v>0</v>
      </c>
      <c r="BS58" s="1">
        <v>0</v>
      </c>
      <c r="BT58" s="1">
        <v>0</v>
      </c>
      <c r="BU58" s="1">
        <v>0</v>
      </c>
      <c r="BV58" s="1">
        <v>0</v>
      </c>
      <c r="BW58" s="1">
        <v>0</v>
      </c>
      <c r="BX58" s="1">
        <v>0</v>
      </c>
      <c r="BY58" s="1">
        <v>0</v>
      </c>
    </row>
    <row r="59" spans="1:77" x14ac:dyDescent="0.3">
      <c r="A59" s="2">
        <v>45512</v>
      </c>
      <c r="B59" s="1">
        <v>221</v>
      </c>
      <c r="C59" s="1" t="s">
        <v>208</v>
      </c>
      <c r="D59" s="1" t="s">
        <v>201</v>
      </c>
      <c r="E59" s="1">
        <v>0</v>
      </c>
      <c r="F59" s="1">
        <v>0</v>
      </c>
      <c r="G59" s="1">
        <v>0</v>
      </c>
      <c r="H59" s="1">
        <v>0</v>
      </c>
      <c r="I59" s="1">
        <v>0</v>
      </c>
      <c r="J59" s="1">
        <v>0</v>
      </c>
      <c r="K59" s="1">
        <v>0</v>
      </c>
      <c r="L59" s="1">
        <v>0</v>
      </c>
      <c r="M59" s="1">
        <v>0</v>
      </c>
      <c r="N59" s="1">
        <v>0</v>
      </c>
      <c r="O59" s="1">
        <v>0</v>
      </c>
      <c r="P59" s="1">
        <v>0</v>
      </c>
      <c r="Q59" s="1">
        <v>0</v>
      </c>
      <c r="R59" s="1">
        <v>0</v>
      </c>
      <c r="S59" s="1">
        <v>0</v>
      </c>
      <c r="T59" s="1">
        <v>0</v>
      </c>
      <c r="U59" s="1">
        <v>0</v>
      </c>
      <c r="V59" s="1">
        <v>0</v>
      </c>
      <c r="W59" s="1">
        <v>0</v>
      </c>
      <c r="X59" s="1">
        <v>0</v>
      </c>
      <c r="Y59" s="1">
        <v>0</v>
      </c>
      <c r="Z59" s="1">
        <v>0</v>
      </c>
      <c r="AA59" s="1">
        <v>1</v>
      </c>
      <c r="AB59" s="1">
        <v>0</v>
      </c>
      <c r="AC59" s="1">
        <v>0</v>
      </c>
      <c r="AD59" s="1">
        <v>0</v>
      </c>
      <c r="AE59" s="1">
        <v>0</v>
      </c>
      <c r="AF59" s="1">
        <v>0</v>
      </c>
      <c r="AG59" s="1">
        <v>0</v>
      </c>
      <c r="AH59" s="1">
        <v>0</v>
      </c>
      <c r="AI59" s="1">
        <v>0</v>
      </c>
      <c r="AJ59" s="1">
        <v>0</v>
      </c>
      <c r="AK59" s="1">
        <v>1</v>
      </c>
      <c r="AL59" s="1">
        <v>0</v>
      </c>
      <c r="AM59" s="1">
        <v>0</v>
      </c>
      <c r="AN59" s="1">
        <v>0</v>
      </c>
      <c r="AO59" s="1">
        <v>0</v>
      </c>
      <c r="AP59" s="1">
        <v>0</v>
      </c>
      <c r="AQ59" s="1">
        <v>0</v>
      </c>
      <c r="AR59" s="1">
        <v>0</v>
      </c>
      <c r="AS59" s="1">
        <v>0</v>
      </c>
      <c r="AT59" s="1">
        <v>0</v>
      </c>
      <c r="AU59" s="1">
        <v>0</v>
      </c>
      <c r="AV59" s="1">
        <v>0</v>
      </c>
      <c r="AW59" s="1">
        <v>0</v>
      </c>
      <c r="AX59" s="1">
        <v>0</v>
      </c>
      <c r="AY59" s="1">
        <v>0</v>
      </c>
      <c r="AZ59" s="1">
        <v>0</v>
      </c>
      <c r="BA59" s="1">
        <v>0</v>
      </c>
      <c r="BB59" s="1">
        <v>0</v>
      </c>
      <c r="BC59" s="1">
        <v>0</v>
      </c>
      <c r="BD59" s="1">
        <v>0</v>
      </c>
      <c r="BE59" s="1">
        <v>0</v>
      </c>
      <c r="BF59" s="1">
        <v>0</v>
      </c>
      <c r="BG59" s="1">
        <v>0</v>
      </c>
      <c r="BH59" s="1">
        <v>0</v>
      </c>
      <c r="BI59" s="1">
        <v>0</v>
      </c>
      <c r="BJ59" s="1">
        <v>0</v>
      </c>
      <c r="BK59" s="1">
        <v>0</v>
      </c>
      <c r="BL59" s="1">
        <v>0</v>
      </c>
      <c r="BM59" s="1">
        <v>0</v>
      </c>
      <c r="BN59" s="1">
        <v>0</v>
      </c>
      <c r="BO59" s="1">
        <v>0</v>
      </c>
      <c r="BP59" s="1">
        <v>0</v>
      </c>
      <c r="BQ59" s="1">
        <v>0</v>
      </c>
      <c r="BR59" s="1">
        <v>0</v>
      </c>
      <c r="BS59" s="1">
        <v>0</v>
      </c>
      <c r="BT59" s="1">
        <v>0</v>
      </c>
      <c r="BU59" s="1">
        <v>0</v>
      </c>
      <c r="BV59" s="1">
        <v>0</v>
      </c>
      <c r="BW59" s="1">
        <v>0</v>
      </c>
      <c r="BX59" s="1">
        <v>0</v>
      </c>
      <c r="BY59" s="1">
        <v>0</v>
      </c>
    </row>
    <row r="60" spans="1:77" x14ac:dyDescent="0.3">
      <c r="A60" s="2">
        <v>45517</v>
      </c>
      <c r="B60" s="1">
        <v>226</v>
      </c>
      <c r="C60" s="1" t="s">
        <v>208</v>
      </c>
      <c r="D60" s="1" t="s">
        <v>201</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c r="X60" s="1">
        <v>0</v>
      </c>
      <c r="Y60" s="1">
        <v>0</v>
      </c>
      <c r="Z60" s="1">
        <v>0</v>
      </c>
      <c r="AA60" s="1">
        <v>0</v>
      </c>
      <c r="AB60" s="1">
        <v>0</v>
      </c>
      <c r="AC60" s="1">
        <v>0</v>
      </c>
      <c r="AD60" s="1">
        <v>0</v>
      </c>
      <c r="AE60" s="1">
        <v>0</v>
      </c>
      <c r="AF60" s="1">
        <v>0</v>
      </c>
      <c r="AG60" s="1">
        <v>0</v>
      </c>
      <c r="AH60" s="1">
        <v>0</v>
      </c>
      <c r="AI60" s="1">
        <v>0</v>
      </c>
      <c r="AJ60" s="1">
        <v>0</v>
      </c>
      <c r="AK60" s="1">
        <v>0</v>
      </c>
      <c r="AL60" s="1">
        <v>0</v>
      </c>
      <c r="AM60" s="1">
        <v>0</v>
      </c>
      <c r="AN60" s="1">
        <v>0</v>
      </c>
      <c r="AO60" s="1">
        <v>0</v>
      </c>
      <c r="AP60" s="1">
        <v>0</v>
      </c>
      <c r="AQ60" s="1">
        <v>0</v>
      </c>
      <c r="AR60" s="1">
        <v>0</v>
      </c>
      <c r="AS60" s="1">
        <v>0</v>
      </c>
      <c r="AT60" s="1">
        <v>0</v>
      </c>
      <c r="AU60" s="1">
        <v>0</v>
      </c>
      <c r="AV60" s="1">
        <v>0</v>
      </c>
      <c r="AW60" s="1">
        <v>0</v>
      </c>
      <c r="AX60" s="1">
        <v>1</v>
      </c>
      <c r="AY60" s="1">
        <v>0</v>
      </c>
      <c r="AZ60" s="1">
        <v>0</v>
      </c>
      <c r="BA60" s="1">
        <v>0</v>
      </c>
      <c r="BB60" s="1">
        <v>0</v>
      </c>
      <c r="BC60" s="1">
        <v>0</v>
      </c>
      <c r="BD60" s="1">
        <v>0</v>
      </c>
      <c r="BE60" s="1">
        <v>0</v>
      </c>
      <c r="BF60" s="1">
        <v>0</v>
      </c>
      <c r="BG60" s="1">
        <v>0</v>
      </c>
      <c r="BH60" s="1">
        <v>0</v>
      </c>
      <c r="BI60" s="1">
        <v>0</v>
      </c>
      <c r="BJ60" s="1">
        <v>0</v>
      </c>
      <c r="BK60" s="1">
        <v>0</v>
      </c>
      <c r="BL60" s="1">
        <v>0</v>
      </c>
      <c r="BM60" s="1">
        <v>0</v>
      </c>
      <c r="BN60" s="1">
        <v>0</v>
      </c>
      <c r="BO60" s="1">
        <v>0</v>
      </c>
      <c r="BP60" s="1">
        <v>0</v>
      </c>
      <c r="BQ60" s="1">
        <v>0</v>
      </c>
      <c r="BR60" s="1">
        <v>0</v>
      </c>
      <c r="BS60" s="1">
        <v>0</v>
      </c>
      <c r="BT60" s="1">
        <v>0</v>
      </c>
      <c r="BU60" s="1">
        <v>0</v>
      </c>
      <c r="BV60" s="1">
        <v>0</v>
      </c>
      <c r="BW60" s="1">
        <v>0</v>
      </c>
      <c r="BX60" s="1">
        <v>0</v>
      </c>
      <c r="BY60" s="1">
        <v>0</v>
      </c>
    </row>
    <row r="61" spans="1:77" x14ac:dyDescent="0.3">
      <c r="A61" s="2">
        <v>45524</v>
      </c>
      <c r="B61" s="1">
        <v>233</v>
      </c>
      <c r="C61" s="1" t="s">
        <v>208</v>
      </c>
      <c r="D61" s="1" t="s">
        <v>175</v>
      </c>
      <c r="E61" s="1">
        <v>0</v>
      </c>
      <c r="F61" s="1">
        <v>0</v>
      </c>
      <c r="G61" s="1">
        <v>1</v>
      </c>
      <c r="H61" s="1">
        <v>0</v>
      </c>
      <c r="I61" s="1">
        <v>0</v>
      </c>
      <c r="J61" s="1">
        <v>1</v>
      </c>
      <c r="K61" s="1">
        <v>0</v>
      </c>
      <c r="L61" s="1">
        <v>0</v>
      </c>
      <c r="M61" s="1">
        <v>0</v>
      </c>
      <c r="N61" s="1">
        <v>0</v>
      </c>
      <c r="O61" s="1">
        <v>0</v>
      </c>
      <c r="P61" s="1">
        <v>0</v>
      </c>
      <c r="Q61" s="1">
        <v>0</v>
      </c>
      <c r="R61" s="1">
        <v>0</v>
      </c>
      <c r="S61" s="1">
        <v>0</v>
      </c>
      <c r="T61" s="1">
        <v>0</v>
      </c>
      <c r="U61" s="1">
        <v>0</v>
      </c>
      <c r="V61" s="1">
        <v>0</v>
      </c>
      <c r="W61" s="1">
        <v>0</v>
      </c>
      <c r="X61" s="1">
        <v>0</v>
      </c>
      <c r="Y61" s="1">
        <v>0</v>
      </c>
      <c r="Z61" s="1">
        <v>0</v>
      </c>
      <c r="AA61" s="1">
        <v>0</v>
      </c>
      <c r="AB61" s="1">
        <v>0</v>
      </c>
      <c r="AC61" s="1">
        <v>0</v>
      </c>
      <c r="AD61" s="1">
        <v>0</v>
      </c>
      <c r="AE61" s="1">
        <v>0</v>
      </c>
      <c r="AF61" s="1">
        <v>0</v>
      </c>
      <c r="AG61" s="1">
        <v>0</v>
      </c>
      <c r="AH61" s="1">
        <v>0</v>
      </c>
      <c r="AI61" s="1">
        <v>0</v>
      </c>
      <c r="AJ61" s="1">
        <v>0</v>
      </c>
      <c r="AK61" s="1">
        <v>0</v>
      </c>
      <c r="AL61" s="1">
        <v>0</v>
      </c>
      <c r="AM61" s="1">
        <v>0</v>
      </c>
      <c r="AN61" s="1">
        <v>0</v>
      </c>
      <c r="AO61" s="1">
        <v>0</v>
      </c>
      <c r="AP61" s="1">
        <v>0</v>
      </c>
      <c r="AQ61" s="1">
        <v>0</v>
      </c>
      <c r="AR61" s="1">
        <v>0</v>
      </c>
      <c r="AS61" s="1">
        <v>0</v>
      </c>
      <c r="AT61" s="1">
        <v>0</v>
      </c>
      <c r="AU61" s="1">
        <v>0</v>
      </c>
      <c r="AV61" s="1">
        <v>0</v>
      </c>
      <c r="AW61" s="1">
        <v>0</v>
      </c>
      <c r="AX61" s="1">
        <v>0</v>
      </c>
      <c r="AY61" s="1">
        <v>0</v>
      </c>
      <c r="AZ61" s="1">
        <v>0</v>
      </c>
      <c r="BA61" s="1">
        <v>0</v>
      </c>
      <c r="BB61" s="1">
        <v>0</v>
      </c>
      <c r="BC61" s="1">
        <v>1</v>
      </c>
      <c r="BD61" s="1">
        <v>0</v>
      </c>
      <c r="BE61" s="1">
        <v>0</v>
      </c>
      <c r="BF61" s="1">
        <v>0</v>
      </c>
      <c r="BG61" s="1">
        <v>0</v>
      </c>
      <c r="BH61" s="1">
        <v>0</v>
      </c>
      <c r="BI61" s="1">
        <v>0</v>
      </c>
      <c r="BJ61" s="1">
        <v>0</v>
      </c>
      <c r="BK61" s="1">
        <v>0</v>
      </c>
      <c r="BL61" s="1">
        <v>1</v>
      </c>
      <c r="BM61" s="1">
        <v>0</v>
      </c>
      <c r="BN61" s="1">
        <v>0</v>
      </c>
      <c r="BO61" s="1">
        <v>0</v>
      </c>
      <c r="BP61" s="1">
        <v>0</v>
      </c>
      <c r="BQ61" s="1">
        <v>0</v>
      </c>
      <c r="BR61" s="1">
        <v>0</v>
      </c>
      <c r="BS61" s="1">
        <v>0</v>
      </c>
      <c r="BT61" s="1">
        <v>0</v>
      </c>
      <c r="BU61" s="1">
        <v>0</v>
      </c>
      <c r="BV61" s="1">
        <v>0</v>
      </c>
      <c r="BW61" s="1">
        <v>0</v>
      </c>
      <c r="BX61" s="1">
        <v>0</v>
      </c>
      <c r="BY61" s="1">
        <v>0</v>
      </c>
    </row>
    <row r="62" spans="1:77" x14ac:dyDescent="0.3">
      <c r="A62" s="2">
        <v>45491</v>
      </c>
      <c r="B62" s="1">
        <v>200</v>
      </c>
      <c r="C62" s="1" t="s">
        <v>172</v>
      </c>
      <c r="D62" s="1" t="s">
        <v>152</v>
      </c>
      <c r="E62" s="1">
        <v>0</v>
      </c>
      <c r="F62" s="1">
        <v>0</v>
      </c>
      <c r="G62" s="1">
        <v>0</v>
      </c>
      <c r="H62" s="1">
        <v>0</v>
      </c>
      <c r="I62" s="1">
        <v>0</v>
      </c>
      <c r="J62" s="1">
        <v>0</v>
      </c>
      <c r="K62" s="1">
        <v>0</v>
      </c>
      <c r="L62" s="1">
        <v>0</v>
      </c>
      <c r="M62" s="1">
        <v>0</v>
      </c>
      <c r="N62" s="1">
        <v>0</v>
      </c>
      <c r="O62" s="1">
        <v>0</v>
      </c>
      <c r="P62" s="1">
        <v>0</v>
      </c>
      <c r="Q62" s="1">
        <v>0</v>
      </c>
      <c r="R62" s="1">
        <v>0</v>
      </c>
      <c r="S62" s="1">
        <v>0</v>
      </c>
      <c r="T62" s="1">
        <v>0</v>
      </c>
      <c r="U62" s="1">
        <v>1</v>
      </c>
      <c r="V62" s="1">
        <v>0</v>
      </c>
      <c r="W62" s="1">
        <v>0</v>
      </c>
      <c r="X62" s="1">
        <v>0</v>
      </c>
      <c r="Y62" s="1">
        <v>0</v>
      </c>
      <c r="Z62" s="1">
        <v>0</v>
      </c>
      <c r="AA62" s="1">
        <v>0</v>
      </c>
      <c r="AB62" s="1">
        <v>0</v>
      </c>
      <c r="AC62" s="1">
        <v>0</v>
      </c>
      <c r="AD62" s="1">
        <v>0</v>
      </c>
      <c r="AE62" s="1">
        <v>0</v>
      </c>
      <c r="AF62" s="1">
        <v>0</v>
      </c>
      <c r="AG62" s="1">
        <v>0</v>
      </c>
      <c r="AH62" s="1">
        <v>0</v>
      </c>
      <c r="AI62" s="1">
        <v>0</v>
      </c>
      <c r="AJ62" s="1">
        <v>0</v>
      </c>
      <c r="AK62" s="1">
        <v>0</v>
      </c>
      <c r="AL62" s="1">
        <v>1</v>
      </c>
      <c r="AM62" s="1">
        <v>0</v>
      </c>
      <c r="AN62" s="1">
        <v>0</v>
      </c>
      <c r="AO62" s="1">
        <v>0</v>
      </c>
      <c r="AP62" s="1">
        <v>0</v>
      </c>
      <c r="AQ62" s="1">
        <v>0</v>
      </c>
      <c r="AR62" s="1">
        <v>0</v>
      </c>
      <c r="AS62" s="1">
        <v>0</v>
      </c>
      <c r="AT62" s="1">
        <v>0</v>
      </c>
      <c r="AU62" s="1">
        <v>0</v>
      </c>
      <c r="AV62" s="1">
        <v>0</v>
      </c>
      <c r="AW62" s="1">
        <v>0</v>
      </c>
      <c r="AX62" s="1">
        <v>0</v>
      </c>
      <c r="AY62" s="1">
        <v>0</v>
      </c>
      <c r="AZ62" s="1">
        <v>0</v>
      </c>
      <c r="BA62" s="1">
        <v>0</v>
      </c>
      <c r="BB62" s="1">
        <v>0</v>
      </c>
      <c r="BC62" s="1">
        <v>0</v>
      </c>
      <c r="BD62" s="1">
        <v>0</v>
      </c>
      <c r="BE62" s="1">
        <v>0</v>
      </c>
      <c r="BF62" s="1">
        <v>0</v>
      </c>
      <c r="BG62" s="1">
        <v>0</v>
      </c>
      <c r="BH62" s="1">
        <v>0</v>
      </c>
      <c r="BI62" s="1">
        <v>0</v>
      </c>
      <c r="BJ62" s="1">
        <v>0</v>
      </c>
      <c r="BK62" s="1">
        <v>0</v>
      </c>
      <c r="BL62" s="1">
        <v>0</v>
      </c>
      <c r="BM62" s="1">
        <v>0</v>
      </c>
      <c r="BN62" s="1">
        <v>0</v>
      </c>
      <c r="BO62" s="1">
        <v>0</v>
      </c>
      <c r="BP62" s="1">
        <v>0</v>
      </c>
      <c r="BQ62" s="1">
        <v>0</v>
      </c>
      <c r="BR62" s="1">
        <v>0</v>
      </c>
      <c r="BS62" s="1">
        <v>0</v>
      </c>
      <c r="BT62" s="1">
        <v>0</v>
      </c>
      <c r="BU62" s="1">
        <v>0</v>
      </c>
      <c r="BV62" s="1">
        <v>0</v>
      </c>
      <c r="BW62" s="1">
        <v>0</v>
      </c>
      <c r="BX62" s="1">
        <v>0</v>
      </c>
      <c r="BY62" s="1">
        <v>0</v>
      </c>
    </row>
    <row r="63" spans="1:77" x14ac:dyDescent="0.3">
      <c r="A63" s="2">
        <v>45499</v>
      </c>
      <c r="B63" s="1">
        <v>208</v>
      </c>
      <c r="C63" s="1" t="s">
        <v>193</v>
      </c>
      <c r="D63" s="1" t="s">
        <v>152</v>
      </c>
      <c r="E63" s="1">
        <v>0</v>
      </c>
      <c r="F63" s="1">
        <v>0</v>
      </c>
      <c r="G63" s="1">
        <v>0</v>
      </c>
      <c r="H63" s="1">
        <v>0</v>
      </c>
      <c r="I63" s="1">
        <v>0</v>
      </c>
      <c r="J63" s="1">
        <v>0</v>
      </c>
      <c r="K63" s="1">
        <v>0</v>
      </c>
      <c r="L63" s="1">
        <v>0</v>
      </c>
      <c r="M63" s="1">
        <v>0</v>
      </c>
      <c r="N63" s="1">
        <v>0</v>
      </c>
      <c r="O63" s="1">
        <v>0</v>
      </c>
      <c r="P63" s="1">
        <v>0</v>
      </c>
      <c r="Q63" s="1">
        <v>0</v>
      </c>
      <c r="R63" s="1">
        <v>0</v>
      </c>
      <c r="S63" s="1">
        <v>0</v>
      </c>
      <c r="T63" s="1">
        <v>0</v>
      </c>
      <c r="U63" s="1">
        <v>1</v>
      </c>
      <c r="V63" s="1">
        <v>2</v>
      </c>
      <c r="W63" s="1">
        <v>0</v>
      </c>
      <c r="X63" s="1">
        <v>0</v>
      </c>
      <c r="Y63" s="1">
        <v>1</v>
      </c>
      <c r="Z63" s="1">
        <v>0</v>
      </c>
      <c r="AA63" s="1">
        <v>0</v>
      </c>
      <c r="AB63" s="1">
        <v>0</v>
      </c>
      <c r="AC63" s="1">
        <v>0</v>
      </c>
      <c r="AD63" s="1">
        <v>0</v>
      </c>
      <c r="AE63" s="1">
        <v>0</v>
      </c>
      <c r="AF63" s="1">
        <v>0</v>
      </c>
      <c r="AG63" s="1">
        <v>0</v>
      </c>
      <c r="AH63" s="1">
        <v>0</v>
      </c>
      <c r="AI63" s="1">
        <v>0</v>
      </c>
      <c r="AJ63" s="1">
        <v>0</v>
      </c>
      <c r="AK63" s="1">
        <v>0</v>
      </c>
      <c r="AL63" s="1">
        <v>0</v>
      </c>
      <c r="AM63" s="1">
        <v>0</v>
      </c>
      <c r="AN63" s="1">
        <v>0</v>
      </c>
      <c r="AO63" s="1">
        <v>0</v>
      </c>
      <c r="AP63" s="1">
        <v>0</v>
      </c>
      <c r="AQ63" s="1">
        <v>0</v>
      </c>
      <c r="AR63" s="1">
        <v>0</v>
      </c>
      <c r="AS63" s="1">
        <v>0</v>
      </c>
      <c r="AT63" s="1">
        <v>0</v>
      </c>
      <c r="AU63" s="1">
        <v>0</v>
      </c>
      <c r="AV63" s="1">
        <v>0</v>
      </c>
      <c r="AW63" s="1">
        <v>0</v>
      </c>
      <c r="AX63" s="1">
        <v>0</v>
      </c>
      <c r="AY63" s="1">
        <v>0</v>
      </c>
      <c r="AZ63" s="1">
        <v>0</v>
      </c>
      <c r="BA63" s="1">
        <v>0</v>
      </c>
      <c r="BB63" s="1">
        <v>0</v>
      </c>
      <c r="BC63" s="1">
        <v>0</v>
      </c>
      <c r="BD63" s="1">
        <v>0</v>
      </c>
      <c r="BE63" s="1">
        <v>0</v>
      </c>
      <c r="BF63" s="1">
        <v>0</v>
      </c>
      <c r="BG63" s="1">
        <v>0</v>
      </c>
      <c r="BH63" s="1">
        <v>0</v>
      </c>
      <c r="BI63" s="1">
        <v>0</v>
      </c>
      <c r="BJ63" s="1">
        <v>0</v>
      </c>
      <c r="BK63" s="1">
        <v>0</v>
      </c>
      <c r="BL63" s="1">
        <v>3</v>
      </c>
      <c r="BM63" s="1">
        <v>0</v>
      </c>
      <c r="BN63" s="1">
        <v>0</v>
      </c>
      <c r="BO63" s="1">
        <v>0</v>
      </c>
      <c r="BP63" s="1">
        <v>0</v>
      </c>
      <c r="BQ63" s="1">
        <v>0</v>
      </c>
      <c r="BR63" s="1">
        <v>0</v>
      </c>
      <c r="BS63" s="1">
        <v>0</v>
      </c>
      <c r="BT63" s="1">
        <v>0</v>
      </c>
      <c r="BU63" s="1">
        <v>0</v>
      </c>
      <c r="BV63" s="1">
        <v>0</v>
      </c>
      <c r="BW63" s="1">
        <v>0</v>
      </c>
      <c r="BX63" s="1">
        <v>0</v>
      </c>
      <c r="BY63" s="1">
        <v>0</v>
      </c>
    </row>
    <row r="64" spans="1:77" x14ac:dyDescent="0.3">
      <c r="A64" s="2">
        <v>45506</v>
      </c>
      <c r="B64" s="1">
        <v>215</v>
      </c>
      <c r="C64" s="1" t="s">
        <v>193</v>
      </c>
      <c r="D64" s="1" t="s">
        <v>152</v>
      </c>
      <c r="E64" s="1">
        <v>0</v>
      </c>
      <c r="F64" s="1">
        <v>0</v>
      </c>
      <c r="G64" s="1">
        <v>0</v>
      </c>
      <c r="H64" s="1">
        <v>0</v>
      </c>
      <c r="I64" s="1">
        <v>0</v>
      </c>
      <c r="J64" s="1">
        <v>0</v>
      </c>
      <c r="K64" s="1">
        <v>0</v>
      </c>
      <c r="L64" s="1">
        <v>0</v>
      </c>
      <c r="M64" s="1">
        <v>0</v>
      </c>
      <c r="N64" s="1">
        <v>0</v>
      </c>
      <c r="O64" s="1">
        <v>0</v>
      </c>
      <c r="P64" s="1">
        <v>0</v>
      </c>
      <c r="Q64" s="1">
        <v>0</v>
      </c>
      <c r="R64" s="1">
        <v>0</v>
      </c>
      <c r="S64" s="1">
        <v>0</v>
      </c>
      <c r="T64" s="1">
        <v>0</v>
      </c>
      <c r="U64" s="1">
        <v>1</v>
      </c>
      <c r="V64" s="1">
        <v>0</v>
      </c>
      <c r="W64" s="1">
        <v>0</v>
      </c>
      <c r="X64" s="1">
        <v>0</v>
      </c>
      <c r="Y64" s="1">
        <v>0</v>
      </c>
      <c r="Z64" s="1">
        <v>0</v>
      </c>
      <c r="AA64" s="1">
        <v>0</v>
      </c>
      <c r="AB64" s="1">
        <v>0</v>
      </c>
      <c r="AC64" s="1">
        <v>0</v>
      </c>
      <c r="AD64" s="1">
        <v>0</v>
      </c>
      <c r="AE64" s="1">
        <v>0</v>
      </c>
      <c r="AF64" s="1">
        <v>0</v>
      </c>
      <c r="AG64" s="1">
        <v>0</v>
      </c>
      <c r="AH64" s="1">
        <v>0</v>
      </c>
      <c r="AI64" s="1">
        <v>0</v>
      </c>
      <c r="AJ64" s="1">
        <v>0</v>
      </c>
      <c r="AK64" s="1">
        <v>0</v>
      </c>
      <c r="AL64" s="1">
        <v>1</v>
      </c>
      <c r="AM64" s="1">
        <v>0</v>
      </c>
      <c r="AN64" s="1">
        <v>0</v>
      </c>
      <c r="AO64" s="1">
        <v>0</v>
      </c>
      <c r="AP64" s="1">
        <v>0</v>
      </c>
      <c r="AQ64" s="1">
        <v>0</v>
      </c>
      <c r="AR64" s="1">
        <v>0</v>
      </c>
      <c r="AS64" s="1">
        <v>0</v>
      </c>
      <c r="AT64" s="1">
        <v>0</v>
      </c>
      <c r="AU64" s="1">
        <v>0</v>
      </c>
      <c r="AV64" s="1">
        <v>0</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row>
    <row r="65" spans="1:77" x14ac:dyDescent="0.3">
      <c r="A65" s="2">
        <v>45513</v>
      </c>
      <c r="B65" s="1">
        <v>222</v>
      </c>
      <c r="C65" s="1" t="s">
        <v>193</v>
      </c>
      <c r="D65" s="1" t="s">
        <v>152</v>
      </c>
      <c r="E65" s="1">
        <v>0</v>
      </c>
      <c r="F65" s="1">
        <v>0</v>
      </c>
      <c r="G65" s="1">
        <v>0</v>
      </c>
      <c r="H65" s="1">
        <v>0</v>
      </c>
      <c r="I65" s="1">
        <v>0</v>
      </c>
      <c r="J65" s="1">
        <v>0</v>
      </c>
      <c r="K65" s="1">
        <v>0</v>
      </c>
      <c r="L65" s="1">
        <v>0</v>
      </c>
      <c r="M65" s="1">
        <v>0</v>
      </c>
      <c r="N65" s="1">
        <v>0</v>
      </c>
      <c r="O65" s="1">
        <v>0</v>
      </c>
      <c r="P65" s="1">
        <v>0</v>
      </c>
      <c r="Q65" s="1">
        <v>0</v>
      </c>
      <c r="R65" s="1">
        <v>0</v>
      </c>
      <c r="S65" s="1">
        <v>0</v>
      </c>
      <c r="T65" s="1">
        <v>0</v>
      </c>
      <c r="U65" s="1">
        <v>2</v>
      </c>
      <c r="V65" s="1">
        <v>0</v>
      </c>
      <c r="W65" s="1">
        <v>0</v>
      </c>
      <c r="X65" s="1">
        <v>0</v>
      </c>
      <c r="Y65" s="1">
        <v>0</v>
      </c>
      <c r="Z65" s="1">
        <v>0</v>
      </c>
      <c r="AA65" s="1">
        <v>0</v>
      </c>
      <c r="AB65" s="1">
        <v>0</v>
      </c>
      <c r="AC65" s="1">
        <v>0</v>
      </c>
      <c r="AD65" s="1">
        <v>0</v>
      </c>
      <c r="AE65" s="1">
        <v>0</v>
      </c>
      <c r="AF65" s="1">
        <v>0</v>
      </c>
      <c r="AG65" s="1">
        <v>0</v>
      </c>
      <c r="AH65" s="1">
        <v>0</v>
      </c>
      <c r="AI65" s="1">
        <v>0</v>
      </c>
      <c r="AJ65" s="1">
        <v>0</v>
      </c>
      <c r="AK65" s="1">
        <v>0</v>
      </c>
      <c r="AL65" s="1">
        <v>0</v>
      </c>
      <c r="AM65" s="1">
        <v>0</v>
      </c>
      <c r="AN65" s="1">
        <v>0</v>
      </c>
      <c r="AO65" s="1">
        <v>0</v>
      </c>
      <c r="AP65" s="1">
        <v>0</v>
      </c>
      <c r="AQ65" s="1">
        <v>0</v>
      </c>
      <c r="AR65" s="1">
        <v>0</v>
      </c>
      <c r="AS65" s="1">
        <v>0</v>
      </c>
      <c r="AT65" s="1">
        <v>0</v>
      </c>
      <c r="AU65" s="1">
        <v>0</v>
      </c>
      <c r="AV65" s="1">
        <v>0</v>
      </c>
      <c r="AW65" s="1">
        <v>0</v>
      </c>
      <c r="AX65" s="1">
        <v>0</v>
      </c>
      <c r="AY65" s="1">
        <v>0</v>
      </c>
      <c r="AZ65" s="1">
        <v>0</v>
      </c>
      <c r="BA65" s="1">
        <v>0</v>
      </c>
      <c r="BB65" s="1">
        <v>0</v>
      </c>
      <c r="BC65" s="1">
        <v>0</v>
      </c>
      <c r="BD65" s="1">
        <v>0</v>
      </c>
      <c r="BE65" s="1">
        <v>0</v>
      </c>
      <c r="BF65" s="1">
        <v>0</v>
      </c>
      <c r="BG65" s="1">
        <v>0</v>
      </c>
      <c r="BH65" s="1">
        <v>0</v>
      </c>
      <c r="BI65" s="1">
        <v>0</v>
      </c>
      <c r="BJ65" s="1">
        <v>0</v>
      </c>
      <c r="BK65" s="1">
        <v>0</v>
      </c>
      <c r="BL65" s="1">
        <v>0</v>
      </c>
      <c r="BM65" s="1">
        <v>0</v>
      </c>
      <c r="BN65" s="1">
        <v>0</v>
      </c>
      <c r="BO65" s="1">
        <v>0</v>
      </c>
      <c r="BP65" s="1">
        <v>0</v>
      </c>
      <c r="BQ65" s="1">
        <v>0</v>
      </c>
      <c r="BR65" s="1">
        <v>0</v>
      </c>
      <c r="BS65" s="1">
        <v>0</v>
      </c>
      <c r="BT65" s="1">
        <v>0</v>
      </c>
      <c r="BU65" s="1">
        <v>0</v>
      </c>
      <c r="BV65" s="1">
        <v>0</v>
      </c>
      <c r="BW65" s="1">
        <v>0</v>
      </c>
      <c r="BX65" s="1">
        <v>0</v>
      </c>
      <c r="BY65" s="1">
        <v>0</v>
      </c>
    </row>
    <row r="66" spans="1:77" x14ac:dyDescent="0.3">
      <c r="A66" s="2">
        <v>45499</v>
      </c>
      <c r="B66" s="1">
        <v>208</v>
      </c>
      <c r="C66" s="1" t="s">
        <v>192</v>
      </c>
      <c r="D66" s="1" t="s">
        <v>152</v>
      </c>
      <c r="E66" s="1">
        <v>0</v>
      </c>
      <c r="F66" s="1">
        <v>0</v>
      </c>
      <c r="G66" s="1">
        <v>0</v>
      </c>
      <c r="H66" s="1">
        <v>0</v>
      </c>
      <c r="I66" s="1">
        <v>0</v>
      </c>
      <c r="J66" s="1">
        <v>0</v>
      </c>
      <c r="K66" s="1">
        <v>0</v>
      </c>
      <c r="L66" s="1">
        <v>0</v>
      </c>
      <c r="M66" s="1">
        <v>0</v>
      </c>
      <c r="N66" s="1">
        <v>0</v>
      </c>
      <c r="O66" s="1">
        <v>0</v>
      </c>
      <c r="P66" s="1">
        <v>0</v>
      </c>
      <c r="Q66" s="1">
        <v>1</v>
      </c>
      <c r="R66" s="1">
        <v>0</v>
      </c>
      <c r="S66" s="1">
        <v>0</v>
      </c>
      <c r="T66" s="1">
        <v>0</v>
      </c>
      <c r="U66" s="1">
        <v>0</v>
      </c>
      <c r="V66" s="1">
        <v>0</v>
      </c>
      <c r="W66" s="1">
        <v>0</v>
      </c>
      <c r="X66" s="1">
        <v>0</v>
      </c>
      <c r="Y66" s="1">
        <v>1</v>
      </c>
      <c r="Z66" s="1">
        <v>0</v>
      </c>
      <c r="AA66" s="1">
        <v>0</v>
      </c>
      <c r="AB66" s="1">
        <v>0</v>
      </c>
      <c r="AC66" s="1">
        <v>0</v>
      </c>
      <c r="AD66" s="1">
        <v>0</v>
      </c>
      <c r="AE66" s="1">
        <v>0</v>
      </c>
      <c r="AF66" s="1">
        <v>0</v>
      </c>
      <c r="AG66" s="1">
        <v>0</v>
      </c>
      <c r="AH66" s="1">
        <v>0</v>
      </c>
      <c r="AI66" s="1">
        <v>0</v>
      </c>
      <c r="AJ66" s="1">
        <v>0</v>
      </c>
      <c r="AK66" s="1">
        <v>0</v>
      </c>
      <c r="AL66" s="1">
        <v>0</v>
      </c>
      <c r="AM66" s="1">
        <v>0</v>
      </c>
      <c r="AN66" s="1">
        <v>0</v>
      </c>
      <c r="AO66" s="1">
        <v>0</v>
      </c>
      <c r="AP66" s="1">
        <v>0</v>
      </c>
      <c r="AQ66" s="1">
        <v>0</v>
      </c>
      <c r="AR66" s="1">
        <v>0</v>
      </c>
      <c r="AS66" s="1">
        <v>0</v>
      </c>
      <c r="AT66" s="1">
        <v>0</v>
      </c>
      <c r="AU66" s="1">
        <v>0</v>
      </c>
      <c r="AV66" s="1">
        <v>0</v>
      </c>
      <c r="AW66" s="1">
        <v>0</v>
      </c>
      <c r="AX66" s="1">
        <v>0</v>
      </c>
      <c r="AY66" s="1">
        <v>0</v>
      </c>
      <c r="AZ66" s="1">
        <v>0</v>
      </c>
      <c r="BA66" s="1">
        <v>0</v>
      </c>
      <c r="BB66" s="1">
        <v>0</v>
      </c>
      <c r="BC66" s="1">
        <v>0</v>
      </c>
      <c r="BD66" s="1">
        <v>0</v>
      </c>
      <c r="BE66" s="1">
        <v>0</v>
      </c>
      <c r="BF66" s="1">
        <v>0</v>
      </c>
      <c r="BG66" s="1">
        <v>0</v>
      </c>
      <c r="BH66" s="1">
        <v>0</v>
      </c>
      <c r="BI66" s="1">
        <v>0</v>
      </c>
      <c r="BJ66" s="1">
        <v>0</v>
      </c>
      <c r="BK66" s="1">
        <v>0</v>
      </c>
      <c r="BL66" s="1">
        <v>0</v>
      </c>
      <c r="BM66" s="1">
        <v>1</v>
      </c>
      <c r="BN66" s="1">
        <v>0</v>
      </c>
      <c r="BO66" s="1">
        <v>0</v>
      </c>
      <c r="BP66" s="1">
        <v>0</v>
      </c>
      <c r="BQ66" s="1">
        <v>0</v>
      </c>
      <c r="BR66" s="1">
        <v>0</v>
      </c>
      <c r="BS66" s="1">
        <v>0</v>
      </c>
      <c r="BT66" s="1">
        <v>0</v>
      </c>
      <c r="BU66" s="1">
        <v>0</v>
      </c>
      <c r="BV66" s="1">
        <v>0</v>
      </c>
      <c r="BW66" s="1">
        <v>0</v>
      </c>
      <c r="BX66" s="1">
        <v>0</v>
      </c>
      <c r="BY66" s="1">
        <v>0</v>
      </c>
    </row>
    <row r="67" spans="1:77" x14ac:dyDescent="0.3">
      <c r="A67" s="2">
        <v>45505</v>
      </c>
      <c r="B67" s="1">
        <v>214</v>
      </c>
      <c r="C67" s="1" t="s">
        <v>192</v>
      </c>
      <c r="D67" s="1" t="s">
        <v>152</v>
      </c>
      <c r="E67" s="1">
        <v>0</v>
      </c>
      <c r="F67" s="1">
        <v>0</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c r="Z67" s="1">
        <v>0</v>
      </c>
      <c r="AA67" s="1">
        <v>1</v>
      </c>
      <c r="AB67" s="1">
        <v>0</v>
      </c>
      <c r="AC67" s="1">
        <v>0</v>
      </c>
      <c r="AD67" s="1">
        <v>0</v>
      </c>
      <c r="AE67" s="1">
        <v>0</v>
      </c>
      <c r="AF67" s="1">
        <v>0</v>
      </c>
      <c r="AG67" s="1">
        <v>0</v>
      </c>
      <c r="AH67" s="1">
        <v>1</v>
      </c>
      <c r="AI67" s="1">
        <v>0</v>
      </c>
      <c r="AJ67" s="1">
        <v>0</v>
      </c>
      <c r="AK67" s="1">
        <v>0</v>
      </c>
      <c r="AL67" s="1">
        <v>0</v>
      </c>
      <c r="AM67" s="1">
        <v>0</v>
      </c>
      <c r="AN67" s="1">
        <v>0</v>
      </c>
      <c r="AO67" s="1">
        <v>0</v>
      </c>
      <c r="AP67" s="1">
        <v>0</v>
      </c>
      <c r="AQ67" s="1">
        <v>0</v>
      </c>
      <c r="AR67" s="1">
        <v>0</v>
      </c>
      <c r="AS67" s="1">
        <v>0</v>
      </c>
      <c r="AT67" s="1">
        <v>0</v>
      </c>
      <c r="AU67" s="1">
        <v>0</v>
      </c>
      <c r="AV67" s="1">
        <v>0</v>
      </c>
      <c r="AW67" s="1">
        <v>0</v>
      </c>
      <c r="AX67" s="1">
        <v>0</v>
      </c>
      <c r="AY67" s="1">
        <v>0</v>
      </c>
      <c r="AZ67" s="1">
        <v>0</v>
      </c>
      <c r="BA67" s="1">
        <v>0</v>
      </c>
      <c r="BB67" s="1">
        <v>0</v>
      </c>
      <c r="BC67" s="1">
        <v>0</v>
      </c>
      <c r="BD67" s="1">
        <v>0</v>
      </c>
      <c r="BE67" s="1">
        <v>0</v>
      </c>
      <c r="BF67" s="1">
        <v>0</v>
      </c>
      <c r="BG67" s="1">
        <v>0</v>
      </c>
      <c r="BH67" s="1">
        <v>0</v>
      </c>
      <c r="BI67" s="1">
        <v>0</v>
      </c>
      <c r="BJ67" s="1">
        <v>0</v>
      </c>
      <c r="BK67" s="1">
        <v>0</v>
      </c>
      <c r="BL67" s="1">
        <v>1</v>
      </c>
      <c r="BM67" s="1">
        <v>0</v>
      </c>
      <c r="BN67" s="1">
        <v>0</v>
      </c>
      <c r="BO67" s="1">
        <v>0</v>
      </c>
      <c r="BP67" s="1">
        <v>0</v>
      </c>
      <c r="BQ67" s="1">
        <v>0</v>
      </c>
      <c r="BR67" s="1">
        <v>0</v>
      </c>
      <c r="BS67" s="1">
        <v>0</v>
      </c>
      <c r="BT67" s="1">
        <v>0</v>
      </c>
      <c r="BU67" s="1">
        <v>0</v>
      </c>
      <c r="BV67" s="1">
        <v>0</v>
      </c>
      <c r="BW67" s="1">
        <v>0</v>
      </c>
      <c r="BX67" s="1">
        <v>0</v>
      </c>
      <c r="BY67" s="1">
        <v>0</v>
      </c>
    </row>
    <row r="68" spans="1:77" x14ac:dyDescent="0.3">
      <c r="A68" s="2">
        <v>45499</v>
      </c>
      <c r="B68" s="1">
        <v>208</v>
      </c>
      <c r="C68" s="1" t="s">
        <v>190</v>
      </c>
      <c r="D68" s="1" t="s">
        <v>152</v>
      </c>
      <c r="E68" s="1">
        <v>0</v>
      </c>
      <c r="F68" s="1">
        <v>0</v>
      </c>
      <c r="G68" s="1">
        <v>0</v>
      </c>
      <c r="H68" s="1">
        <v>0</v>
      </c>
      <c r="I68" s="1">
        <v>0</v>
      </c>
      <c r="J68" s="1">
        <v>0</v>
      </c>
      <c r="K68" s="1">
        <v>0</v>
      </c>
      <c r="L68" s="1">
        <v>0</v>
      </c>
      <c r="M68" s="1">
        <v>0</v>
      </c>
      <c r="N68" s="1">
        <v>0</v>
      </c>
      <c r="O68" s="1">
        <v>0</v>
      </c>
      <c r="P68" s="1">
        <v>0</v>
      </c>
      <c r="Q68" s="1">
        <v>0</v>
      </c>
      <c r="R68" s="1">
        <v>0</v>
      </c>
      <c r="S68" s="1">
        <v>0</v>
      </c>
      <c r="T68" s="1">
        <v>0</v>
      </c>
      <c r="U68" s="1">
        <v>0</v>
      </c>
      <c r="V68" s="1">
        <v>0</v>
      </c>
      <c r="W68" s="1">
        <v>0</v>
      </c>
      <c r="X68" s="1">
        <v>0</v>
      </c>
      <c r="Y68" s="1">
        <v>0</v>
      </c>
      <c r="Z68" s="1">
        <v>0</v>
      </c>
      <c r="AA68" s="1">
        <v>0</v>
      </c>
      <c r="AB68" s="1">
        <v>0</v>
      </c>
      <c r="AC68" s="1">
        <v>0</v>
      </c>
      <c r="AD68" s="1">
        <v>0</v>
      </c>
      <c r="AE68" s="1">
        <v>0</v>
      </c>
      <c r="AF68" s="1">
        <v>0</v>
      </c>
      <c r="AG68" s="1">
        <v>0</v>
      </c>
      <c r="AH68" s="1">
        <v>0</v>
      </c>
      <c r="AI68" s="1">
        <v>0</v>
      </c>
      <c r="AJ68" s="1">
        <v>0</v>
      </c>
      <c r="AK68" s="1">
        <v>0</v>
      </c>
      <c r="AL68" s="1">
        <v>1</v>
      </c>
      <c r="AM68" s="1">
        <v>0</v>
      </c>
      <c r="AN68" s="1">
        <v>0</v>
      </c>
      <c r="AO68" s="1">
        <v>0</v>
      </c>
      <c r="AP68" s="1">
        <v>0</v>
      </c>
      <c r="AQ68" s="1">
        <v>0</v>
      </c>
      <c r="AR68" s="1">
        <v>0</v>
      </c>
      <c r="AS68" s="1">
        <v>0</v>
      </c>
      <c r="AT68" s="1">
        <v>0</v>
      </c>
      <c r="AU68" s="1">
        <v>0</v>
      </c>
      <c r="AV68" s="1">
        <v>0</v>
      </c>
      <c r="AW68" s="1">
        <v>0</v>
      </c>
      <c r="AX68" s="1">
        <v>0</v>
      </c>
      <c r="AY68" s="1">
        <v>0</v>
      </c>
      <c r="AZ68" s="1">
        <v>0</v>
      </c>
      <c r="BA68" s="1">
        <v>0</v>
      </c>
      <c r="BB68" s="1">
        <v>0</v>
      </c>
      <c r="BC68" s="1">
        <v>0</v>
      </c>
      <c r="BD68" s="1">
        <v>0</v>
      </c>
      <c r="BE68" s="1">
        <v>0</v>
      </c>
      <c r="BF68" s="1">
        <v>0</v>
      </c>
      <c r="BG68" s="1">
        <v>0</v>
      </c>
      <c r="BH68" s="1">
        <v>0</v>
      </c>
      <c r="BI68" s="1">
        <v>3</v>
      </c>
      <c r="BJ68" s="1">
        <v>0</v>
      </c>
      <c r="BK68" s="1">
        <v>1</v>
      </c>
      <c r="BL68" s="1">
        <v>7</v>
      </c>
      <c r="BM68" s="1">
        <v>0</v>
      </c>
      <c r="BN68" s="1">
        <v>0</v>
      </c>
      <c r="BO68" s="1">
        <v>0</v>
      </c>
      <c r="BP68" s="1">
        <v>0</v>
      </c>
      <c r="BQ68" s="1">
        <v>0</v>
      </c>
      <c r="BR68" s="1">
        <v>0</v>
      </c>
      <c r="BS68" s="1">
        <v>0</v>
      </c>
      <c r="BT68" s="1">
        <v>0</v>
      </c>
      <c r="BU68" s="1">
        <v>0</v>
      </c>
      <c r="BV68" s="1">
        <v>0</v>
      </c>
      <c r="BW68" s="1">
        <v>0</v>
      </c>
      <c r="BX68" s="1">
        <v>0</v>
      </c>
      <c r="BY68" s="1">
        <v>0</v>
      </c>
    </row>
    <row r="69" spans="1:77" x14ac:dyDescent="0.3">
      <c r="A69" s="2">
        <v>45503</v>
      </c>
      <c r="B69" s="1">
        <v>212</v>
      </c>
      <c r="C69" s="1" t="s">
        <v>198</v>
      </c>
      <c r="D69" s="1" t="s">
        <v>152</v>
      </c>
      <c r="E69" s="1">
        <v>0</v>
      </c>
      <c r="F69" s="1">
        <v>0</v>
      </c>
      <c r="G69" s="1">
        <v>0</v>
      </c>
      <c r="H69" s="1">
        <v>0</v>
      </c>
      <c r="I69" s="1">
        <v>0</v>
      </c>
      <c r="J69" s="1">
        <v>0</v>
      </c>
      <c r="K69" s="1">
        <v>0</v>
      </c>
      <c r="L69" s="1">
        <v>0</v>
      </c>
      <c r="M69" s="1">
        <v>0</v>
      </c>
      <c r="N69" s="1">
        <v>0</v>
      </c>
      <c r="O69" s="1">
        <v>0</v>
      </c>
      <c r="P69" s="1">
        <v>0</v>
      </c>
      <c r="Q69" s="1">
        <v>0</v>
      </c>
      <c r="R69" s="1">
        <v>0</v>
      </c>
      <c r="S69" s="1">
        <v>0</v>
      </c>
      <c r="T69" s="1">
        <v>0</v>
      </c>
      <c r="U69" s="1">
        <v>1</v>
      </c>
      <c r="V69" s="1">
        <v>0</v>
      </c>
      <c r="W69" s="1">
        <v>0</v>
      </c>
      <c r="X69" s="1">
        <v>0</v>
      </c>
      <c r="Y69" s="1">
        <v>0</v>
      </c>
      <c r="Z69" s="1">
        <v>0</v>
      </c>
      <c r="AA69" s="1">
        <v>0</v>
      </c>
      <c r="AB69" s="1">
        <v>0</v>
      </c>
      <c r="AC69" s="1">
        <v>0</v>
      </c>
      <c r="AD69" s="1">
        <v>0</v>
      </c>
      <c r="AE69" s="1">
        <v>0</v>
      </c>
      <c r="AF69" s="1">
        <v>0</v>
      </c>
      <c r="AG69" s="1">
        <v>0</v>
      </c>
      <c r="AH69" s="1">
        <v>0</v>
      </c>
      <c r="AI69" s="1">
        <v>0</v>
      </c>
      <c r="AJ69" s="1">
        <v>0</v>
      </c>
      <c r="AK69" s="1">
        <v>0</v>
      </c>
      <c r="AL69" s="1">
        <v>1</v>
      </c>
      <c r="AM69" s="1">
        <v>0</v>
      </c>
      <c r="AN69" s="1">
        <v>0</v>
      </c>
      <c r="AO69" s="1">
        <v>0</v>
      </c>
      <c r="AP69" s="1">
        <v>0</v>
      </c>
      <c r="AQ69" s="1">
        <v>0</v>
      </c>
      <c r="AR69" s="1">
        <v>0</v>
      </c>
      <c r="AS69" s="1">
        <v>0</v>
      </c>
      <c r="AT69" s="1">
        <v>0</v>
      </c>
      <c r="AU69" s="1">
        <v>0</v>
      </c>
      <c r="AV69" s="1">
        <v>0</v>
      </c>
      <c r="AW69" s="1">
        <v>0</v>
      </c>
      <c r="AX69" s="1">
        <v>0</v>
      </c>
      <c r="AY69" s="1">
        <v>0</v>
      </c>
      <c r="AZ69" s="1">
        <v>0</v>
      </c>
      <c r="BA69" s="1">
        <v>0</v>
      </c>
      <c r="BB69" s="1">
        <v>0</v>
      </c>
      <c r="BC69" s="1">
        <v>0</v>
      </c>
      <c r="BD69" s="1">
        <v>0</v>
      </c>
      <c r="BE69" s="1">
        <v>0</v>
      </c>
      <c r="BF69" s="1">
        <v>0</v>
      </c>
      <c r="BG69" s="1">
        <v>0</v>
      </c>
      <c r="BH69" s="1">
        <v>0</v>
      </c>
      <c r="BI69" s="1">
        <v>0</v>
      </c>
      <c r="BJ69" s="1">
        <v>0</v>
      </c>
      <c r="BK69" s="1">
        <v>0</v>
      </c>
      <c r="BL69" s="1">
        <v>0</v>
      </c>
      <c r="BM69" s="1">
        <v>0</v>
      </c>
      <c r="BN69" s="1">
        <v>0</v>
      </c>
      <c r="BO69" s="1">
        <v>0</v>
      </c>
      <c r="BP69" s="1">
        <v>0</v>
      </c>
      <c r="BQ69" s="1">
        <v>0</v>
      </c>
      <c r="BR69" s="1">
        <v>0</v>
      </c>
      <c r="BS69" s="1">
        <v>0</v>
      </c>
      <c r="BT69" s="1">
        <v>0</v>
      </c>
      <c r="BU69" s="1">
        <v>0</v>
      </c>
      <c r="BV69" s="1">
        <v>0</v>
      </c>
      <c r="BW69" s="1">
        <v>0</v>
      </c>
      <c r="BX69" s="1">
        <v>0</v>
      </c>
      <c r="BY69" s="1">
        <v>0</v>
      </c>
    </row>
    <row r="70" spans="1:77" x14ac:dyDescent="0.3">
      <c r="A70" s="2">
        <v>45512</v>
      </c>
      <c r="B70" s="1">
        <v>221</v>
      </c>
      <c r="C70" s="1" t="s">
        <v>202</v>
      </c>
      <c r="D70" s="1" t="s">
        <v>201</v>
      </c>
      <c r="E70" s="1">
        <v>0</v>
      </c>
      <c r="F70" s="1">
        <v>0</v>
      </c>
      <c r="G70" s="1">
        <v>0</v>
      </c>
      <c r="H70" s="1">
        <v>0</v>
      </c>
      <c r="I70" s="1">
        <v>0</v>
      </c>
      <c r="J70" s="1">
        <v>0</v>
      </c>
      <c r="K70" s="1">
        <v>0</v>
      </c>
      <c r="L70" s="1">
        <v>0</v>
      </c>
      <c r="M70" s="1">
        <v>0</v>
      </c>
      <c r="N70" s="1">
        <v>0</v>
      </c>
      <c r="O70" s="1">
        <v>0</v>
      </c>
      <c r="P70" s="1">
        <v>0</v>
      </c>
      <c r="Q70" s="1">
        <v>0</v>
      </c>
      <c r="R70" s="1">
        <v>0</v>
      </c>
      <c r="S70" s="1">
        <v>0</v>
      </c>
      <c r="T70" s="1">
        <v>0</v>
      </c>
      <c r="U70" s="1">
        <v>1</v>
      </c>
      <c r="V70" s="1">
        <v>0</v>
      </c>
      <c r="W70" s="1">
        <v>0</v>
      </c>
      <c r="X70" s="1">
        <v>0</v>
      </c>
      <c r="Y70" s="1">
        <v>0</v>
      </c>
      <c r="Z70" s="1">
        <v>0</v>
      </c>
      <c r="AA70" s="1">
        <v>1</v>
      </c>
      <c r="AB70" s="1">
        <v>0</v>
      </c>
      <c r="AC70" s="1">
        <v>0</v>
      </c>
      <c r="AD70" s="1">
        <v>0</v>
      </c>
      <c r="AE70" s="1">
        <v>0</v>
      </c>
      <c r="AF70" s="1">
        <v>0</v>
      </c>
      <c r="AG70" s="1">
        <v>0</v>
      </c>
      <c r="AH70" s="1">
        <v>0</v>
      </c>
      <c r="AI70" s="1">
        <v>0</v>
      </c>
      <c r="AJ70" s="1">
        <v>0</v>
      </c>
      <c r="AK70" s="1">
        <v>1</v>
      </c>
      <c r="AL70" s="1">
        <v>0</v>
      </c>
      <c r="AM70" s="1">
        <v>0</v>
      </c>
      <c r="AN70" s="1">
        <v>0</v>
      </c>
      <c r="AO70" s="1">
        <v>0</v>
      </c>
      <c r="AP70" s="1">
        <v>0</v>
      </c>
      <c r="AQ70" s="1">
        <v>0</v>
      </c>
      <c r="AR70" s="1">
        <v>0</v>
      </c>
      <c r="AS70" s="1">
        <v>0</v>
      </c>
      <c r="AT70" s="1">
        <v>0</v>
      </c>
      <c r="AU70" s="1">
        <v>0</v>
      </c>
      <c r="AV70" s="1">
        <v>0</v>
      </c>
      <c r="AW70" s="1">
        <v>0</v>
      </c>
      <c r="AX70" s="1">
        <v>0</v>
      </c>
      <c r="AY70" s="1">
        <v>0</v>
      </c>
      <c r="AZ70" s="1">
        <v>0</v>
      </c>
      <c r="BA70" s="1">
        <v>0</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row>
    <row r="71" spans="1:77" x14ac:dyDescent="0.3">
      <c r="A71" s="2">
        <v>45517</v>
      </c>
      <c r="B71" s="1">
        <v>226</v>
      </c>
      <c r="C71" s="1" t="s">
        <v>202</v>
      </c>
      <c r="D71" s="1" t="s">
        <v>201</v>
      </c>
      <c r="E71" s="1">
        <v>0</v>
      </c>
      <c r="F71" s="1">
        <v>0</v>
      </c>
      <c r="G71" s="1">
        <v>0</v>
      </c>
      <c r="H71" s="1">
        <v>0</v>
      </c>
      <c r="I71" s="1">
        <v>0</v>
      </c>
      <c r="J71" s="1">
        <v>0</v>
      </c>
      <c r="K71" s="1">
        <v>0</v>
      </c>
      <c r="L71" s="1">
        <v>0</v>
      </c>
      <c r="M71" s="1">
        <v>0</v>
      </c>
      <c r="N71" s="1">
        <v>0</v>
      </c>
      <c r="O71" s="1">
        <v>0</v>
      </c>
      <c r="P71" s="1">
        <v>0</v>
      </c>
      <c r="Q71" s="1">
        <v>0</v>
      </c>
      <c r="R71" s="1">
        <v>0</v>
      </c>
      <c r="S71" s="1">
        <v>0</v>
      </c>
      <c r="T71" s="1">
        <v>0</v>
      </c>
      <c r="U71" s="1">
        <v>0</v>
      </c>
      <c r="V71" s="1">
        <v>0</v>
      </c>
      <c r="W71" s="1">
        <v>0</v>
      </c>
      <c r="X71" s="1">
        <v>0</v>
      </c>
      <c r="Y71" s="1">
        <v>0</v>
      </c>
      <c r="Z71" s="1">
        <v>0</v>
      </c>
      <c r="AA71" s="1">
        <v>1</v>
      </c>
      <c r="AB71" s="1">
        <v>0</v>
      </c>
      <c r="AC71" s="1">
        <v>0</v>
      </c>
      <c r="AD71" s="1">
        <v>0</v>
      </c>
      <c r="AE71" s="1">
        <v>0</v>
      </c>
      <c r="AF71" s="1">
        <v>0</v>
      </c>
      <c r="AG71" s="1">
        <v>0</v>
      </c>
      <c r="AH71" s="1">
        <v>0</v>
      </c>
      <c r="AI71" s="1">
        <v>0</v>
      </c>
      <c r="AJ71" s="1">
        <v>0</v>
      </c>
      <c r="AK71" s="1">
        <v>1</v>
      </c>
      <c r="AL71" s="1">
        <v>0</v>
      </c>
      <c r="AM71" s="1">
        <v>0</v>
      </c>
      <c r="AN71" s="1">
        <v>0</v>
      </c>
      <c r="AO71" s="1">
        <v>0</v>
      </c>
      <c r="AP71" s="1">
        <v>0</v>
      </c>
      <c r="AQ71" s="1">
        <v>0</v>
      </c>
      <c r="AR71" s="1">
        <v>0</v>
      </c>
      <c r="AS71" s="1">
        <v>0</v>
      </c>
      <c r="AT71" s="1">
        <v>0</v>
      </c>
      <c r="AU71" s="1">
        <v>0</v>
      </c>
      <c r="AV71" s="1">
        <v>0</v>
      </c>
      <c r="AW71" s="1">
        <v>0</v>
      </c>
      <c r="AX71" s="1">
        <v>0</v>
      </c>
      <c r="AY71" s="1">
        <v>0</v>
      </c>
      <c r="AZ71" s="1">
        <v>0</v>
      </c>
      <c r="BA71" s="1">
        <v>0</v>
      </c>
      <c r="BB71" s="1">
        <v>0</v>
      </c>
      <c r="BC71" s="1">
        <v>0</v>
      </c>
      <c r="BD71" s="1">
        <v>0</v>
      </c>
      <c r="BE71" s="1">
        <v>0</v>
      </c>
      <c r="BF71" s="1">
        <v>0</v>
      </c>
      <c r="BG71" s="1">
        <v>0</v>
      </c>
      <c r="BH71" s="1">
        <v>0</v>
      </c>
      <c r="BI71" s="1">
        <v>0</v>
      </c>
      <c r="BJ71" s="1">
        <v>0</v>
      </c>
      <c r="BK71" s="1">
        <v>0</v>
      </c>
      <c r="BL71" s="1">
        <v>0</v>
      </c>
      <c r="BM71" s="1">
        <v>0</v>
      </c>
      <c r="BN71" s="1">
        <v>0</v>
      </c>
      <c r="BO71" s="1">
        <v>0</v>
      </c>
      <c r="BP71" s="1">
        <v>0</v>
      </c>
      <c r="BQ71" s="1">
        <v>0</v>
      </c>
      <c r="BR71" s="1">
        <v>0</v>
      </c>
      <c r="BS71" s="1">
        <v>0</v>
      </c>
      <c r="BT71" s="1">
        <v>0</v>
      </c>
      <c r="BU71" s="1">
        <v>0</v>
      </c>
      <c r="BV71" s="1">
        <v>0</v>
      </c>
      <c r="BW71" s="1">
        <v>0</v>
      </c>
      <c r="BX71" s="1">
        <v>0</v>
      </c>
      <c r="BY71" s="1">
        <v>0</v>
      </c>
    </row>
    <row r="72" spans="1:77" x14ac:dyDescent="0.3">
      <c r="A72" s="2">
        <v>45524</v>
      </c>
      <c r="B72" s="1">
        <v>233</v>
      </c>
      <c r="C72" s="1" t="s">
        <v>202</v>
      </c>
      <c r="D72" s="1" t="s">
        <v>175</v>
      </c>
      <c r="E72" s="1">
        <v>0</v>
      </c>
      <c r="F72" s="1">
        <v>0</v>
      </c>
      <c r="G72" s="1">
        <v>0</v>
      </c>
      <c r="H72" s="1">
        <v>0</v>
      </c>
      <c r="I72" s="1">
        <v>1</v>
      </c>
      <c r="J72" s="1">
        <v>1</v>
      </c>
      <c r="K72" s="1">
        <v>0</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c r="AE72" s="1">
        <v>0</v>
      </c>
      <c r="AF72" s="1">
        <v>0</v>
      </c>
      <c r="AG72" s="1">
        <v>0</v>
      </c>
      <c r="AH72" s="1">
        <v>0</v>
      </c>
      <c r="AI72" s="1">
        <v>0</v>
      </c>
      <c r="AJ72" s="1">
        <v>0</v>
      </c>
      <c r="AK72" s="1">
        <v>0</v>
      </c>
      <c r="AL72" s="1">
        <v>0</v>
      </c>
      <c r="AM72" s="1">
        <v>0</v>
      </c>
      <c r="AN72" s="1">
        <v>0</v>
      </c>
      <c r="AO72" s="1">
        <v>0</v>
      </c>
      <c r="AP72" s="1">
        <v>0</v>
      </c>
      <c r="AQ72" s="1">
        <v>0</v>
      </c>
      <c r="AR72" s="1">
        <v>0</v>
      </c>
      <c r="AS72" s="1">
        <v>0</v>
      </c>
      <c r="AT72" s="1">
        <v>0</v>
      </c>
      <c r="AU72" s="1">
        <v>0</v>
      </c>
      <c r="AV72" s="1">
        <v>0</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row>
    <row r="73" spans="1:77" x14ac:dyDescent="0.3">
      <c r="A73" s="2">
        <v>45476</v>
      </c>
      <c r="B73" s="1">
        <v>185</v>
      </c>
      <c r="C73" s="1" t="s">
        <v>151</v>
      </c>
      <c r="D73" s="1" t="s">
        <v>152</v>
      </c>
      <c r="E73" s="1">
        <v>0</v>
      </c>
      <c r="F73" s="1">
        <v>0</v>
      </c>
      <c r="G73" s="1">
        <v>0</v>
      </c>
      <c r="H73" s="1">
        <v>0</v>
      </c>
      <c r="I73" s="1">
        <v>0</v>
      </c>
      <c r="J73" s="1">
        <v>0</v>
      </c>
      <c r="K73" s="1">
        <v>1</v>
      </c>
      <c r="L73" s="1">
        <v>1</v>
      </c>
      <c r="M73" s="1">
        <v>0</v>
      </c>
      <c r="N73" s="1">
        <v>0</v>
      </c>
      <c r="O73" s="1">
        <v>0</v>
      </c>
      <c r="P73" s="1">
        <v>0</v>
      </c>
      <c r="Q73" s="1">
        <v>0</v>
      </c>
      <c r="R73" s="1">
        <v>0</v>
      </c>
      <c r="S73" s="1">
        <v>0</v>
      </c>
      <c r="T73" s="1">
        <v>0</v>
      </c>
      <c r="U73" s="1">
        <v>1</v>
      </c>
      <c r="V73" s="1">
        <v>0</v>
      </c>
      <c r="W73" s="1">
        <v>0</v>
      </c>
      <c r="X73" s="1">
        <v>0</v>
      </c>
      <c r="Y73" s="1">
        <v>1</v>
      </c>
      <c r="Z73" s="1">
        <v>0</v>
      </c>
      <c r="AA73" s="1">
        <v>1</v>
      </c>
      <c r="AB73" s="1">
        <v>0</v>
      </c>
      <c r="AC73" s="1">
        <v>0</v>
      </c>
      <c r="AD73" s="1">
        <v>0</v>
      </c>
      <c r="AE73" s="1">
        <v>0</v>
      </c>
      <c r="AF73" s="1">
        <v>0</v>
      </c>
      <c r="AG73" s="1">
        <v>0</v>
      </c>
      <c r="AH73" s="1">
        <v>1</v>
      </c>
      <c r="AI73" s="1">
        <v>0</v>
      </c>
      <c r="AJ73" s="1">
        <v>0</v>
      </c>
      <c r="AK73" s="1">
        <v>0</v>
      </c>
      <c r="AL73" s="1">
        <v>0</v>
      </c>
      <c r="AM73" s="1">
        <v>0</v>
      </c>
      <c r="AN73" s="1">
        <v>0</v>
      </c>
      <c r="AO73" s="1">
        <v>0</v>
      </c>
      <c r="AP73" s="1">
        <v>0</v>
      </c>
      <c r="AQ73" s="1">
        <v>0</v>
      </c>
      <c r="AR73" s="1">
        <v>0</v>
      </c>
      <c r="AS73" s="1">
        <v>0</v>
      </c>
      <c r="AT73" s="1">
        <v>0</v>
      </c>
      <c r="AU73" s="1">
        <v>0</v>
      </c>
      <c r="AV73" s="1">
        <v>0</v>
      </c>
      <c r="AW73" s="1">
        <v>0</v>
      </c>
      <c r="AX73" s="1">
        <v>1</v>
      </c>
      <c r="AY73" s="1">
        <v>0</v>
      </c>
      <c r="AZ73" s="1">
        <v>0</v>
      </c>
      <c r="BA73" s="1">
        <v>0</v>
      </c>
      <c r="BB73" s="1">
        <v>0</v>
      </c>
      <c r="BC73" s="1">
        <v>1</v>
      </c>
      <c r="BD73" s="1">
        <v>0</v>
      </c>
      <c r="BE73" s="1">
        <v>0</v>
      </c>
      <c r="BF73" s="1">
        <v>0</v>
      </c>
      <c r="BG73" s="1">
        <v>0</v>
      </c>
      <c r="BH73" s="1">
        <v>0</v>
      </c>
      <c r="BI73" s="1">
        <v>0</v>
      </c>
      <c r="BJ73" s="1">
        <v>0</v>
      </c>
      <c r="BK73" s="1">
        <v>1</v>
      </c>
      <c r="BL73" s="1">
        <v>10</v>
      </c>
      <c r="BM73" s="1">
        <v>0</v>
      </c>
      <c r="BN73" s="1">
        <v>0</v>
      </c>
      <c r="BO73" s="1">
        <v>0</v>
      </c>
      <c r="BP73" s="1">
        <v>0</v>
      </c>
      <c r="BQ73" s="1">
        <v>1</v>
      </c>
      <c r="BR73" s="1">
        <v>0</v>
      </c>
      <c r="BS73" s="1">
        <v>0</v>
      </c>
      <c r="BT73" s="1">
        <v>1</v>
      </c>
      <c r="BU73" s="1">
        <v>0</v>
      </c>
      <c r="BV73" s="1">
        <v>0</v>
      </c>
      <c r="BW73" s="1">
        <v>0</v>
      </c>
      <c r="BX73" s="1">
        <v>0</v>
      </c>
      <c r="BY73" s="1">
        <v>0</v>
      </c>
    </row>
    <row r="74" spans="1:77" x14ac:dyDescent="0.3">
      <c r="A74" s="2">
        <v>45490</v>
      </c>
      <c r="B74" s="1">
        <v>199</v>
      </c>
      <c r="C74" s="1" t="s">
        <v>151</v>
      </c>
      <c r="D74" s="1" t="s">
        <v>152</v>
      </c>
      <c r="E74" s="1">
        <v>0</v>
      </c>
      <c r="F74" s="1">
        <v>0</v>
      </c>
      <c r="G74" s="1">
        <v>0</v>
      </c>
      <c r="H74" s="1">
        <v>0</v>
      </c>
      <c r="I74" s="1">
        <v>0</v>
      </c>
      <c r="J74" s="1">
        <v>0</v>
      </c>
      <c r="K74" s="1">
        <v>0</v>
      </c>
      <c r="L74" s="1">
        <v>0</v>
      </c>
      <c r="M74" s="1">
        <v>0</v>
      </c>
      <c r="N74" s="1">
        <v>0</v>
      </c>
      <c r="O74" s="1">
        <v>0</v>
      </c>
      <c r="P74" s="1">
        <v>0</v>
      </c>
      <c r="Q74" s="1">
        <v>0</v>
      </c>
      <c r="R74" s="1">
        <v>0</v>
      </c>
      <c r="S74" s="1">
        <v>0</v>
      </c>
      <c r="T74" s="1">
        <v>0</v>
      </c>
      <c r="U74" s="1">
        <v>2</v>
      </c>
      <c r="V74" s="1">
        <v>0</v>
      </c>
      <c r="W74" s="1">
        <v>0</v>
      </c>
      <c r="X74" s="1">
        <v>0</v>
      </c>
      <c r="Y74" s="1">
        <v>2</v>
      </c>
      <c r="Z74" s="1">
        <v>0</v>
      </c>
      <c r="AA74" s="1">
        <v>0</v>
      </c>
      <c r="AB74" s="1">
        <v>0</v>
      </c>
      <c r="AC74" s="1">
        <v>0</v>
      </c>
      <c r="AD74" s="1">
        <v>0</v>
      </c>
      <c r="AE74" s="1">
        <v>0</v>
      </c>
      <c r="AF74" s="1">
        <v>0</v>
      </c>
      <c r="AG74" s="1">
        <v>0</v>
      </c>
      <c r="AH74" s="1">
        <v>0</v>
      </c>
      <c r="AI74" s="1">
        <v>0</v>
      </c>
      <c r="AJ74" s="1">
        <v>0</v>
      </c>
      <c r="AK74" s="1">
        <v>0</v>
      </c>
      <c r="AL74" s="1">
        <v>0</v>
      </c>
      <c r="AM74" s="1">
        <v>0</v>
      </c>
      <c r="AN74" s="1">
        <v>0</v>
      </c>
      <c r="AO74" s="1">
        <v>0</v>
      </c>
      <c r="AP74" s="1">
        <v>0</v>
      </c>
      <c r="AQ74" s="1">
        <v>0</v>
      </c>
      <c r="AR74" s="1">
        <v>0</v>
      </c>
      <c r="AS74" s="1">
        <v>0</v>
      </c>
      <c r="AT74" s="1">
        <v>0</v>
      </c>
      <c r="AU74" s="1">
        <v>0</v>
      </c>
      <c r="AV74" s="1">
        <v>0</v>
      </c>
      <c r="AW74" s="1">
        <v>0</v>
      </c>
      <c r="AX74" s="1">
        <v>0</v>
      </c>
      <c r="AY74" s="1">
        <v>0</v>
      </c>
      <c r="AZ74" s="1">
        <v>0</v>
      </c>
      <c r="BA74" s="1">
        <v>0</v>
      </c>
      <c r="BB74" s="1">
        <v>0</v>
      </c>
      <c r="BC74" s="1">
        <v>1</v>
      </c>
      <c r="BD74" s="1">
        <v>0</v>
      </c>
      <c r="BE74" s="1">
        <v>0</v>
      </c>
      <c r="BF74" s="1">
        <v>0</v>
      </c>
      <c r="BG74" s="1">
        <v>0</v>
      </c>
      <c r="BH74" s="1">
        <v>0</v>
      </c>
      <c r="BI74" s="1">
        <v>1</v>
      </c>
      <c r="BJ74" s="1">
        <v>0</v>
      </c>
      <c r="BK74" s="1">
        <v>0</v>
      </c>
      <c r="BL74" s="1">
        <v>4</v>
      </c>
      <c r="BM74" s="1">
        <v>0</v>
      </c>
      <c r="BN74" s="1">
        <v>0</v>
      </c>
      <c r="BO74" s="1">
        <v>0</v>
      </c>
      <c r="BP74" s="1">
        <v>0</v>
      </c>
      <c r="BQ74" s="1">
        <v>0</v>
      </c>
      <c r="BR74" s="1">
        <v>0</v>
      </c>
      <c r="BS74" s="1">
        <v>0</v>
      </c>
      <c r="BT74" s="1">
        <v>0</v>
      </c>
      <c r="BU74" s="1">
        <v>0</v>
      </c>
      <c r="BV74" s="1">
        <v>0</v>
      </c>
      <c r="BW74" s="1">
        <v>0</v>
      </c>
      <c r="BX74" s="1">
        <v>0</v>
      </c>
      <c r="BY74" s="1">
        <v>0</v>
      </c>
    </row>
    <row r="75" spans="1:77" x14ac:dyDescent="0.3">
      <c r="A75" s="2">
        <v>45490</v>
      </c>
      <c r="B75" s="1">
        <v>199</v>
      </c>
      <c r="C75" s="1" t="s">
        <v>151</v>
      </c>
      <c r="D75" s="1" t="s">
        <v>152</v>
      </c>
      <c r="E75" s="1">
        <v>0</v>
      </c>
      <c r="F75" s="1">
        <v>0</v>
      </c>
      <c r="G75" s="1">
        <v>0</v>
      </c>
      <c r="H75" s="1">
        <v>0</v>
      </c>
      <c r="I75" s="1">
        <v>0</v>
      </c>
      <c r="J75" s="1">
        <v>0</v>
      </c>
      <c r="K75" s="1">
        <v>0</v>
      </c>
      <c r="L75" s="1">
        <v>0</v>
      </c>
      <c r="M75" s="1">
        <v>0</v>
      </c>
      <c r="N75" s="1">
        <v>0</v>
      </c>
      <c r="O75" s="1">
        <v>0</v>
      </c>
      <c r="P75" s="1">
        <v>0</v>
      </c>
      <c r="Q75" s="1">
        <v>0</v>
      </c>
      <c r="R75" s="1">
        <v>0</v>
      </c>
      <c r="S75" s="1">
        <v>0</v>
      </c>
      <c r="T75" s="1">
        <v>0</v>
      </c>
      <c r="U75" s="1">
        <v>0</v>
      </c>
      <c r="V75" s="1">
        <v>0</v>
      </c>
      <c r="W75" s="1">
        <v>0</v>
      </c>
      <c r="X75" s="1">
        <v>0</v>
      </c>
      <c r="Y75" s="1">
        <v>0</v>
      </c>
      <c r="Z75" s="1">
        <v>0</v>
      </c>
      <c r="AA75" s="1">
        <v>0</v>
      </c>
      <c r="AB75" s="1">
        <v>0</v>
      </c>
      <c r="AC75" s="1">
        <v>0</v>
      </c>
      <c r="AD75" s="1">
        <v>0</v>
      </c>
      <c r="AE75" s="1">
        <v>0</v>
      </c>
      <c r="AF75" s="1">
        <v>0</v>
      </c>
      <c r="AG75" s="1">
        <v>0</v>
      </c>
      <c r="AH75" s="1">
        <v>0</v>
      </c>
      <c r="AI75" s="1">
        <v>0</v>
      </c>
      <c r="AJ75" s="1">
        <v>0</v>
      </c>
      <c r="AK75" s="1">
        <v>0</v>
      </c>
      <c r="AL75" s="1">
        <v>0</v>
      </c>
      <c r="AM75" s="1">
        <v>0</v>
      </c>
      <c r="AN75" s="1">
        <v>0</v>
      </c>
      <c r="AO75" s="1">
        <v>0</v>
      </c>
      <c r="AP75" s="1">
        <v>0</v>
      </c>
      <c r="AQ75" s="1">
        <v>0</v>
      </c>
      <c r="AR75" s="1">
        <v>0</v>
      </c>
      <c r="AS75" s="1">
        <v>0</v>
      </c>
      <c r="AT75" s="1">
        <v>0</v>
      </c>
      <c r="AU75" s="1">
        <v>0</v>
      </c>
      <c r="AV75" s="1">
        <v>0</v>
      </c>
      <c r="AW75" s="1">
        <v>0</v>
      </c>
      <c r="AX75" s="1">
        <v>0</v>
      </c>
      <c r="AY75" s="1">
        <v>0</v>
      </c>
      <c r="AZ75" s="1">
        <v>0</v>
      </c>
      <c r="BA75" s="1">
        <v>0</v>
      </c>
      <c r="BB75" s="1">
        <v>0</v>
      </c>
      <c r="BC75" s="1">
        <v>0</v>
      </c>
      <c r="BD75" s="1">
        <v>0</v>
      </c>
      <c r="BE75" s="1">
        <v>0</v>
      </c>
      <c r="BF75" s="1">
        <v>0</v>
      </c>
      <c r="BG75" s="1">
        <v>0</v>
      </c>
      <c r="BH75" s="1">
        <v>0</v>
      </c>
      <c r="BI75" s="1">
        <v>0</v>
      </c>
      <c r="BJ75" s="1">
        <v>0</v>
      </c>
      <c r="BK75" s="1">
        <v>1</v>
      </c>
      <c r="BL75" s="1">
        <v>2</v>
      </c>
      <c r="BM75" s="1">
        <v>0</v>
      </c>
      <c r="BN75" s="1">
        <v>0</v>
      </c>
      <c r="BO75" s="1">
        <v>0</v>
      </c>
      <c r="BP75" s="1">
        <v>0</v>
      </c>
      <c r="BQ75" s="1">
        <v>1</v>
      </c>
      <c r="BR75" s="1">
        <v>0</v>
      </c>
      <c r="BS75" s="1">
        <v>0</v>
      </c>
      <c r="BT75" s="1">
        <v>1</v>
      </c>
      <c r="BU75" s="1">
        <v>0</v>
      </c>
      <c r="BV75" s="1">
        <v>0</v>
      </c>
      <c r="BW75" s="1">
        <v>0</v>
      </c>
      <c r="BX75" s="1">
        <v>0</v>
      </c>
      <c r="BY75" s="1">
        <v>0</v>
      </c>
    </row>
    <row r="76" spans="1:77" x14ac:dyDescent="0.3">
      <c r="A76" s="2">
        <v>45498</v>
      </c>
      <c r="B76" s="1">
        <v>207</v>
      </c>
      <c r="C76" s="1" t="s">
        <v>185</v>
      </c>
      <c r="D76" s="1" t="s">
        <v>152</v>
      </c>
      <c r="E76" s="1">
        <v>0</v>
      </c>
      <c r="F76" s="1">
        <v>0</v>
      </c>
      <c r="G76" s="1">
        <v>0</v>
      </c>
      <c r="H76" s="1">
        <v>0</v>
      </c>
      <c r="I76" s="1">
        <v>0</v>
      </c>
      <c r="J76" s="1">
        <v>0</v>
      </c>
      <c r="K76" s="1">
        <v>0</v>
      </c>
      <c r="L76" s="1">
        <v>0</v>
      </c>
      <c r="M76" s="1">
        <v>0</v>
      </c>
      <c r="N76" s="1">
        <v>0</v>
      </c>
      <c r="O76" s="1">
        <v>0</v>
      </c>
      <c r="P76" s="1">
        <v>0</v>
      </c>
      <c r="Q76" s="1">
        <v>0</v>
      </c>
      <c r="R76" s="1">
        <v>0</v>
      </c>
      <c r="S76" s="1">
        <v>0</v>
      </c>
      <c r="T76" s="1">
        <v>0</v>
      </c>
      <c r="U76" s="1">
        <v>2</v>
      </c>
      <c r="V76" s="1">
        <v>0</v>
      </c>
      <c r="W76" s="1">
        <v>0</v>
      </c>
      <c r="X76" s="1">
        <v>0</v>
      </c>
      <c r="Y76" s="1">
        <v>0</v>
      </c>
      <c r="Z76" s="1">
        <v>0</v>
      </c>
      <c r="AA76" s="1">
        <v>1</v>
      </c>
      <c r="AB76" s="1">
        <v>0</v>
      </c>
      <c r="AC76" s="1">
        <v>0</v>
      </c>
      <c r="AD76" s="1">
        <v>0</v>
      </c>
      <c r="AE76" s="1">
        <v>0</v>
      </c>
      <c r="AF76" s="1">
        <v>0</v>
      </c>
      <c r="AG76" s="1">
        <v>0</v>
      </c>
      <c r="AH76" s="1">
        <v>0</v>
      </c>
      <c r="AI76" s="1">
        <v>0</v>
      </c>
      <c r="AJ76" s="1">
        <v>0</v>
      </c>
      <c r="AK76" s="1">
        <v>1</v>
      </c>
      <c r="AL76" s="1">
        <v>1</v>
      </c>
      <c r="AM76" s="1">
        <v>0</v>
      </c>
      <c r="AN76" s="1">
        <v>0</v>
      </c>
      <c r="AO76" s="1">
        <v>0</v>
      </c>
      <c r="AP76" s="1">
        <v>0</v>
      </c>
      <c r="AQ76" s="1">
        <v>0</v>
      </c>
      <c r="AR76" s="1">
        <v>0</v>
      </c>
      <c r="AS76" s="1">
        <v>0</v>
      </c>
      <c r="AT76" s="1">
        <v>0</v>
      </c>
      <c r="AU76" s="1">
        <v>0</v>
      </c>
      <c r="AV76" s="1">
        <v>0</v>
      </c>
      <c r="AW76" s="1">
        <v>0</v>
      </c>
      <c r="AX76" s="1">
        <v>0</v>
      </c>
      <c r="AY76" s="1">
        <v>0</v>
      </c>
      <c r="AZ76" s="1">
        <v>0</v>
      </c>
      <c r="BA76" s="1">
        <v>0</v>
      </c>
      <c r="BB76" s="1">
        <v>0</v>
      </c>
      <c r="BC76" s="1">
        <v>0</v>
      </c>
      <c r="BD76" s="1">
        <v>0</v>
      </c>
      <c r="BE76" s="1">
        <v>0</v>
      </c>
      <c r="BF76" s="1">
        <v>0</v>
      </c>
      <c r="BG76" s="1">
        <v>0</v>
      </c>
      <c r="BH76" s="1">
        <v>0</v>
      </c>
      <c r="BI76" s="1">
        <v>0</v>
      </c>
      <c r="BJ76" s="1">
        <v>0</v>
      </c>
      <c r="BK76" s="1">
        <v>0</v>
      </c>
      <c r="BL76" s="1">
        <v>0</v>
      </c>
      <c r="BM76" s="1">
        <v>0</v>
      </c>
      <c r="BN76" s="1">
        <v>0</v>
      </c>
      <c r="BO76" s="1">
        <v>0</v>
      </c>
      <c r="BP76" s="1">
        <v>0</v>
      </c>
      <c r="BQ76" s="1">
        <v>0</v>
      </c>
      <c r="BR76" s="1">
        <v>0</v>
      </c>
      <c r="BS76" s="1">
        <v>0</v>
      </c>
      <c r="BT76" s="1">
        <v>0</v>
      </c>
      <c r="BU76" s="1">
        <v>0</v>
      </c>
      <c r="BV76" s="1">
        <v>0</v>
      </c>
      <c r="BW76" s="1">
        <v>0</v>
      </c>
      <c r="BX76" s="1">
        <v>0</v>
      </c>
      <c r="BY76" s="1">
        <v>0</v>
      </c>
    </row>
    <row r="77" spans="1:77" x14ac:dyDescent="0.3">
      <c r="A77" s="2">
        <v>45505</v>
      </c>
      <c r="B77" s="1">
        <v>214</v>
      </c>
      <c r="C77" s="1" t="s">
        <v>185</v>
      </c>
      <c r="D77" s="1" t="s">
        <v>152</v>
      </c>
      <c r="E77" s="1">
        <v>0</v>
      </c>
      <c r="F77" s="1">
        <v>0</v>
      </c>
      <c r="G77" s="1">
        <v>0</v>
      </c>
      <c r="H77" s="1">
        <v>0</v>
      </c>
      <c r="I77" s="1">
        <v>0</v>
      </c>
      <c r="J77" s="1">
        <v>0</v>
      </c>
      <c r="K77" s="1">
        <v>0</v>
      </c>
      <c r="L77" s="1">
        <v>0</v>
      </c>
      <c r="M77" s="1">
        <v>0</v>
      </c>
      <c r="N77" s="1">
        <v>0</v>
      </c>
      <c r="O77" s="1">
        <v>0</v>
      </c>
      <c r="P77" s="1">
        <v>0</v>
      </c>
      <c r="Q77" s="1">
        <v>0</v>
      </c>
      <c r="R77" s="1">
        <v>0</v>
      </c>
      <c r="S77" s="1">
        <v>0</v>
      </c>
      <c r="T77" s="1">
        <v>0</v>
      </c>
      <c r="U77" s="1">
        <v>1</v>
      </c>
      <c r="V77" s="1">
        <v>0</v>
      </c>
      <c r="W77" s="1">
        <v>0</v>
      </c>
      <c r="X77" s="1">
        <v>0</v>
      </c>
      <c r="Y77" s="1">
        <v>0</v>
      </c>
      <c r="Z77" s="1">
        <v>0</v>
      </c>
      <c r="AA77" s="1">
        <v>2</v>
      </c>
      <c r="AB77" s="1">
        <v>0</v>
      </c>
      <c r="AC77" s="1">
        <v>0</v>
      </c>
      <c r="AD77" s="1">
        <v>0</v>
      </c>
      <c r="AE77" s="1">
        <v>0</v>
      </c>
      <c r="AF77" s="1">
        <v>0</v>
      </c>
      <c r="AG77" s="1">
        <v>0</v>
      </c>
      <c r="AH77" s="1">
        <v>0</v>
      </c>
      <c r="AI77" s="1">
        <v>0</v>
      </c>
      <c r="AJ77" s="1">
        <v>0</v>
      </c>
      <c r="AK77" s="1">
        <v>2</v>
      </c>
      <c r="AL77" s="1">
        <v>0</v>
      </c>
      <c r="AM77" s="1">
        <v>0</v>
      </c>
      <c r="AN77" s="1">
        <v>0</v>
      </c>
      <c r="AO77" s="1">
        <v>0</v>
      </c>
      <c r="AP77" s="1">
        <v>0</v>
      </c>
      <c r="AQ77" s="1">
        <v>0</v>
      </c>
      <c r="AR77" s="1">
        <v>0</v>
      </c>
      <c r="AS77" s="1">
        <v>0</v>
      </c>
      <c r="AT77" s="1">
        <v>0</v>
      </c>
      <c r="AU77" s="1">
        <v>0</v>
      </c>
      <c r="AV77" s="1">
        <v>0</v>
      </c>
      <c r="AW77" s="1">
        <v>0</v>
      </c>
      <c r="AX77" s="1">
        <v>0</v>
      </c>
      <c r="AY77" s="1">
        <v>0</v>
      </c>
      <c r="AZ77" s="1">
        <v>0</v>
      </c>
      <c r="BA77" s="1">
        <v>0</v>
      </c>
      <c r="BB77" s="1">
        <v>0</v>
      </c>
      <c r="BC77" s="1">
        <v>0</v>
      </c>
      <c r="BD77" s="1">
        <v>0</v>
      </c>
      <c r="BE77" s="1">
        <v>0</v>
      </c>
      <c r="BF77" s="1">
        <v>0</v>
      </c>
      <c r="BG77" s="1">
        <v>0</v>
      </c>
      <c r="BH77" s="1">
        <v>0</v>
      </c>
      <c r="BI77" s="1">
        <v>3</v>
      </c>
      <c r="BJ77" s="1">
        <v>0</v>
      </c>
      <c r="BK77" s="1">
        <v>0</v>
      </c>
      <c r="BL77" s="1">
        <v>2</v>
      </c>
      <c r="BM77" s="1">
        <v>0</v>
      </c>
      <c r="BN77" s="1">
        <v>0</v>
      </c>
      <c r="BO77" s="1">
        <v>0</v>
      </c>
      <c r="BP77" s="1">
        <v>0</v>
      </c>
      <c r="BQ77" s="1">
        <v>1</v>
      </c>
      <c r="BR77" s="1">
        <v>0</v>
      </c>
      <c r="BS77" s="1">
        <v>0</v>
      </c>
      <c r="BT77" s="1">
        <v>0</v>
      </c>
      <c r="BU77" s="1">
        <v>0</v>
      </c>
      <c r="BV77" s="1">
        <v>0</v>
      </c>
      <c r="BW77" s="1">
        <v>0</v>
      </c>
      <c r="BX77" s="1">
        <v>0</v>
      </c>
      <c r="BY77" s="1">
        <v>1</v>
      </c>
    </row>
    <row r="78" spans="1:77" x14ac:dyDescent="0.3">
      <c r="A78" s="2">
        <v>45513</v>
      </c>
      <c r="B78" s="1">
        <v>222</v>
      </c>
      <c r="C78" s="1" t="s">
        <v>185</v>
      </c>
      <c r="D78" s="1" t="s">
        <v>152</v>
      </c>
      <c r="E78" s="1">
        <v>0</v>
      </c>
      <c r="F78" s="1">
        <v>0</v>
      </c>
      <c r="G78" s="1">
        <v>0</v>
      </c>
      <c r="H78" s="1">
        <v>0</v>
      </c>
      <c r="I78" s="1">
        <v>0</v>
      </c>
      <c r="J78" s="1">
        <v>0</v>
      </c>
      <c r="K78" s="1">
        <v>0</v>
      </c>
      <c r="L78" s="1">
        <v>0</v>
      </c>
      <c r="M78" s="1">
        <v>0</v>
      </c>
      <c r="N78" s="1">
        <v>0</v>
      </c>
      <c r="O78" s="1">
        <v>0</v>
      </c>
      <c r="P78" s="1">
        <v>0</v>
      </c>
      <c r="Q78" s="1">
        <v>0</v>
      </c>
      <c r="R78" s="1">
        <v>0</v>
      </c>
      <c r="S78" s="1">
        <v>0</v>
      </c>
      <c r="T78" s="1">
        <v>0</v>
      </c>
      <c r="U78" s="1">
        <v>1</v>
      </c>
      <c r="V78" s="1">
        <v>0</v>
      </c>
      <c r="W78" s="1">
        <v>0</v>
      </c>
      <c r="X78" s="1">
        <v>0</v>
      </c>
      <c r="Y78" s="1">
        <v>1</v>
      </c>
      <c r="Z78" s="1">
        <v>0</v>
      </c>
      <c r="AA78" s="1">
        <v>1</v>
      </c>
      <c r="AB78" s="1">
        <v>0</v>
      </c>
      <c r="AC78" s="1">
        <v>0</v>
      </c>
      <c r="AD78" s="1">
        <v>0</v>
      </c>
      <c r="AE78" s="1">
        <v>0</v>
      </c>
      <c r="AF78" s="1">
        <v>0</v>
      </c>
      <c r="AG78" s="1">
        <v>0</v>
      </c>
      <c r="AH78" s="1">
        <v>0</v>
      </c>
      <c r="AI78" s="1">
        <v>1</v>
      </c>
      <c r="AJ78" s="1">
        <v>0</v>
      </c>
      <c r="AK78" s="1">
        <v>0</v>
      </c>
      <c r="AL78" s="1">
        <v>0</v>
      </c>
      <c r="AM78" s="1">
        <v>0</v>
      </c>
      <c r="AN78" s="1">
        <v>0</v>
      </c>
      <c r="AO78" s="1">
        <v>0</v>
      </c>
      <c r="AP78" s="1">
        <v>0</v>
      </c>
      <c r="AQ78" s="1">
        <v>0</v>
      </c>
      <c r="AR78" s="1">
        <v>0</v>
      </c>
      <c r="AS78" s="1">
        <v>0</v>
      </c>
      <c r="AT78" s="1">
        <v>0</v>
      </c>
      <c r="AU78" s="1">
        <v>0</v>
      </c>
      <c r="AV78" s="1">
        <v>0</v>
      </c>
      <c r="AW78" s="1">
        <v>0</v>
      </c>
      <c r="AX78" s="1">
        <v>0</v>
      </c>
      <c r="AY78" s="1">
        <v>0</v>
      </c>
      <c r="AZ78" s="1">
        <v>0</v>
      </c>
      <c r="BA78" s="1">
        <v>0</v>
      </c>
      <c r="BB78" s="1">
        <v>0</v>
      </c>
      <c r="BC78" s="1">
        <v>0</v>
      </c>
      <c r="BD78" s="1">
        <v>0</v>
      </c>
      <c r="BE78" s="1">
        <v>0</v>
      </c>
      <c r="BF78" s="1">
        <v>0</v>
      </c>
      <c r="BG78" s="1">
        <v>0</v>
      </c>
      <c r="BH78" s="1">
        <v>0</v>
      </c>
      <c r="BI78" s="1">
        <v>0</v>
      </c>
      <c r="BJ78" s="1">
        <v>0</v>
      </c>
      <c r="BK78" s="1">
        <v>0</v>
      </c>
      <c r="BL78" s="1">
        <v>0</v>
      </c>
      <c r="BM78" s="1">
        <v>0</v>
      </c>
      <c r="BN78" s="1">
        <v>0</v>
      </c>
      <c r="BO78" s="1">
        <v>0</v>
      </c>
      <c r="BP78" s="1">
        <v>0</v>
      </c>
      <c r="BQ78" s="1">
        <v>0</v>
      </c>
      <c r="BR78" s="1">
        <v>0</v>
      </c>
      <c r="BS78" s="1">
        <v>0</v>
      </c>
      <c r="BT78" s="1">
        <v>0</v>
      </c>
      <c r="BU78" s="1">
        <v>0</v>
      </c>
      <c r="BV78" s="1">
        <v>0</v>
      </c>
      <c r="BW78" s="1">
        <v>0</v>
      </c>
      <c r="BX78" s="1">
        <v>1</v>
      </c>
      <c r="BY78" s="1">
        <v>0</v>
      </c>
    </row>
    <row r="79" spans="1:77" x14ac:dyDescent="0.3">
      <c r="A79" s="2">
        <v>45525</v>
      </c>
      <c r="B79" s="1">
        <v>234</v>
      </c>
      <c r="C79" s="1" t="s">
        <v>185</v>
      </c>
      <c r="D79" s="1" t="s">
        <v>201</v>
      </c>
      <c r="E79" s="1">
        <v>0</v>
      </c>
      <c r="F79" s="1">
        <v>0</v>
      </c>
      <c r="G79" s="1">
        <v>0</v>
      </c>
      <c r="H79" s="1">
        <v>0</v>
      </c>
      <c r="I79" s="1">
        <v>0</v>
      </c>
      <c r="J79" s="1">
        <v>0</v>
      </c>
      <c r="K79" s="1">
        <v>0</v>
      </c>
      <c r="L79" s="1">
        <v>0</v>
      </c>
      <c r="M79" s="1">
        <v>0</v>
      </c>
      <c r="N79" s="1">
        <v>0</v>
      </c>
      <c r="O79" s="1">
        <v>0</v>
      </c>
      <c r="P79" s="1">
        <v>0</v>
      </c>
      <c r="Q79" s="1">
        <v>0</v>
      </c>
      <c r="R79" s="1">
        <v>1</v>
      </c>
      <c r="S79" s="1">
        <v>0</v>
      </c>
      <c r="T79" s="1">
        <v>0</v>
      </c>
      <c r="U79" s="1">
        <v>0</v>
      </c>
      <c r="V79" s="1">
        <v>0</v>
      </c>
      <c r="W79" s="1">
        <v>0</v>
      </c>
      <c r="X79" s="1">
        <v>0</v>
      </c>
      <c r="Y79" s="1">
        <v>0</v>
      </c>
      <c r="Z79" s="1">
        <v>0</v>
      </c>
      <c r="AA79" s="1">
        <v>0</v>
      </c>
      <c r="AB79" s="1">
        <v>0</v>
      </c>
      <c r="AC79" s="1">
        <v>0</v>
      </c>
      <c r="AD79" s="1">
        <v>0</v>
      </c>
      <c r="AE79" s="1">
        <v>0</v>
      </c>
      <c r="AF79" s="1">
        <v>0</v>
      </c>
      <c r="AG79" s="1">
        <v>0</v>
      </c>
      <c r="AH79" s="1">
        <v>0</v>
      </c>
      <c r="AI79" s="1">
        <v>0</v>
      </c>
      <c r="AJ79" s="1">
        <v>0</v>
      </c>
      <c r="AK79" s="1">
        <v>0</v>
      </c>
      <c r="AL79" s="1">
        <v>0</v>
      </c>
      <c r="AM79" s="1">
        <v>0</v>
      </c>
      <c r="AN79" s="1">
        <v>0</v>
      </c>
      <c r="AO79" s="1">
        <v>0</v>
      </c>
      <c r="AP79" s="1">
        <v>0</v>
      </c>
      <c r="AQ79" s="1">
        <v>0</v>
      </c>
      <c r="AR79" s="1">
        <v>0</v>
      </c>
      <c r="AS79" s="1">
        <v>0</v>
      </c>
      <c r="AT79" s="1">
        <v>0</v>
      </c>
      <c r="AU79" s="1">
        <v>0</v>
      </c>
      <c r="AV79" s="1">
        <v>0</v>
      </c>
      <c r="AW79" s="1">
        <v>0</v>
      </c>
      <c r="AX79" s="1">
        <v>0</v>
      </c>
      <c r="AY79" s="1">
        <v>0</v>
      </c>
      <c r="AZ79" s="1">
        <v>0</v>
      </c>
      <c r="BA79" s="1">
        <v>0</v>
      </c>
      <c r="BB79" s="1">
        <v>0</v>
      </c>
      <c r="BC79" s="1">
        <v>0</v>
      </c>
      <c r="BD79" s="1">
        <v>0</v>
      </c>
      <c r="BE79" s="1">
        <v>0</v>
      </c>
      <c r="BF79" s="1">
        <v>0</v>
      </c>
      <c r="BG79" s="1">
        <v>0</v>
      </c>
      <c r="BH79" s="1">
        <v>0</v>
      </c>
      <c r="BI79" s="1">
        <v>1</v>
      </c>
      <c r="BJ79" s="1">
        <v>0</v>
      </c>
      <c r="BK79" s="1">
        <v>4</v>
      </c>
      <c r="BL79" s="1">
        <v>1</v>
      </c>
      <c r="BM79" s="1">
        <v>0</v>
      </c>
      <c r="BN79" s="1">
        <v>0</v>
      </c>
      <c r="BO79" s="1">
        <v>0</v>
      </c>
      <c r="BP79" s="1">
        <v>0</v>
      </c>
      <c r="BQ79" s="1">
        <v>0</v>
      </c>
      <c r="BR79" s="1">
        <v>0</v>
      </c>
      <c r="BS79" s="1">
        <v>0</v>
      </c>
      <c r="BT79" s="1">
        <v>0</v>
      </c>
      <c r="BU79" s="1">
        <v>0</v>
      </c>
      <c r="BV79" s="1">
        <v>0</v>
      </c>
      <c r="BW79" s="1">
        <v>0</v>
      </c>
      <c r="BX79" s="1">
        <v>0</v>
      </c>
      <c r="BY79" s="1">
        <v>0</v>
      </c>
    </row>
    <row r="80" spans="1:77" x14ac:dyDescent="0.3">
      <c r="A80" s="2">
        <v>45499</v>
      </c>
      <c r="B80" s="1">
        <v>208</v>
      </c>
      <c r="C80" s="1" t="s">
        <v>188</v>
      </c>
      <c r="D80" s="1" t="s">
        <v>152</v>
      </c>
      <c r="E80" s="1">
        <v>0</v>
      </c>
      <c r="F80" s="1">
        <v>0</v>
      </c>
      <c r="G80" s="1">
        <v>0</v>
      </c>
      <c r="H80" s="1">
        <v>0</v>
      </c>
      <c r="I80" s="1">
        <v>0</v>
      </c>
      <c r="J80" s="1">
        <v>0</v>
      </c>
      <c r="K80" s="1">
        <v>0</v>
      </c>
      <c r="L80" s="1">
        <v>0</v>
      </c>
      <c r="M80" s="1">
        <v>0</v>
      </c>
      <c r="N80" s="1">
        <v>0</v>
      </c>
      <c r="O80" s="1">
        <v>0</v>
      </c>
      <c r="P80" s="1">
        <v>0</v>
      </c>
      <c r="Q80" s="1">
        <v>0</v>
      </c>
      <c r="R80" s="1">
        <v>0</v>
      </c>
      <c r="S80" s="1">
        <v>0</v>
      </c>
      <c r="T80" s="1">
        <v>0</v>
      </c>
      <c r="U80" s="1">
        <v>0</v>
      </c>
      <c r="V80" s="1">
        <v>0</v>
      </c>
      <c r="W80" s="1">
        <v>0</v>
      </c>
      <c r="X80" s="1">
        <v>0</v>
      </c>
      <c r="Y80" s="1">
        <v>0</v>
      </c>
      <c r="Z80" s="1">
        <v>0</v>
      </c>
      <c r="AA80" s="1">
        <v>0</v>
      </c>
      <c r="AB80" s="1">
        <v>0</v>
      </c>
      <c r="AC80" s="1">
        <v>0</v>
      </c>
      <c r="AD80" s="1">
        <v>0</v>
      </c>
      <c r="AE80" s="1">
        <v>0</v>
      </c>
      <c r="AF80" s="1">
        <v>0</v>
      </c>
      <c r="AG80" s="1">
        <v>0</v>
      </c>
      <c r="AH80" s="1">
        <v>0</v>
      </c>
      <c r="AI80" s="1">
        <v>0</v>
      </c>
      <c r="AJ80" s="1">
        <v>0</v>
      </c>
      <c r="AK80" s="1">
        <v>0</v>
      </c>
      <c r="AL80" s="1">
        <v>0</v>
      </c>
      <c r="AM80" s="1">
        <v>0</v>
      </c>
      <c r="AN80" s="1">
        <v>1</v>
      </c>
      <c r="AO80" s="1">
        <v>0</v>
      </c>
      <c r="AP80" s="1">
        <v>0</v>
      </c>
      <c r="AQ80" s="1">
        <v>0</v>
      </c>
      <c r="AR80" s="1">
        <v>0</v>
      </c>
      <c r="AS80" s="1">
        <v>0</v>
      </c>
      <c r="AT80" s="1">
        <v>0</v>
      </c>
      <c r="AU80" s="1">
        <v>0</v>
      </c>
      <c r="AV80" s="1">
        <v>0</v>
      </c>
      <c r="AW80" s="1">
        <v>0</v>
      </c>
      <c r="AX80" s="1">
        <v>0</v>
      </c>
      <c r="AY80" s="1">
        <v>0</v>
      </c>
      <c r="AZ80" s="1">
        <v>0</v>
      </c>
      <c r="BA80" s="1">
        <v>0</v>
      </c>
      <c r="BB80" s="1">
        <v>0</v>
      </c>
      <c r="BC80" s="1">
        <v>0</v>
      </c>
      <c r="BD80" s="1">
        <v>0</v>
      </c>
      <c r="BE80" s="1">
        <v>0</v>
      </c>
      <c r="BF80" s="1">
        <v>0</v>
      </c>
      <c r="BG80" s="1">
        <v>0</v>
      </c>
      <c r="BH80" s="1">
        <v>0</v>
      </c>
      <c r="BI80" s="1">
        <v>0</v>
      </c>
      <c r="BJ80" s="1">
        <v>0</v>
      </c>
      <c r="BK80" s="1">
        <v>0</v>
      </c>
      <c r="BL80" s="1">
        <v>0</v>
      </c>
      <c r="BM80" s="1">
        <v>0</v>
      </c>
      <c r="BN80" s="1">
        <v>0</v>
      </c>
      <c r="BO80" s="1">
        <v>0</v>
      </c>
      <c r="BP80" s="1">
        <v>0</v>
      </c>
      <c r="BQ80" s="1">
        <v>0</v>
      </c>
      <c r="BR80" s="1">
        <v>0</v>
      </c>
      <c r="BS80" s="1">
        <v>0</v>
      </c>
      <c r="BT80" s="1">
        <v>0</v>
      </c>
      <c r="BU80" s="1">
        <v>0</v>
      </c>
      <c r="BV80" s="1">
        <v>0</v>
      </c>
      <c r="BW80" s="1">
        <v>0</v>
      </c>
      <c r="BX80" s="1">
        <v>0</v>
      </c>
      <c r="BY80" s="1">
        <v>0</v>
      </c>
    </row>
    <row r="81" spans="1:77" x14ac:dyDescent="0.3">
      <c r="A81" s="2">
        <v>45506</v>
      </c>
      <c r="B81" s="1">
        <v>215</v>
      </c>
      <c r="C81" s="1" t="s">
        <v>188</v>
      </c>
      <c r="D81" s="1" t="s">
        <v>152</v>
      </c>
      <c r="E81" s="1">
        <v>0</v>
      </c>
      <c r="F81" s="1">
        <v>0</v>
      </c>
      <c r="G81" s="1">
        <v>0</v>
      </c>
      <c r="H81" s="1">
        <v>0</v>
      </c>
      <c r="I81" s="1">
        <v>0</v>
      </c>
      <c r="J81" s="1">
        <v>0</v>
      </c>
      <c r="K81" s="1">
        <v>0</v>
      </c>
      <c r="L81" s="1">
        <v>0</v>
      </c>
      <c r="M81" s="1">
        <v>0</v>
      </c>
      <c r="N81" s="1">
        <v>0</v>
      </c>
      <c r="O81" s="1">
        <v>0</v>
      </c>
      <c r="P81" s="1">
        <v>0</v>
      </c>
      <c r="Q81" s="1">
        <v>1</v>
      </c>
      <c r="R81" s="1">
        <v>1</v>
      </c>
      <c r="S81" s="1">
        <v>0</v>
      </c>
      <c r="T81" s="1">
        <v>0</v>
      </c>
      <c r="U81" s="1">
        <v>1</v>
      </c>
      <c r="V81" s="1">
        <v>0</v>
      </c>
      <c r="W81" s="1">
        <v>0</v>
      </c>
      <c r="X81" s="1">
        <v>0</v>
      </c>
      <c r="Y81" s="1">
        <v>0</v>
      </c>
      <c r="Z81" s="1">
        <v>0</v>
      </c>
      <c r="AA81" s="1">
        <v>0</v>
      </c>
      <c r="AB81" s="1">
        <v>0</v>
      </c>
      <c r="AC81" s="1">
        <v>0</v>
      </c>
      <c r="AD81" s="1">
        <v>0</v>
      </c>
      <c r="AE81" s="1">
        <v>0</v>
      </c>
      <c r="AF81" s="1">
        <v>0</v>
      </c>
      <c r="AG81" s="1">
        <v>0</v>
      </c>
      <c r="AH81" s="1">
        <v>0</v>
      </c>
      <c r="AI81" s="1">
        <v>0</v>
      </c>
      <c r="AJ81" s="1">
        <v>0</v>
      </c>
      <c r="AK81" s="1">
        <v>0</v>
      </c>
      <c r="AL81" s="1">
        <v>1</v>
      </c>
      <c r="AM81" s="1">
        <v>0</v>
      </c>
      <c r="AN81" s="1">
        <v>0</v>
      </c>
      <c r="AO81" s="1">
        <v>0</v>
      </c>
      <c r="AP81" s="1">
        <v>0</v>
      </c>
      <c r="AQ81" s="1">
        <v>0</v>
      </c>
      <c r="AR81" s="1">
        <v>0</v>
      </c>
      <c r="AS81" s="1">
        <v>0</v>
      </c>
      <c r="AT81" s="1">
        <v>0</v>
      </c>
      <c r="AU81" s="1">
        <v>0</v>
      </c>
      <c r="AV81" s="1">
        <v>0</v>
      </c>
      <c r="AW81" s="1">
        <v>0</v>
      </c>
      <c r="AX81" s="1">
        <v>0</v>
      </c>
      <c r="AY81" s="1">
        <v>0</v>
      </c>
      <c r="AZ81" s="1">
        <v>0</v>
      </c>
      <c r="BA81" s="1">
        <v>0</v>
      </c>
      <c r="BB81" s="1">
        <v>0</v>
      </c>
      <c r="BC81" s="1">
        <v>0</v>
      </c>
      <c r="BD81" s="1">
        <v>0</v>
      </c>
      <c r="BE81" s="1">
        <v>0</v>
      </c>
      <c r="BF81" s="1">
        <v>0</v>
      </c>
      <c r="BG81" s="1">
        <v>0</v>
      </c>
      <c r="BH81" s="1">
        <v>0</v>
      </c>
      <c r="BI81" s="1">
        <v>0</v>
      </c>
      <c r="BJ81" s="1">
        <v>0</v>
      </c>
      <c r="BK81" s="1">
        <v>0</v>
      </c>
      <c r="BL81" s="1">
        <v>3</v>
      </c>
      <c r="BM81" s="1">
        <v>0</v>
      </c>
      <c r="BN81" s="1">
        <v>0</v>
      </c>
      <c r="BO81" s="1">
        <v>0</v>
      </c>
      <c r="BP81" s="1">
        <v>0</v>
      </c>
      <c r="BQ81" s="1">
        <v>0</v>
      </c>
      <c r="BR81" s="1">
        <v>0</v>
      </c>
      <c r="BS81" s="1">
        <v>0</v>
      </c>
      <c r="BT81" s="1">
        <v>0</v>
      </c>
      <c r="BU81" s="1">
        <v>0</v>
      </c>
      <c r="BV81" s="1">
        <v>0</v>
      </c>
      <c r="BW81" s="1">
        <v>0</v>
      </c>
      <c r="BX81" s="1">
        <v>0</v>
      </c>
      <c r="BY81" s="1">
        <v>0</v>
      </c>
    </row>
    <row r="82" spans="1:77" x14ac:dyDescent="0.3">
      <c r="A82" s="2">
        <v>45512</v>
      </c>
      <c r="B82" s="1">
        <v>221</v>
      </c>
      <c r="C82" s="1" t="s">
        <v>188</v>
      </c>
      <c r="D82" s="1" t="s">
        <v>201</v>
      </c>
      <c r="E82" s="1">
        <v>0</v>
      </c>
      <c r="F82" s="1">
        <v>0</v>
      </c>
      <c r="G82" s="1">
        <v>0</v>
      </c>
      <c r="H82" s="1">
        <v>0</v>
      </c>
      <c r="I82" s="1">
        <v>0</v>
      </c>
      <c r="J82" s="1">
        <v>0</v>
      </c>
      <c r="K82" s="1">
        <v>0</v>
      </c>
      <c r="L82" s="1">
        <v>0</v>
      </c>
      <c r="M82" s="1">
        <v>0</v>
      </c>
      <c r="N82" s="1">
        <v>0</v>
      </c>
      <c r="O82" s="1">
        <v>0</v>
      </c>
      <c r="P82" s="1">
        <v>0</v>
      </c>
      <c r="Q82" s="1">
        <v>0</v>
      </c>
      <c r="R82" s="1">
        <v>0</v>
      </c>
      <c r="S82" s="1">
        <v>0</v>
      </c>
      <c r="T82" s="1">
        <v>1</v>
      </c>
      <c r="U82" s="1">
        <v>0</v>
      </c>
      <c r="V82" s="1">
        <v>1</v>
      </c>
      <c r="W82" s="1">
        <v>0</v>
      </c>
      <c r="X82" s="1">
        <v>0</v>
      </c>
      <c r="Y82" s="1">
        <v>2</v>
      </c>
      <c r="Z82" s="1">
        <v>0</v>
      </c>
      <c r="AA82" s="1">
        <v>1</v>
      </c>
      <c r="AB82" s="1">
        <v>0</v>
      </c>
      <c r="AC82" s="1">
        <v>0</v>
      </c>
      <c r="AD82" s="1">
        <v>0</v>
      </c>
      <c r="AE82" s="1">
        <v>0</v>
      </c>
      <c r="AF82" s="1">
        <v>0</v>
      </c>
      <c r="AG82" s="1">
        <v>0</v>
      </c>
      <c r="AH82" s="1">
        <v>0</v>
      </c>
      <c r="AI82" s="1">
        <v>0</v>
      </c>
      <c r="AJ82" s="1">
        <v>0</v>
      </c>
      <c r="AK82" s="1">
        <v>1</v>
      </c>
      <c r="AL82" s="1">
        <v>0</v>
      </c>
      <c r="AM82" s="1">
        <v>0</v>
      </c>
      <c r="AN82" s="1">
        <v>0</v>
      </c>
      <c r="AO82" s="1">
        <v>0</v>
      </c>
      <c r="AP82" s="1">
        <v>0</v>
      </c>
      <c r="AQ82" s="1">
        <v>0</v>
      </c>
      <c r="AR82" s="1">
        <v>0</v>
      </c>
      <c r="AS82" s="1">
        <v>0</v>
      </c>
      <c r="AT82" s="1">
        <v>0</v>
      </c>
      <c r="AU82" s="1">
        <v>0</v>
      </c>
      <c r="AV82" s="1">
        <v>0</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row>
    <row r="83" spans="1:77" x14ac:dyDescent="0.3">
      <c r="A83" s="2">
        <v>45517</v>
      </c>
      <c r="B83" s="1">
        <v>226</v>
      </c>
      <c r="C83" s="1" t="s">
        <v>188</v>
      </c>
      <c r="D83" s="1" t="s">
        <v>152</v>
      </c>
      <c r="E83" s="1">
        <v>0</v>
      </c>
      <c r="F83" s="1">
        <v>0</v>
      </c>
      <c r="G83" s="1">
        <v>0</v>
      </c>
      <c r="H83" s="1">
        <v>0</v>
      </c>
      <c r="I83" s="1">
        <v>0</v>
      </c>
      <c r="J83" s="1">
        <v>0</v>
      </c>
      <c r="K83" s="1">
        <v>0</v>
      </c>
      <c r="L83" s="1">
        <v>0</v>
      </c>
      <c r="M83" s="1">
        <v>0</v>
      </c>
      <c r="N83" s="1">
        <v>0</v>
      </c>
      <c r="O83" s="1">
        <v>0</v>
      </c>
      <c r="P83" s="1">
        <v>0</v>
      </c>
      <c r="Q83" s="1">
        <v>1</v>
      </c>
      <c r="R83" s="1">
        <v>0</v>
      </c>
      <c r="S83" s="1">
        <v>0</v>
      </c>
      <c r="T83" s="1">
        <v>0</v>
      </c>
      <c r="U83" s="1">
        <v>0</v>
      </c>
      <c r="V83" s="1">
        <v>0</v>
      </c>
      <c r="W83" s="1">
        <v>0</v>
      </c>
      <c r="X83" s="1">
        <v>0</v>
      </c>
      <c r="Y83" s="1">
        <v>0</v>
      </c>
      <c r="Z83" s="1">
        <v>0</v>
      </c>
      <c r="AA83" s="1">
        <v>1</v>
      </c>
      <c r="AB83" s="1">
        <v>1</v>
      </c>
      <c r="AC83" s="1">
        <v>0</v>
      </c>
      <c r="AD83" s="1">
        <v>0</v>
      </c>
      <c r="AE83" s="1">
        <v>0</v>
      </c>
      <c r="AF83" s="1">
        <v>0</v>
      </c>
      <c r="AG83" s="1">
        <v>0</v>
      </c>
      <c r="AH83" s="1">
        <v>0</v>
      </c>
      <c r="AI83" s="1">
        <v>0</v>
      </c>
      <c r="AJ83" s="1">
        <v>0</v>
      </c>
      <c r="AK83" s="1">
        <v>0</v>
      </c>
      <c r="AL83" s="1">
        <v>0</v>
      </c>
      <c r="AM83" s="1">
        <v>0</v>
      </c>
      <c r="AN83" s="1">
        <v>0</v>
      </c>
      <c r="AO83" s="1">
        <v>0</v>
      </c>
      <c r="AP83" s="1">
        <v>0</v>
      </c>
      <c r="AQ83" s="1">
        <v>0</v>
      </c>
      <c r="AR83" s="1">
        <v>0</v>
      </c>
      <c r="AS83" s="1">
        <v>0</v>
      </c>
      <c r="AT83" s="1">
        <v>0</v>
      </c>
      <c r="AU83" s="1">
        <v>0</v>
      </c>
      <c r="AV83" s="1">
        <v>0</v>
      </c>
      <c r="AW83" s="1">
        <v>0</v>
      </c>
      <c r="AX83" s="1">
        <v>0</v>
      </c>
      <c r="AY83" s="1">
        <v>0</v>
      </c>
      <c r="AZ83" s="1">
        <v>0</v>
      </c>
      <c r="BA83" s="1">
        <v>0</v>
      </c>
      <c r="BB83" s="1">
        <v>0</v>
      </c>
      <c r="BC83" s="1">
        <v>0</v>
      </c>
      <c r="BD83" s="1">
        <v>0</v>
      </c>
      <c r="BE83" s="1">
        <v>0</v>
      </c>
      <c r="BF83" s="1">
        <v>0</v>
      </c>
      <c r="BG83" s="1">
        <v>0</v>
      </c>
      <c r="BH83" s="1">
        <v>0</v>
      </c>
      <c r="BI83" s="1">
        <v>0</v>
      </c>
      <c r="BJ83" s="1">
        <v>0</v>
      </c>
      <c r="BK83" s="1">
        <v>1</v>
      </c>
      <c r="BL83" s="1">
        <v>1</v>
      </c>
      <c r="BM83" s="1">
        <v>0</v>
      </c>
      <c r="BN83" s="1">
        <v>0</v>
      </c>
      <c r="BO83" s="1">
        <v>0</v>
      </c>
      <c r="BP83" s="1">
        <v>0</v>
      </c>
      <c r="BQ83" s="1">
        <v>0</v>
      </c>
      <c r="BR83" s="1">
        <v>0</v>
      </c>
      <c r="BS83" s="1">
        <v>0</v>
      </c>
      <c r="BT83" s="1">
        <v>0</v>
      </c>
      <c r="BU83" s="1">
        <v>0</v>
      </c>
      <c r="BV83" s="1">
        <v>0</v>
      </c>
      <c r="BW83" s="1">
        <v>0</v>
      </c>
      <c r="BX83" s="1">
        <v>0</v>
      </c>
      <c r="BY83" s="1">
        <v>0</v>
      </c>
    </row>
    <row r="84" spans="1:77" x14ac:dyDescent="0.3">
      <c r="A84" s="2">
        <v>45524</v>
      </c>
      <c r="B84" s="1">
        <v>233</v>
      </c>
      <c r="C84" s="1" t="s">
        <v>188</v>
      </c>
      <c r="D84" s="1" t="s">
        <v>175</v>
      </c>
      <c r="E84" s="1">
        <v>1</v>
      </c>
      <c r="F84" s="1">
        <v>0</v>
      </c>
      <c r="G84" s="1">
        <v>2</v>
      </c>
      <c r="H84" s="1">
        <v>0</v>
      </c>
      <c r="I84" s="1">
        <v>1</v>
      </c>
      <c r="J84" s="1">
        <v>1</v>
      </c>
      <c r="K84" s="1">
        <v>0</v>
      </c>
      <c r="L84" s="1">
        <v>0</v>
      </c>
      <c r="M84" s="1">
        <v>1</v>
      </c>
      <c r="N84" s="1">
        <v>0</v>
      </c>
      <c r="O84" s="1">
        <v>0</v>
      </c>
      <c r="P84" s="1">
        <v>0</v>
      </c>
      <c r="Q84" s="1">
        <v>0</v>
      </c>
      <c r="R84" s="1">
        <v>0</v>
      </c>
      <c r="S84" s="1">
        <v>0</v>
      </c>
      <c r="T84" s="1">
        <v>0</v>
      </c>
      <c r="U84" s="1">
        <v>0</v>
      </c>
      <c r="V84" s="1">
        <v>0</v>
      </c>
      <c r="W84" s="1">
        <v>0</v>
      </c>
      <c r="X84" s="1">
        <v>0</v>
      </c>
      <c r="Y84" s="1">
        <v>1</v>
      </c>
      <c r="Z84" s="1">
        <v>0</v>
      </c>
      <c r="AA84" s="1">
        <v>0</v>
      </c>
      <c r="AB84" s="1">
        <v>0</v>
      </c>
      <c r="AC84" s="1">
        <v>0</v>
      </c>
      <c r="AD84" s="1">
        <v>0</v>
      </c>
      <c r="AE84" s="1">
        <v>0</v>
      </c>
      <c r="AF84" s="1">
        <v>0</v>
      </c>
      <c r="AG84" s="1">
        <v>0</v>
      </c>
      <c r="AH84" s="1">
        <v>0</v>
      </c>
      <c r="AI84" s="1">
        <v>0</v>
      </c>
      <c r="AJ84" s="1">
        <v>0</v>
      </c>
      <c r="AK84" s="1">
        <v>0</v>
      </c>
      <c r="AL84" s="1">
        <v>0</v>
      </c>
      <c r="AM84" s="1">
        <v>0</v>
      </c>
      <c r="AN84" s="1">
        <v>0</v>
      </c>
      <c r="AO84" s="1">
        <v>0</v>
      </c>
      <c r="AP84" s="1">
        <v>0</v>
      </c>
      <c r="AQ84" s="1">
        <v>0</v>
      </c>
      <c r="AR84" s="1">
        <v>0</v>
      </c>
      <c r="AS84" s="1">
        <v>0</v>
      </c>
      <c r="AT84" s="1">
        <v>0</v>
      </c>
      <c r="AU84" s="1">
        <v>0</v>
      </c>
      <c r="AV84" s="1">
        <v>0</v>
      </c>
      <c r="AW84" s="1">
        <v>0</v>
      </c>
      <c r="AX84" s="1">
        <v>0</v>
      </c>
      <c r="AY84" s="1">
        <v>0</v>
      </c>
      <c r="AZ84" s="1">
        <v>0</v>
      </c>
      <c r="BA84" s="1">
        <v>0</v>
      </c>
      <c r="BB84" s="1">
        <v>0</v>
      </c>
      <c r="BC84" s="1">
        <v>0</v>
      </c>
      <c r="BD84" s="1">
        <v>0</v>
      </c>
      <c r="BE84" s="1">
        <v>0</v>
      </c>
      <c r="BF84" s="1">
        <v>0</v>
      </c>
      <c r="BG84" s="1">
        <v>0</v>
      </c>
      <c r="BH84" s="1">
        <v>0</v>
      </c>
      <c r="BI84" s="1">
        <v>0</v>
      </c>
      <c r="BJ84" s="1">
        <v>0</v>
      </c>
      <c r="BK84" s="1">
        <v>0</v>
      </c>
      <c r="BL84" s="1">
        <v>0</v>
      </c>
      <c r="BM84" s="1">
        <v>0</v>
      </c>
      <c r="BN84" s="1">
        <v>0</v>
      </c>
      <c r="BO84" s="1">
        <v>0</v>
      </c>
      <c r="BP84" s="1">
        <v>0</v>
      </c>
      <c r="BQ84" s="1">
        <v>0</v>
      </c>
      <c r="BR84" s="1">
        <v>0</v>
      </c>
      <c r="BS84" s="1">
        <v>0</v>
      </c>
      <c r="BT84" s="1">
        <v>0</v>
      </c>
      <c r="BU84" s="1">
        <v>0</v>
      </c>
      <c r="BV84" s="1">
        <v>0</v>
      </c>
      <c r="BW84" s="1">
        <v>0</v>
      </c>
      <c r="BX84" s="1">
        <v>0</v>
      </c>
      <c r="BY84" s="1">
        <v>0</v>
      </c>
    </row>
    <row r="85" spans="1:77" x14ac:dyDescent="0.3">
      <c r="A85" s="2">
        <v>45525</v>
      </c>
      <c r="B85" s="1">
        <v>234</v>
      </c>
      <c r="C85" s="1" t="s">
        <v>188</v>
      </c>
      <c r="D85" s="1" t="s">
        <v>152</v>
      </c>
      <c r="E85" s="1">
        <v>0</v>
      </c>
      <c r="F85" s="1">
        <v>0</v>
      </c>
      <c r="G85" s="1">
        <v>0</v>
      </c>
      <c r="H85" s="1">
        <v>0</v>
      </c>
      <c r="I85" s="1">
        <v>0</v>
      </c>
      <c r="J85" s="1">
        <v>0</v>
      </c>
      <c r="K85" s="1">
        <v>0</v>
      </c>
      <c r="L85" s="1">
        <v>0</v>
      </c>
      <c r="M85" s="1">
        <v>0</v>
      </c>
      <c r="N85" s="1">
        <v>0</v>
      </c>
      <c r="O85" s="1">
        <v>0</v>
      </c>
      <c r="P85" s="1">
        <v>0</v>
      </c>
      <c r="Q85" s="1">
        <v>0</v>
      </c>
      <c r="R85" s="1">
        <v>0</v>
      </c>
      <c r="S85" s="1">
        <v>0</v>
      </c>
      <c r="T85" s="1">
        <v>0</v>
      </c>
      <c r="U85" s="1">
        <v>0</v>
      </c>
      <c r="V85" s="1">
        <v>1</v>
      </c>
      <c r="W85" s="1">
        <v>0</v>
      </c>
      <c r="X85" s="1">
        <v>0</v>
      </c>
      <c r="Y85" s="1">
        <v>1</v>
      </c>
      <c r="Z85" s="1">
        <v>0</v>
      </c>
      <c r="AA85" s="1">
        <v>0</v>
      </c>
      <c r="AB85" s="1">
        <v>0</v>
      </c>
      <c r="AC85" s="1">
        <v>0</v>
      </c>
      <c r="AD85" s="1">
        <v>0</v>
      </c>
      <c r="AE85" s="1">
        <v>0</v>
      </c>
      <c r="AF85" s="1">
        <v>0</v>
      </c>
      <c r="AG85" s="1">
        <v>0</v>
      </c>
      <c r="AH85" s="1">
        <v>0</v>
      </c>
      <c r="AI85" s="1">
        <v>0</v>
      </c>
      <c r="AJ85" s="1">
        <v>0</v>
      </c>
      <c r="AK85" s="1">
        <v>0</v>
      </c>
      <c r="AL85" s="1">
        <v>0</v>
      </c>
      <c r="AM85" s="1">
        <v>0</v>
      </c>
      <c r="AN85" s="1">
        <v>0</v>
      </c>
      <c r="AO85" s="1">
        <v>0</v>
      </c>
      <c r="AP85" s="1">
        <v>0</v>
      </c>
      <c r="AQ85" s="1">
        <v>0</v>
      </c>
      <c r="AR85" s="1">
        <v>0</v>
      </c>
      <c r="AS85" s="1">
        <v>0</v>
      </c>
      <c r="AT85" s="1">
        <v>0</v>
      </c>
      <c r="AU85" s="1">
        <v>1</v>
      </c>
      <c r="AV85" s="1">
        <v>0</v>
      </c>
      <c r="AW85" s="1">
        <v>0</v>
      </c>
      <c r="AX85" s="1">
        <v>0</v>
      </c>
      <c r="AY85" s="1">
        <v>0</v>
      </c>
      <c r="AZ85" s="1">
        <v>0</v>
      </c>
      <c r="BA85" s="1">
        <v>0</v>
      </c>
      <c r="BB85" s="1">
        <v>0</v>
      </c>
      <c r="BC85" s="1">
        <v>0</v>
      </c>
      <c r="BD85" s="1">
        <v>0</v>
      </c>
      <c r="BE85" s="1">
        <v>0</v>
      </c>
      <c r="BF85" s="1">
        <v>0</v>
      </c>
      <c r="BG85" s="1">
        <v>0</v>
      </c>
      <c r="BH85" s="1">
        <v>0</v>
      </c>
      <c r="BI85" s="1">
        <v>0</v>
      </c>
      <c r="BJ85" s="1">
        <v>0</v>
      </c>
      <c r="BK85" s="1">
        <v>0</v>
      </c>
      <c r="BL85" s="1">
        <v>0</v>
      </c>
      <c r="BM85" s="1">
        <v>0</v>
      </c>
      <c r="BN85" s="1">
        <v>0</v>
      </c>
      <c r="BO85" s="1">
        <v>0</v>
      </c>
      <c r="BP85" s="1">
        <v>0</v>
      </c>
      <c r="BQ85" s="1">
        <v>0</v>
      </c>
      <c r="BR85" s="1">
        <v>0</v>
      </c>
      <c r="BS85" s="1">
        <v>0</v>
      </c>
      <c r="BT85" s="1">
        <v>0</v>
      </c>
      <c r="BU85" s="1">
        <v>0</v>
      </c>
      <c r="BV85" s="1">
        <v>0</v>
      </c>
      <c r="BW85" s="1">
        <v>0</v>
      </c>
      <c r="BX85" s="1">
        <v>0</v>
      </c>
      <c r="BY85" s="1">
        <v>0</v>
      </c>
    </row>
    <row r="86" spans="1:77" x14ac:dyDescent="0.3">
      <c r="A86" s="2">
        <v>45496</v>
      </c>
      <c r="B86" s="1">
        <v>205</v>
      </c>
      <c r="C86" s="1" t="s">
        <v>177</v>
      </c>
      <c r="D86" s="1" t="s">
        <v>152</v>
      </c>
      <c r="E86" s="1">
        <v>0</v>
      </c>
      <c r="F86" s="1">
        <v>0</v>
      </c>
      <c r="G86" s="1">
        <v>0</v>
      </c>
      <c r="H86" s="1">
        <v>0</v>
      </c>
      <c r="I86" s="1">
        <v>0</v>
      </c>
      <c r="J86" s="1">
        <v>0</v>
      </c>
      <c r="K86" s="1">
        <v>0</v>
      </c>
      <c r="L86" s="1">
        <v>0</v>
      </c>
      <c r="M86" s="1">
        <v>0</v>
      </c>
      <c r="N86" s="1">
        <v>0</v>
      </c>
      <c r="O86" s="1">
        <v>0</v>
      </c>
      <c r="P86" s="1">
        <v>0</v>
      </c>
      <c r="Q86" s="1">
        <v>0</v>
      </c>
      <c r="R86" s="1">
        <v>0</v>
      </c>
      <c r="S86" s="1">
        <v>0</v>
      </c>
      <c r="T86" s="1">
        <v>0</v>
      </c>
      <c r="U86" s="1">
        <v>0</v>
      </c>
      <c r="V86" s="1">
        <v>0</v>
      </c>
      <c r="W86" s="1">
        <v>0</v>
      </c>
      <c r="X86" s="1">
        <v>0</v>
      </c>
      <c r="Y86" s="1">
        <v>0</v>
      </c>
      <c r="Z86" s="1">
        <v>0</v>
      </c>
      <c r="AA86" s="1">
        <v>0</v>
      </c>
      <c r="AB86" s="1">
        <v>0</v>
      </c>
      <c r="AC86" s="1">
        <v>0</v>
      </c>
      <c r="AD86" s="1">
        <v>0</v>
      </c>
      <c r="AE86" s="1">
        <v>0</v>
      </c>
      <c r="AF86" s="1">
        <v>0</v>
      </c>
      <c r="AG86" s="1">
        <v>0</v>
      </c>
      <c r="AH86" s="1">
        <v>0</v>
      </c>
      <c r="AI86" s="1">
        <v>0</v>
      </c>
      <c r="AJ86" s="1">
        <v>0</v>
      </c>
      <c r="AK86" s="1">
        <v>0</v>
      </c>
      <c r="AL86" s="1">
        <v>0</v>
      </c>
      <c r="AM86" s="1">
        <v>0</v>
      </c>
      <c r="AN86" s="1">
        <v>0</v>
      </c>
      <c r="AO86" s="1">
        <v>0</v>
      </c>
      <c r="AP86" s="1">
        <v>0</v>
      </c>
      <c r="AQ86" s="1">
        <v>0</v>
      </c>
      <c r="AR86" s="1">
        <v>1</v>
      </c>
      <c r="AS86" s="1">
        <v>0</v>
      </c>
      <c r="AT86" s="1">
        <v>0</v>
      </c>
      <c r="AU86" s="1">
        <v>0</v>
      </c>
      <c r="AV86" s="1">
        <v>0</v>
      </c>
      <c r="AW86" s="1">
        <v>0</v>
      </c>
      <c r="AX86" s="1">
        <v>0</v>
      </c>
      <c r="AY86" s="1">
        <v>0</v>
      </c>
      <c r="AZ86" s="1">
        <v>0</v>
      </c>
      <c r="BA86" s="1">
        <v>0</v>
      </c>
      <c r="BB86" s="1">
        <v>0</v>
      </c>
      <c r="BC86" s="1">
        <v>0</v>
      </c>
      <c r="BD86" s="1">
        <v>0</v>
      </c>
      <c r="BE86" s="1">
        <v>0</v>
      </c>
      <c r="BF86" s="1">
        <v>0</v>
      </c>
      <c r="BG86" s="1">
        <v>0</v>
      </c>
      <c r="BH86" s="1">
        <v>0</v>
      </c>
      <c r="BI86" s="1">
        <v>0</v>
      </c>
      <c r="BJ86" s="1">
        <v>0</v>
      </c>
      <c r="BK86" s="1">
        <v>1</v>
      </c>
      <c r="BL86" s="1">
        <v>2</v>
      </c>
      <c r="BM86" s="1">
        <v>0</v>
      </c>
      <c r="BN86" s="1">
        <v>0</v>
      </c>
      <c r="BO86" s="1">
        <v>0</v>
      </c>
      <c r="BP86" s="1">
        <v>0</v>
      </c>
      <c r="BQ86" s="1">
        <v>0</v>
      </c>
      <c r="BR86" s="1">
        <v>0</v>
      </c>
      <c r="BS86" s="1">
        <v>0</v>
      </c>
      <c r="BT86" s="1">
        <v>0</v>
      </c>
      <c r="BU86" s="1">
        <v>0</v>
      </c>
      <c r="BV86" s="1">
        <v>0</v>
      </c>
      <c r="BW86" s="1">
        <v>0</v>
      </c>
      <c r="BX86" s="1">
        <v>0</v>
      </c>
      <c r="BY86" s="1">
        <v>0</v>
      </c>
    </row>
    <row r="87" spans="1:77" x14ac:dyDescent="0.3">
      <c r="A87" s="2">
        <v>45502</v>
      </c>
      <c r="B87" s="1">
        <v>211</v>
      </c>
      <c r="C87" s="1" t="s">
        <v>177</v>
      </c>
      <c r="D87" s="1" t="s">
        <v>152</v>
      </c>
      <c r="E87" s="1">
        <v>0</v>
      </c>
      <c r="F87" s="1">
        <v>0</v>
      </c>
      <c r="G87" s="1">
        <v>0</v>
      </c>
      <c r="H87" s="1">
        <v>0</v>
      </c>
      <c r="I87" s="1">
        <v>0</v>
      </c>
      <c r="J87" s="1">
        <v>0</v>
      </c>
      <c r="K87" s="1">
        <v>0</v>
      </c>
      <c r="L87" s="1">
        <v>0</v>
      </c>
      <c r="M87" s="1">
        <v>0</v>
      </c>
      <c r="N87" s="1">
        <v>0</v>
      </c>
      <c r="O87" s="1">
        <v>0</v>
      </c>
      <c r="P87" s="1">
        <v>0</v>
      </c>
      <c r="Q87" s="1">
        <v>0</v>
      </c>
      <c r="R87" s="1">
        <v>0</v>
      </c>
      <c r="S87" s="1">
        <v>0</v>
      </c>
      <c r="T87" s="1">
        <v>0</v>
      </c>
      <c r="U87" s="1">
        <v>1</v>
      </c>
      <c r="V87" s="1">
        <v>0</v>
      </c>
      <c r="W87" s="1">
        <v>0</v>
      </c>
      <c r="X87" s="1">
        <v>0</v>
      </c>
      <c r="Y87" s="1">
        <v>0</v>
      </c>
      <c r="Z87" s="1">
        <v>0</v>
      </c>
      <c r="AA87" s="1">
        <v>0</v>
      </c>
      <c r="AB87" s="1">
        <v>0</v>
      </c>
      <c r="AC87" s="1">
        <v>0</v>
      </c>
      <c r="AD87" s="1">
        <v>0</v>
      </c>
      <c r="AE87" s="1">
        <v>0</v>
      </c>
      <c r="AF87" s="1">
        <v>0</v>
      </c>
      <c r="AG87" s="1">
        <v>0</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1</v>
      </c>
      <c r="BM87" s="1">
        <v>0</v>
      </c>
      <c r="BN87" s="1">
        <v>0</v>
      </c>
      <c r="BO87" s="1">
        <v>0</v>
      </c>
      <c r="BP87" s="1">
        <v>0</v>
      </c>
      <c r="BQ87" s="1">
        <v>0</v>
      </c>
      <c r="BR87" s="1">
        <v>0</v>
      </c>
      <c r="BS87" s="1">
        <v>0</v>
      </c>
      <c r="BT87" s="1">
        <v>0</v>
      </c>
      <c r="BU87" s="1">
        <v>0</v>
      </c>
      <c r="BV87" s="1">
        <v>0</v>
      </c>
      <c r="BW87" s="1">
        <v>0</v>
      </c>
      <c r="BX87" s="1">
        <v>0</v>
      </c>
      <c r="BY87" s="1">
        <v>0</v>
      </c>
    </row>
    <row r="88" spans="1:77" x14ac:dyDescent="0.3">
      <c r="A88" s="2">
        <v>45483</v>
      </c>
      <c r="B88" s="1">
        <v>192</v>
      </c>
      <c r="C88" s="1" t="s">
        <v>160</v>
      </c>
      <c r="D88" s="1" t="s">
        <v>152</v>
      </c>
      <c r="E88" s="1">
        <v>0</v>
      </c>
      <c r="F88" s="1">
        <v>0</v>
      </c>
      <c r="G88" s="1">
        <v>0</v>
      </c>
      <c r="H88" s="1">
        <v>0</v>
      </c>
      <c r="I88" s="1">
        <v>0</v>
      </c>
      <c r="J88" s="1">
        <v>0</v>
      </c>
      <c r="K88" s="1">
        <v>0</v>
      </c>
      <c r="L88" s="1">
        <v>0</v>
      </c>
      <c r="M88" s="1">
        <v>0</v>
      </c>
      <c r="N88" s="1">
        <v>0</v>
      </c>
      <c r="O88" s="1">
        <v>0</v>
      </c>
      <c r="P88" s="1">
        <v>0</v>
      </c>
      <c r="Q88" s="1">
        <v>0</v>
      </c>
      <c r="R88" s="1">
        <v>0</v>
      </c>
      <c r="S88" s="1">
        <v>0</v>
      </c>
      <c r="T88" s="1">
        <v>0</v>
      </c>
      <c r="U88" s="1">
        <v>0</v>
      </c>
      <c r="V88" s="1">
        <v>0</v>
      </c>
      <c r="W88" s="1">
        <v>0</v>
      </c>
      <c r="X88" s="1">
        <v>0</v>
      </c>
      <c r="Y88" s="1">
        <v>0</v>
      </c>
      <c r="Z88" s="1">
        <v>0</v>
      </c>
      <c r="AA88" s="1">
        <v>1</v>
      </c>
      <c r="AB88" s="1">
        <v>0</v>
      </c>
      <c r="AC88" s="1">
        <v>0</v>
      </c>
      <c r="AD88" s="1">
        <v>0</v>
      </c>
      <c r="AE88" s="1">
        <v>0</v>
      </c>
      <c r="AF88" s="1">
        <v>0</v>
      </c>
      <c r="AG88" s="1">
        <v>0</v>
      </c>
      <c r="AH88" s="1">
        <v>1</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row>
    <row r="89" spans="1:77" x14ac:dyDescent="0.3">
      <c r="A89" s="2">
        <v>45498</v>
      </c>
      <c r="B89" s="1">
        <v>207</v>
      </c>
      <c r="C89" s="1" t="s">
        <v>160</v>
      </c>
      <c r="D89" s="1" t="s">
        <v>152</v>
      </c>
      <c r="E89" s="1">
        <v>0</v>
      </c>
      <c r="F89" s="1">
        <v>0</v>
      </c>
      <c r="G89" s="1">
        <v>0</v>
      </c>
      <c r="H89" s="1">
        <v>0</v>
      </c>
      <c r="I89" s="1">
        <v>0</v>
      </c>
      <c r="J89" s="1">
        <v>0</v>
      </c>
      <c r="K89" s="1">
        <v>0</v>
      </c>
      <c r="L89" s="1">
        <v>0</v>
      </c>
      <c r="M89" s="1">
        <v>0</v>
      </c>
      <c r="N89" s="1">
        <v>0</v>
      </c>
      <c r="O89" s="1">
        <v>0</v>
      </c>
      <c r="P89" s="1">
        <v>0</v>
      </c>
      <c r="Q89" s="1">
        <v>0</v>
      </c>
      <c r="R89" s="1">
        <v>0</v>
      </c>
      <c r="S89" s="1">
        <v>0</v>
      </c>
      <c r="T89" s="1">
        <v>1</v>
      </c>
      <c r="U89" s="1">
        <v>0</v>
      </c>
      <c r="V89" s="1">
        <v>0</v>
      </c>
      <c r="W89" s="1">
        <v>0</v>
      </c>
      <c r="X89" s="1">
        <v>0</v>
      </c>
      <c r="Y89" s="1">
        <v>0</v>
      </c>
      <c r="Z89" s="1">
        <v>0</v>
      </c>
      <c r="AA89" s="1">
        <v>1</v>
      </c>
      <c r="AB89" s="1">
        <v>0</v>
      </c>
      <c r="AC89" s="1">
        <v>0</v>
      </c>
      <c r="AD89" s="1">
        <v>0</v>
      </c>
      <c r="AE89" s="1">
        <v>0</v>
      </c>
      <c r="AF89" s="1">
        <v>0</v>
      </c>
      <c r="AG89" s="1">
        <v>0</v>
      </c>
      <c r="AH89" s="1">
        <v>0</v>
      </c>
      <c r="AI89" s="1">
        <v>0</v>
      </c>
      <c r="AJ89" s="1">
        <v>0</v>
      </c>
      <c r="AK89" s="1">
        <v>1</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1</v>
      </c>
      <c r="BD89" s="1">
        <v>0</v>
      </c>
      <c r="BE89" s="1">
        <v>0</v>
      </c>
      <c r="BF89" s="1">
        <v>0</v>
      </c>
      <c r="BG89" s="1">
        <v>0</v>
      </c>
      <c r="BH89" s="1">
        <v>0</v>
      </c>
      <c r="BI89" s="1">
        <v>3</v>
      </c>
      <c r="BJ89" s="1">
        <v>0</v>
      </c>
      <c r="BK89" s="1">
        <v>3</v>
      </c>
      <c r="BL89" s="1">
        <v>6</v>
      </c>
      <c r="BM89" s="1">
        <v>0</v>
      </c>
      <c r="BN89" s="1">
        <v>0</v>
      </c>
      <c r="BO89" s="1">
        <v>0</v>
      </c>
      <c r="BP89" s="1">
        <v>0</v>
      </c>
      <c r="BQ89" s="1">
        <v>0</v>
      </c>
      <c r="BR89" s="1">
        <v>0</v>
      </c>
      <c r="BS89" s="1">
        <v>0</v>
      </c>
      <c r="BT89" s="1">
        <v>1</v>
      </c>
      <c r="BU89" s="1">
        <v>0</v>
      </c>
      <c r="BV89" s="1">
        <v>0</v>
      </c>
      <c r="BW89" s="1">
        <v>0</v>
      </c>
      <c r="BX89" s="1">
        <v>0</v>
      </c>
      <c r="BY89" s="1">
        <v>0</v>
      </c>
    </row>
    <row r="90" spans="1:77" x14ac:dyDescent="0.3">
      <c r="A90" s="2">
        <v>45493</v>
      </c>
      <c r="B90" s="1">
        <v>202</v>
      </c>
      <c r="C90" s="1" t="s">
        <v>160</v>
      </c>
      <c r="D90" s="1" t="s">
        <v>152</v>
      </c>
      <c r="E90" s="1">
        <v>0</v>
      </c>
      <c r="F90" s="1">
        <v>0</v>
      </c>
      <c r="G90" s="1">
        <v>0</v>
      </c>
      <c r="H90" s="1">
        <v>0</v>
      </c>
      <c r="I90" s="1">
        <v>1</v>
      </c>
      <c r="J90" s="1">
        <v>0</v>
      </c>
      <c r="K90" s="1">
        <v>0</v>
      </c>
      <c r="L90" s="1">
        <v>4</v>
      </c>
      <c r="M90" s="1">
        <v>0</v>
      </c>
      <c r="N90" s="1">
        <v>0</v>
      </c>
      <c r="O90" s="1">
        <v>0</v>
      </c>
      <c r="P90" s="1">
        <v>0</v>
      </c>
      <c r="Q90" s="1">
        <v>1</v>
      </c>
      <c r="R90" s="1">
        <v>0</v>
      </c>
      <c r="S90" s="1">
        <v>0</v>
      </c>
      <c r="T90" s="1">
        <v>0</v>
      </c>
      <c r="U90" s="1">
        <v>1</v>
      </c>
      <c r="V90" s="1">
        <v>0</v>
      </c>
      <c r="W90" s="1">
        <v>1</v>
      </c>
      <c r="X90" s="1">
        <v>0</v>
      </c>
      <c r="Y90" s="1">
        <v>1</v>
      </c>
      <c r="Z90" s="1">
        <v>0</v>
      </c>
      <c r="AA90" s="1">
        <v>0</v>
      </c>
      <c r="AB90" s="1">
        <v>0</v>
      </c>
      <c r="AC90" s="1">
        <v>0</v>
      </c>
      <c r="AD90" s="1">
        <v>0</v>
      </c>
      <c r="AE90" s="1">
        <v>0</v>
      </c>
      <c r="AF90" s="1">
        <v>0</v>
      </c>
      <c r="AG90" s="1">
        <v>0</v>
      </c>
      <c r="AH90" s="1">
        <v>0</v>
      </c>
      <c r="AI90" s="1">
        <v>0</v>
      </c>
      <c r="AJ90" s="1">
        <v>0</v>
      </c>
      <c r="AK90" s="1">
        <v>0</v>
      </c>
      <c r="AL90" s="1">
        <v>0</v>
      </c>
      <c r="AM90" s="1">
        <v>0</v>
      </c>
      <c r="AN90" s="1">
        <v>0</v>
      </c>
      <c r="AO90" s="1">
        <v>0</v>
      </c>
      <c r="AP90" s="1">
        <v>0</v>
      </c>
      <c r="AQ90" s="1">
        <v>0</v>
      </c>
      <c r="AR90" s="1">
        <v>0</v>
      </c>
      <c r="AS90" s="1">
        <v>0</v>
      </c>
      <c r="AT90" s="1">
        <v>0</v>
      </c>
      <c r="AU90" s="1">
        <v>0</v>
      </c>
      <c r="AV90" s="1">
        <v>0</v>
      </c>
      <c r="AW90" s="1">
        <v>0</v>
      </c>
      <c r="AX90" s="1">
        <v>0</v>
      </c>
      <c r="AY90" s="1">
        <v>0</v>
      </c>
      <c r="AZ90" s="1">
        <v>0</v>
      </c>
      <c r="BA90" s="1">
        <v>0</v>
      </c>
      <c r="BB90" s="1">
        <v>0</v>
      </c>
      <c r="BC90" s="1">
        <v>0</v>
      </c>
      <c r="BD90" s="1">
        <v>0</v>
      </c>
      <c r="BE90" s="1">
        <v>0</v>
      </c>
      <c r="BF90" s="1">
        <v>0</v>
      </c>
      <c r="BG90" s="1">
        <v>0</v>
      </c>
      <c r="BH90" s="1">
        <v>0</v>
      </c>
      <c r="BI90" s="1">
        <v>1</v>
      </c>
      <c r="BJ90" s="1">
        <v>0</v>
      </c>
      <c r="BK90" s="1">
        <v>1</v>
      </c>
      <c r="BL90" s="1">
        <v>2</v>
      </c>
      <c r="BM90" s="1">
        <v>0</v>
      </c>
      <c r="BN90" s="1">
        <v>0</v>
      </c>
      <c r="BO90" s="1">
        <v>0</v>
      </c>
      <c r="BP90" s="1">
        <v>0</v>
      </c>
      <c r="BQ90" s="1">
        <v>0</v>
      </c>
      <c r="BR90" s="1">
        <v>0</v>
      </c>
      <c r="BS90" s="1">
        <v>0</v>
      </c>
      <c r="BT90" s="1">
        <v>0</v>
      </c>
      <c r="BU90" s="1">
        <v>0</v>
      </c>
      <c r="BV90" s="1">
        <v>0</v>
      </c>
      <c r="BW90" s="1">
        <v>0</v>
      </c>
      <c r="BX90" s="1">
        <v>0</v>
      </c>
      <c r="BY90" s="1">
        <v>0</v>
      </c>
    </row>
    <row r="91" spans="1:77" x14ac:dyDescent="0.3">
      <c r="A91" s="2">
        <v>45490</v>
      </c>
      <c r="B91" s="1">
        <v>199</v>
      </c>
      <c r="C91" s="1" t="s">
        <v>168</v>
      </c>
      <c r="D91" s="1" t="s">
        <v>152</v>
      </c>
      <c r="E91" s="1">
        <v>0</v>
      </c>
      <c r="F91" s="1">
        <v>0</v>
      </c>
      <c r="G91" s="1">
        <v>0</v>
      </c>
      <c r="H91" s="1">
        <v>0</v>
      </c>
      <c r="I91" s="1">
        <v>0</v>
      </c>
      <c r="J91" s="1">
        <v>0</v>
      </c>
      <c r="K91" s="1">
        <v>0</v>
      </c>
      <c r="L91" s="1">
        <v>0</v>
      </c>
      <c r="M91" s="1">
        <v>0</v>
      </c>
      <c r="N91" s="1">
        <v>0</v>
      </c>
      <c r="O91" s="1">
        <v>0</v>
      </c>
      <c r="P91" s="1">
        <v>0</v>
      </c>
      <c r="Q91" s="1">
        <v>0</v>
      </c>
      <c r="R91" s="1">
        <v>0</v>
      </c>
      <c r="S91" s="1">
        <v>0</v>
      </c>
      <c r="T91" s="1">
        <v>0</v>
      </c>
      <c r="U91" s="1">
        <v>0</v>
      </c>
      <c r="V91" s="1">
        <v>0</v>
      </c>
      <c r="W91" s="1">
        <v>0</v>
      </c>
      <c r="X91" s="1">
        <v>0</v>
      </c>
      <c r="Y91" s="1">
        <v>0</v>
      </c>
      <c r="Z91" s="1">
        <v>0</v>
      </c>
      <c r="AA91" s="1">
        <v>0</v>
      </c>
      <c r="AB91" s="1">
        <v>0</v>
      </c>
      <c r="AC91" s="1">
        <v>0</v>
      </c>
      <c r="AD91" s="1">
        <v>0</v>
      </c>
      <c r="AE91" s="1">
        <v>0</v>
      </c>
      <c r="AF91" s="1">
        <v>0</v>
      </c>
      <c r="AG91" s="1">
        <v>0</v>
      </c>
      <c r="AH91" s="1">
        <v>0</v>
      </c>
      <c r="AI91" s="1">
        <v>0</v>
      </c>
      <c r="AJ91" s="1">
        <v>0</v>
      </c>
      <c r="AK91" s="1">
        <v>0</v>
      </c>
      <c r="AL91" s="1">
        <v>1</v>
      </c>
      <c r="AM91" s="1">
        <v>0</v>
      </c>
      <c r="AN91" s="1">
        <v>0</v>
      </c>
      <c r="AO91" s="1">
        <v>0</v>
      </c>
      <c r="AP91" s="1">
        <v>0</v>
      </c>
      <c r="AQ91" s="1">
        <v>0</v>
      </c>
      <c r="AR91" s="1">
        <v>0</v>
      </c>
      <c r="AS91" s="1">
        <v>0</v>
      </c>
      <c r="AT91" s="1">
        <v>0</v>
      </c>
      <c r="AU91" s="1">
        <v>0</v>
      </c>
      <c r="AV91" s="1">
        <v>0</v>
      </c>
      <c r="AW91" s="1">
        <v>0</v>
      </c>
      <c r="AX91" s="1">
        <v>0</v>
      </c>
      <c r="AY91" s="1">
        <v>0</v>
      </c>
      <c r="AZ91" s="1">
        <v>0</v>
      </c>
      <c r="BA91" s="1">
        <v>0</v>
      </c>
      <c r="BB91" s="1">
        <v>0</v>
      </c>
      <c r="BC91" s="1">
        <v>1</v>
      </c>
      <c r="BD91" s="1">
        <v>0</v>
      </c>
      <c r="BE91" s="1">
        <v>1</v>
      </c>
      <c r="BF91" s="1">
        <v>0</v>
      </c>
      <c r="BG91" s="1">
        <v>0</v>
      </c>
      <c r="BH91" s="1">
        <v>0</v>
      </c>
      <c r="BI91" s="1">
        <v>0</v>
      </c>
      <c r="BJ91" s="1">
        <v>0</v>
      </c>
      <c r="BK91" s="1">
        <v>0</v>
      </c>
      <c r="BL91" s="1">
        <v>1</v>
      </c>
      <c r="BM91" s="1">
        <v>0</v>
      </c>
      <c r="BN91" s="1">
        <v>0</v>
      </c>
      <c r="BO91" s="1">
        <v>0</v>
      </c>
      <c r="BP91" s="1">
        <v>0</v>
      </c>
      <c r="BQ91" s="1">
        <v>0</v>
      </c>
      <c r="BR91" s="1">
        <v>0</v>
      </c>
      <c r="BS91" s="1">
        <v>0</v>
      </c>
      <c r="BT91" s="1">
        <v>0</v>
      </c>
      <c r="BU91" s="1">
        <v>0</v>
      </c>
      <c r="BV91" s="1">
        <v>0</v>
      </c>
      <c r="BW91" s="1">
        <v>0</v>
      </c>
      <c r="BX91" s="1">
        <v>0</v>
      </c>
      <c r="BY91" s="1">
        <v>0</v>
      </c>
    </row>
    <row r="92" spans="1:77" x14ac:dyDescent="0.3">
      <c r="A92" s="2">
        <v>45499</v>
      </c>
      <c r="B92" s="1">
        <v>208</v>
      </c>
      <c r="C92" s="1" t="s">
        <v>168</v>
      </c>
      <c r="D92" s="1" t="s">
        <v>152</v>
      </c>
      <c r="E92" s="1">
        <v>0</v>
      </c>
      <c r="F92" s="1">
        <v>0</v>
      </c>
      <c r="G92" s="1">
        <v>0</v>
      </c>
      <c r="H92" s="1">
        <v>0</v>
      </c>
      <c r="I92" s="1">
        <v>0</v>
      </c>
      <c r="J92" s="1">
        <v>0</v>
      </c>
      <c r="K92" s="1">
        <v>0</v>
      </c>
      <c r="L92" s="1">
        <v>0</v>
      </c>
      <c r="M92" s="1">
        <v>0</v>
      </c>
      <c r="N92" s="1">
        <v>0</v>
      </c>
      <c r="O92" s="1">
        <v>0</v>
      </c>
      <c r="P92" s="1">
        <v>0</v>
      </c>
      <c r="Q92" s="1">
        <v>0</v>
      </c>
      <c r="R92" s="1">
        <v>0</v>
      </c>
      <c r="S92" s="1">
        <v>0</v>
      </c>
      <c r="T92" s="1">
        <v>0</v>
      </c>
      <c r="U92" s="1">
        <v>0</v>
      </c>
      <c r="V92" s="1">
        <v>0</v>
      </c>
      <c r="W92" s="1">
        <v>0</v>
      </c>
      <c r="X92" s="1">
        <v>0</v>
      </c>
      <c r="Y92" s="1">
        <v>0</v>
      </c>
      <c r="Z92" s="1">
        <v>0</v>
      </c>
      <c r="AA92" s="1">
        <v>0</v>
      </c>
      <c r="AB92" s="1">
        <v>0</v>
      </c>
      <c r="AC92" s="1">
        <v>0</v>
      </c>
      <c r="AD92" s="1">
        <v>0</v>
      </c>
      <c r="AE92" s="1">
        <v>0</v>
      </c>
      <c r="AF92" s="1">
        <v>0</v>
      </c>
      <c r="AG92" s="1">
        <v>0</v>
      </c>
      <c r="AH92" s="1">
        <v>0</v>
      </c>
      <c r="AI92" s="1">
        <v>0</v>
      </c>
      <c r="AJ92" s="1">
        <v>0</v>
      </c>
      <c r="AK92" s="1">
        <v>0</v>
      </c>
      <c r="AL92" s="1">
        <v>0</v>
      </c>
      <c r="AM92" s="1">
        <v>0</v>
      </c>
      <c r="AN92" s="1">
        <v>0</v>
      </c>
      <c r="AO92" s="1">
        <v>0</v>
      </c>
      <c r="AP92" s="1">
        <v>0</v>
      </c>
      <c r="AQ92" s="1">
        <v>0</v>
      </c>
      <c r="AR92" s="1">
        <v>0</v>
      </c>
      <c r="AS92" s="1">
        <v>0</v>
      </c>
      <c r="AT92" s="1">
        <v>0</v>
      </c>
      <c r="AU92" s="1">
        <v>0</v>
      </c>
      <c r="AV92" s="1">
        <v>0</v>
      </c>
      <c r="AW92" s="1">
        <v>0</v>
      </c>
      <c r="AX92" s="1">
        <v>0</v>
      </c>
      <c r="AY92" s="1">
        <v>0</v>
      </c>
      <c r="AZ92" s="1">
        <v>0</v>
      </c>
      <c r="BA92" s="1">
        <v>0</v>
      </c>
      <c r="BB92" s="1">
        <v>0</v>
      </c>
      <c r="BC92" s="1">
        <v>0</v>
      </c>
      <c r="BD92" s="1">
        <v>0</v>
      </c>
      <c r="BE92" s="1">
        <v>0</v>
      </c>
      <c r="BF92" s="1">
        <v>0</v>
      </c>
      <c r="BG92" s="1">
        <v>0</v>
      </c>
      <c r="BH92" s="1">
        <v>0</v>
      </c>
      <c r="BI92" s="1">
        <v>0</v>
      </c>
      <c r="BJ92" s="1">
        <v>0</v>
      </c>
      <c r="BK92" s="1">
        <v>0</v>
      </c>
      <c r="BL92" s="1">
        <v>1</v>
      </c>
      <c r="BM92" s="1">
        <v>0</v>
      </c>
      <c r="BN92" s="1">
        <v>0</v>
      </c>
      <c r="BO92" s="1">
        <v>0</v>
      </c>
      <c r="BP92" s="1">
        <v>0</v>
      </c>
      <c r="BQ92" s="1">
        <v>0</v>
      </c>
      <c r="BR92" s="1">
        <v>0</v>
      </c>
      <c r="BS92" s="1">
        <v>0</v>
      </c>
      <c r="BT92" s="1">
        <v>0</v>
      </c>
      <c r="BU92" s="1">
        <v>0</v>
      </c>
      <c r="BV92" s="1">
        <v>0</v>
      </c>
      <c r="BW92" s="1">
        <v>0</v>
      </c>
      <c r="BX92" s="1">
        <v>0</v>
      </c>
      <c r="BY92" s="1">
        <v>0</v>
      </c>
    </row>
    <row r="93" spans="1:77" x14ac:dyDescent="0.3">
      <c r="A93" s="2">
        <v>45502</v>
      </c>
      <c r="B93" s="1">
        <v>211</v>
      </c>
      <c r="C93" s="1" t="s">
        <v>168</v>
      </c>
      <c r="D93" s="1" t="s">
        <v>152</v>
      </c>
      <c r="E93" s="1">
        <v>0</v>
      </c>
      <c r="F93" s="1">
        <v>0</v>
      </c>
      <c r="G93" s="1">
        <v>0</v>
      </c>
      <c r="H93" s="1">
        <v>0</v>
      </c>
      <c r="I93" s="1">
        <v>0</v>
      </c>
      <c r="J93" s="1">
        <v>0</v>
      </c>
      <c r="K93" s="1">
        <v>0</v>
      </c>
      <c r="L93" s="1">
        <v>0</v>
      </c>
      <c r="M93" s="1">
        <v>0</v>
      </c>
      <c r="N93" s="1">
        <v>0</v>
      </c>
      <c r="O93" s="1">
        <v>0</v>
      </c>
      <c r="P93" s="1">
        <v>0</v>
      </c>
      <c r="Q93" s="1">
        <v>0</v>
      </c>
      <c r="R93" s="1">
        <v>0</v>
      </c>
      <c r="S93" s="1">
        <v>0</v>
      </c>
      <c r="T93" s="1">
        <v>0</v>
      </c>
      <c r="U93" s="1">
        <v>0</v>
      </c>
      <c r="V93" s="1">
        <v>1</v>
      </c>
      <c r="W93" s="1">
        <v>0</v>
      </c>
      <c r="X93" s="1">
        <v>0</v>
      </c>
      <c r="Y93" s="1">
        <v>0</v>
      </c>
      <c r="Z93" s="1">
        <v>0</v>
      </c>
      <c r="AA93" s="1">
        <v>1</v>
      </c>
      <c r="AB93" s="1">
        <v>0</v>
      </c>
      <c r="AC93" s="1">
        <v>0</v>
      </c>
      <c r="AD93" s="1">
        <v>0</v>
      </c>
      <c r="AE93" s="1">
        <v>0</v>
      </c>
      <c r="AF93" s="1">
        <v>0</v>
      </c>
      <c r="AG93" s="1">
        <v>0</v>
      </c>
      <c r="AH93" s="1">
        <v>0</v>
      </c>
      <c r="AI93" s="1">
        <v>0</v>
      </c>
      <c r="AJ93" s="1">
        <v>0</v>
      </c>
      <c r="AK93" s="1">
        <v>1</v>
      </c>
      <c r="AL93" s="1">
        <v>1</v>
      </c>
      <c r="AM93" s="1">
        <v>0</v>
      </c>
      <c r="AN93" s="1">
        <v>0</v>
      </c>
      <c r="AO93" s="1">
        <v>0</v>
      </c>
      <c r="AP93" s="1">
        <v>0</v>
      </c>
      <c r="AQ93" s="1">
        <v>0</v>
      </c>
      <c r="AR93" s="1">
        <v>0</v>
      </c>
      <c r="AS93" s="1">
        <v>0</v>
      </c>
      <c r="AT93" s="1">
        <v>0</v>
      </c>
      <c r="AU93" s="1">
        <v>0</v>
      </c>
      <c r="AV93" s="1">
        <v>0</v>
      </c>
      <c r="AW93" s="1">
        <v>0</v>
      </c>
      <c r="AX93" s="1">
        <v>0</v>
      </c>
      <c r="AY93" s="1">
        <v>0</v>
      </c>
      <c r="AZ93" s="1">
        <v>0</v>
      </c>
      <c r="BA93" s="1">
        <v>0</v>
      </c>
      <c r="BB93" s="1">
        <v>0</v>
      </c>
      <c r="BC93" s="1">
        <v>0</v>
      </c>
      <c r="BD93" s="1">
        <v>0</v>
      </c>
      <c r="BE93" s="1">
        <v>0</v>
      </c>
      <c r="BF93" s="1">
        <v>0</v>
      </c>
      <c r="BG93" s="1">
        <v>0</v>
      </c>
      <c r="BH93" s="1">
        <v>0</v>
      </c>
      <c r="BI93" s="1">
        <v>0</v>
      </c>
      <c r="BJ93" s="1">
        <v>0</v>
      </c>
      <c r="BK93" s="1">
        <v>0</v>
      </c>
      <c r="BL93" s="1">
        <v>3</v>
      </c>
      <c r="BM93" s="1">
        <v>0</v>
      </c>
      <c r="BN93" s="1">
        <v>0</v>
      </c>
      <c r="BO93" s="1">
        <v>0</v>
      </c>
      <c r="BP93" s="1">
        <v>0</v>
      </c>
      <c r="BQ93" s="1">
        <v>0</v>
      </c>
      <c r="BR93" s="1">
        <v>0</v>
      </c>
      <c r="BS93" s="1">
        <v>0</v>
      </c>
      <c r="BT93" s="1">
        <v>1</v>
      </c>
      <c r="BU93" s="1">
        <v>0</v>
      </c>
      <c r="BV93" s="1">
        <v>0</v>
      </c>
      <c r="BW93" s="1">
        <v>0</v>
      </c>
      <c r="BX93" s="1">
        <v>0</v>
      </c>
      <c r="BY93" s="1">
        <v>0</v>
      </c>
    </row>
    <row r="94" spans="1:77" x14ac:dyDescent="0.3">
      <c r="A94" s="2">
        <v>45512</v>
      </c>
      <c r="B94" s="1">
        <v>221</v>
      </c>
      <c r="C94" s="1" t="s">
        <v>168</v>
      </c>
      <c r="D94" s="1" t="s">
        <v>152</v>
      </c>
      <c r="E94" s="1">
        <v>0</v>
      </c>
      <c r="F94" s="1">
        <v>0</v>
      </c>
      <c r="G94" s="1">
        <v>0</v>
      </c>
      <c r="H94" s="1">
        <v>0</v>
      </c>
      <c r="I94" s="1">
        <v>0</v>
      </c>
      <c r="J94" s="1">
        <v>0</v>
      </c>
      <c r="K94" s="1">
        <v>0</v>
      </c>
      <c r="L94" s="1">
        <v>0</v>
      </c>
      <c r="M94" s="1">
        <v>0</v>
      </c>
      <c r="N94" s="1">
        <v>0</v>
      </c>
      <c r="O94" s="1">
        <v>0</v>
      </c>
      <c r="P94" s="1">
        <v>0</v>
      </c>
      <c r="Q94" s="1">
        <v>0</v>
      </c>
      <c r="R94" s="1">
        <v>0</v>
      </c>
      <c r="S94" s="1">
        <v>0</v>
      </c>
      <c r="T94" s="1">
        <v>0</v>
      </c>
      <c r="U94" s="1">
        <v>0</v>
      </c>
      <c r="V94" s="1">
        <v>0</v>
      </c>
      <c r="W94" s="1">
        <v>0</v>
      </c>
      <c r="X94" s="1">
        <v>0</v>
      </c>
      <c r="Y94" s="1">
        <v>0</v>
      </c>
      <c r="Z94" s="1">
        <v>0</v>
      </c>
      <c r="AA94" s="1">
        <v>0</v>
      </c>
      <c r="AB94" s="1">
        <v>0</v>
      </c>
      <c r="AC94" s="1">
        <v>0</v>
      </c>
      <c r="AD94" s="1">
        <v>0</v>
      </c>
      <c r="AE94" s="1">
        <v>0</v>
      </c>
      <c r="AF94" s="1">
        <v>0</v>
      </c>
      <c r="AG94" s="1">
        <v>0</v>
      </c>
      <c r="AH94" s="1">
        <v>0</v>
      </c>
      <c r="AI94" s="1">
        <v>0</v>
      </c>
      <c r="AJ94" s="1">
        <v>0</v>
      </c>
      <c r="AK94" s="1">
        <v>0</v>
      </c>
      <c r="AL94" s="1">
        <v>1</v>
      </c>
      <c r="AM94" s="1">
        <v>0</v>
      </c>
      <c r="AN94" s="1">
        <v>0</v>
      </c>
      <c r="AO94" s="1">
        <v>0</v>
      </c>
      <c r="AP94" s="1">
        <v>0</v>
      </c>
      <c r="AQ94" s="1">
        <v>0</v>
      </c>
      <c r="AR94" s="1">
        <v>0</v>
      </c>
      <c r="AS94" s="1">
        <v>0</v>
      </c>
      <c r="AT94" s="1">
        <v>0</v>
      </c>
      <c r="AU94" s="1">
        <v>0</v>
      </c>
      <c r="AV94" s="1">
        <v>0</v>
      </c>
      <c r="AW94" s="1">
        <v>0</v>
      </c>
      <c r="AX94" s="1">
        <v>0</v>
      </c>
      <c r="AY94" s="1">
        <v>0</v>
      </c>
      <c r="AZ94" s="1">
        <v>0</v>
      </c>
      <c r="BA94" s="1">
        <v>0</v>
      </c>
      <c r="BB94" s="1">
        <v>0</v>
      </c>
      <c r="BC94" s="1">
        <v>0</v>
      </c>
      <c r="BD94" s="1">
        <v>0</v>
      </c>
      <c r="BE94" s="1">
        <v>0</v>
      </c>
      <c r="BF94" s="1">
        <v>0</v>
      </c>
      <c r="BG94" s="1">
        <v>1</v>
      </c>
      <c r="BH94" s="1">
        <v>0</v>
      </c>
      <c r="BI94" s="1">
        <v>0</v>
      </c>
      <c r="BJ94" s="1">
        <v>0</v>
      </c>
      <c r="BK94" s="1">
        <v>0</v>
      </c>
      <c r="BL94" s="1">
        <v>0</v>
      </c>
      <c r="BM94" s="1">
        <v>0</v>
      </c>
      <c r="BN94" s="1">
        <v>0</v>
      </c>
      <c r="BO94" s="1">
        <v>0</v>
      </c>
      <c r="BP94" s="1">
        <v>0</v>
      </c>
      <c r="BQ94" s="1">
        <v>0</v>
      </c>
      <c r="BR94" s="1">
        <v>0</v>
      </c>
      <c r="BS94" s="1">
        <v>0</v>
      </c>
      <c r="BT94" s="1">
        <v>0</v>
      </c>
      <c r="BU94" s="1">
        <v>0</v>
      </c>
      <c r="BV94" s="1">
        <v>0</v>
      </c>
      <c r="BW94" s="1">
        <v>0</v>
      </c>
      <c r="BX94" s="1">
        <v>0</v>
      </c>
      <c r="BY94" s="1">
        <v>0</v>
      </c>
    </row>
    <row r="95" spans="1:77" x14ac:dyDescent="0.3">
      <c r="A95" s="2">
        <v>45512</v>
      </c>
      <c r="B95" s="1">
        <v>221</v>
      </c>
      <c r="C95" s="1" t="s">
        <v>209</v>
      </c>
      <c r="D95" s="1" t="s">
        <v>201</v>
      </c>
      <c r="E95" s="1">
        <v>0</v>
      </c>
      <c r="F95" s="1">
        <v>0</v>
      </c>
      <c r="G95" s="1">
        <v>0</v>
      </c>
      <c r="H95" s="1">
        <v>0</v>
      </c>
      <c r="I95" s="1">
        <v>0</v>
      </c>
      <c r="J95" s="1">
        <v>0</v>
      </c>
      <c r="K95" s="1">
        <v>0</v>
      </c>
      <c r="L95" s="1">
        <v>0</v>
      </c>
      <c r="M95" s="1">
        <v>0</v>
      </c>
      <c r="N95" s="1">
        <v>0</v>
      </c>
      <c r="O95" s="1">
        <v>0</v>
      </c>
      <c r="P95" s="1">
        <v>0</v>
      </c>
      <c r="Q95" s="1">
        <v>0</v>
      </c>
      <c r="R95" s="1">
        <v>0</v>
      </c>
      <c r="S95" s="1">
        <v>0</v>
      </c>
      <c r="T95" s="1">
        <v>0</v>
      </c>
      <c r="U95" s="1">
        <v>0</v>
      </c>
      <c r="V95" s="1">
        <v>0</v>
      </c>
      <c r="W95" s="1">
        <v>0</v>
      </c>
      <c r="X95" s="1">
        <v>0</v>
      </c>
      <c r="Y95" s="1">
        <v>0</v>
      </c>
      <c r="Z95" s="1">
        <v>0</v>
      </c>
      <c r="AA95" s="1">
        <v>0</v>
      </c>
      <c r="AB95" s="1">
        <v>0</v>
      </c>
      <c r="AC95" s="1">
        <v>0</v>
      </c>
      <c r="AD95" s="1">
        <v>0</v>
      </c>
      <c r="AE95" s="1">
        <v>0</v>
      </c>
      <c r="AF95" s="1">
        <v>0</v>
      </c>
      <c r="AG95" s="1">
        <v>0</v>
      </c>
      <c r="AH95" s="1">
        <v>0</v>
      </c>
      <c r="AI95" s="1">
        <v>0</v>
      </c>
      <c r="AJ95" s="1">
        <v>0</v>
      </c>
      <c r="AK95" s="1">
        <v>0</v>
      </c>
      <c r="AL95" s="1">
        <v>0</v>
      </c>
      <c r="AM95" s="1">
        <v>0</v>
      </c>
      <c r="AN95" s="1">
        <v>0</v>
      </c>
      <c r="AO95" s="1">
        <v>0</v>
      </c>
      <c r="AP95" s="1">
        <v>0</v>
      </c>
      <c r="AQ95" s="1">
        <v>0</v>
      </c>
      <c r="AR95" s="1">
        <v>0</v>
      </c>
      <c r="AS95" s="1">
        <v>0</v>
      </c>
      <c r="AT95" s="1">
        <v>0</v>
      </c>
      <c r="AU95" s="1">
        <v>0</v>
      </c>
      <c r="AV95" s="1">
        <v>0</v>
      </c>
      <c r="AW95" s="1">
        <v>0</v>
      </c>
      <c r="AX95" s="1">
        <v>0</v>
      </c>
      <c r="AY95" s="1">
        <v>0</v>
      </c>
      <c r="AZ95" s="1">
        <v>0</v>
      </c>
      <c r="BA95" s="1">
        <v>0</v>
      </c>
      <c r="BB95" s="1">
        <v>0</v>
      </c>
      <c r="BC95" s="1">
        <v>0</v>
      </c>
      <c r="BD95" s="1">
        <v>0</v>
      </c>
      <c r="BE95" s="1">
        <v>0</v>
      </c>
      <c r="BF95" s="1">
        <v>0</v>
      </c>
      <c r="BG95" s="1">
        <v>0</v>
      </c>
      <c r="BH95" s="1">
        <v>0</v>
      </c>
      <c r="BI95" s="1">
        <v>0</v>
      </c>
      <c r="BJ95" s="1">
        <v>0</v>
      </c>
      <c r="BK95" s="1">
        <v>0</v>
      </c>
      <c r="BL95" s="1">
        <v>0</v>
      </c>
      <c r="BM95" s="1">
        <v>0</v>
      </c>
      <c r="BN95" s="1">
        <v>1</v>
      </c>
      <c r="BO95" s="1">
        <v>0</v>
      </c>
      <c r="BP95" s="1">
        <v>0</v>
      </c>
      <c r="BQ95" s="1">
        <v>0</v>
      </c>
      <c r="BR95" s="1">
        <v>0</v>
      </c>
      <c r="BS95" s="1">
        <v>0</v>
      </c>
      <c r="BT95" s="1">
        <v>0</v>
      </c>
      <c r="BU95" s="1">
        <v>0</v>
      </c>
      <c r="BV95" s="1">
        <v>0</v>
      </c>
      <c r="BW95" s="1">
        <v>0</v>
      </c>
      <c r="BX95" s="1">
        <v>0</v>
      </c>
      <c r="BY95" s="1">
        <v>0</v>
      </c>
    </row>
    <row r="96" spans="1:77" x14ac:dyDescent="0.3">
      <c r="A96" s="2">
        <v>45517</v>
      </c>
      <c r="B96" s="1">
        <v>226</v>
      </c>
      <c r="C96" s="1" t="s">
        <v>209</v>
      </c>
      <c r="D96" s="1" t="s">
        <v>152</v>
      </c>
      <c r="E96" s="1">
        <v>0</v>
      </c>
      <c r="F96" s="1">
        <v>0</v>
      </c>
      <c r="G96" s="1">
        <v>0</v>
      </c>
      <c r="H96" s="1">
        <v>0</v>
      </c>
      <c r="I96" s="1">
        <v>0</v>
      </c>
      <c r="J96" s="1">
        <v>0</v>
      </c>
      <c r="K96" s="1">
        <v>0</v>
      </c>
      <c r="L96" s="1">
        <v>0</v>
      </c>
      <c r="M96" s="1">
        <v>0</v>
      </c>
      <c r="N96" s="1">
        <v>0</v>
      </c>
      <c r="O96" s="1">
        <v>0</v>
      </c>
      <c r="P96" s="1">
        <v>0</v>
      </c>
      <c r="Q96" s="1">
        <v>1</v>
      </c>
      <c r="R96" s="1">
        <v>0</v>
      </c>
      <c r="S96" s="1">
        <v>0</v>
      </c>
      <c r="T96" s="1">
        <v>0</v>
      </c>
      <c r="U96" s="1">
        <v>0</v>
      </c>
      <c r="V96" s="1">
        <v>0</v>
      </c>
      <c r="W96" s="1">
        <v>0</v>
      </c>
      <c r="X96" s="1">
        <v>0</v>
      </c>
      <c r="Y96" s="1">
        <v>1</v>
      </c>
      <c r="Z96" s="1">
        <v>0</v>
      </c>
      <c r="AA96" s="1">
        <v>0</v>
      </c>
      <c r="AB96" s="1">
        <v>0</v>
      </c>
      <c r="AC96" s="1">
        <v>0</v>
      </c>
      <c r="AD96" s="1">
        <v>0</v>
      </c>
      <c r="AE96" s="1">
        <v>0</v>
      </c>
      <c r="AF96" s="1">
        <v>0</v>
      </c>
      <c r="AG96" s="1">
        <v>0</v>
      </c>
      <c r="AH96" s="1">
        <v>0</v>
      </c>
      <c r="AI96" s="1">
        <v>0</v>
      </c>
      <c r="AJ96" s="1">
        <v>0</v>
      </c>
      <c r="AK96" s="1">
        <v>0</v>
      </c>
      <c r="AL96" s="1">
        <v>0</v>
      </c>
      <c r="AM96" s="1">
        <v>0</v>
      </c>
      <c r="AN96" s="1">
        <v>0</v>
      </c>
      <c r="AO96" s="1">
        <v>0</v>
      </c>
      <c r="AP96" s="1">
        <v>0</v>
      </c>
      <c r="AQ96" s="1">
        <v>0</v>
      </c>
      <c r="AR96" s="1">
        <v>0</v>
      </c>
      <c r="AS96" s="1">
        <v>0</v>
      </c>
      <c r="AT96" s="1">
        <v>0</v>
      </c>
      <c r="AU96" s="1">
        <v>0</v>
      </c>
      <c r="AV96" s="1">
        <v>0</v>
      </c>
      <c r="AW96" s="1">
        <v>0</v>
      </c>
      <c r="AX96" s="1">
        <v>0</v>
      </c>
      <c r="AY96" s="1">
        <v>0</v>
      </c>
      <c r="AZ96" s="1">
        <v>0</v>
      </c>
      <c r="BA96" s="1">
        <v>0</v>
      </c>
      <c r="BB96" s="1">
        <v>0</v>
      </c>
      <c r="BC96" s="1">
        <v>0</v>
      </c>
      <c r="BD96" s="1">
        <v>0</v>
      </c>
      <c r="BE96" s="1">
        <v>0</v>
      </c>
      <c r="BF96" s="1">
        <v>0</v>
      </c>
      <c r="BG96" s="1">
        <v>0</v>
      </c>
      <c r="BH96" s="1">
        <v>0</v>
      </c>
      <c r="BI96" s="1">
        <v>0</v>
      </c>
      <c r="BJ96" s="1">
        <v>0</v>
      </c>
      <c r="BK96" s="1">
        <v>0</v>
      </c>
      <c r="BL96" s="1">
        <v>0</v>
      </c>
      <c r="BM96" s="1">
        <v>0</v>
      </c>
      <c r="BN96" s="1">
        <v>0</v>
      </c>
      <c r="BO96" s="1">
        <v>0</v>
      </c>
      <c r="BP96" s="1">
        <v>0</v>
      </c>
      <c r="BQ96" s="1">
        <v>0</v>
      </c>
      <c r="BR96" s="1">
        <v>0</v>
      </c>
      <c r="BS96" s="1">
        <v>0</v>
      </c>
      <c r="BT96" s="1">
        <v>0</v>
      </c>
      <c r="BU96" s="1">
        <v>0</v>
      </c>
      <c r="BV96" s="1">
        <v>0</v>
      </c>
      <c r="BW96" s="1">
        <v>0</v>
      </c>
      <c r="BX96" s="1">
        <v>0</v>
      </c>
      <c r="BY96" s="1">
        <v>0</v>
      </c>
    </row>
    <row r="97" spans="1:77" x14ac:dyDescent="0.3">
      <c r="A97" s="2">
        <v>45524</v>
      </c>
      <c r="B97" s="1">
        <v>233</v>
      </c>
      <c r="C97" s="1" t="s">
        <v>209</v>
      </c>
      <c r="D97" s="1" t="s">
        <v>175</v>
      </c>
      <c r="E97" s="1">
        <v>0</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s="1">
        <v>0</v>
      </c>
      <c r="AH97" s="1">
        <v>0</v>
      </c>
      <c r="AI97" s="1">
        <v>0</v>
      </c>
      <c r="AJ97" s="1">
        <v>0</v>
      </c>
      <c r="AK97" s="1">
        <v>0</v>
      </c>
      <c r="AL97" s="1">
        <v>0</v>
      </c>
      <c r="AM97" s="1">
        <v>0</v>
      </c>
      <c r="AN97" s="1">
        <v>0</v>
      </c>
      <c r="AO97" s="1">
        <v>0</v>
      </c>
      <c r="AP97" s="1">
        <v>0</v>
      </c>
      <c r="AQ97" s="1">
        <v>0</v>
      </c>
      <c r="AR97" s="1">
        <v>0</v>
      </c>
      <c r="AS97" s="1">
        <v>0</v>
      </c>
      <c r="AT97" s="1">
        <v>0</v>
      </c>
      <c r="AU97" s="1">
        <v>0</v>
      </c>
      <c r="AV97" s="1">
        <v>0</v>
      </c>
      <c r="AW97" s="1">
        <v>1</v>
      </c>
      <c r="AX97" s="1">
        <v>1</v>
      </c>
      <c r="AY97" s="1">
        <v>0</v>
      </c>
      <c r="AZ97" s="1">
        <v>0</v>
      </c>
      <c r="BA97" s="1">
        <v>0</v>
      </c>
      <c r="BB97" s="1">
        <v>0</v>
      </c>
      <c r="BC97" s="1">
        <v>0</v>
      </c>
      <c r="BD97" s="1">
        <v>0</v>
      </c>
      <c r="BE97" s="1">
        <v>0</v>
      </c>
      <c r="BF97" s="1">
        <v>0</v>
      </c>
      <c r="BG97" s="1">
        <v>0</v>
      </c>
      <c r="BH97" s="1">
        <v>0</v>
      </c>
      <c r="BI97" s="1">
        <v>0</v>
      </c>
      <c r="BJ97" s="1">
        <v>0</v>
      </c>
      <c r="BK97" s="1">
        <v>0</v>
      </c>
      <c r="BL97" s="1">
        <v>1</v>
      </c>
      <c r="BM97" s="1">
        <v>0</v>
      </c>
      <c r="BN97" s="1">
        <v>0</v>
      </c>
      <c r="BO97" s="1">
        <v>0</v>
      </c>
      <c r="BP97" s="1">
        <v>0</v>
      </c>
      <c r="BQ97" s="1">
        <v>0</v>
      </c>
      <c r="BR97" s="1">
        <v>0</v>
      </c>
      <c r="BS97" s="1">
        <v>0</v>
      </c>
      <c r="BT97" s="1">
        <v>0</v>
      </c>
      <c r="BU97" s="1">
        <v>0</v>
      </c>
      <c r="BV97" s="1">
        <v>0</v>
      </c>
      <c r="BW97" s="1">
        <v>0</v>
      </c>
      <c r="BX97" s="1">
        <v>0</v>
      </c>
      <c r="BY97" s="1">
        <v>0</v>
      </c>
    </row>
    <row r="98" spans="1:77" x14ac:dyDescent="0.3">
      <c r="A98" s="2">
        <v>45496</v>
      </c>
      <c r="B98" s="1">
        <v>205</v>
      </c>
      <c r="C98" s="1" t="s">
        <v>180</v>
      </c>
      <c r="D98" s="1" t="s">
        <v>152</v>
      </c>
      <c r="E98" s="1">
        <v>0</v>
      </c>
      <c r="F98" s="1">
        <v>0</v>
      </c>
      <c r="G98" s="1">
        <v>0</v>
      </c>
      <c r="H98" s="1">
        <v>0</v>
      </c>
      <c r="I98" s="1">
        <v>0</v>
      </c>
      <c r="J98" s="1">
        <v>0</v>
      </c>
      <c r="K98" s="1">
        <v>0</v>
      </c>
      <c r="L98" s="1">
        <v>0</v>
      </c>
      <c r="M98" s="1">
        <v>0</v>
      </c>
      <c r="N98" s="1">
        <v>0</v>
      </c>
      <c r="O98" s="1">
        <v>0</v>
      </c>
      <c r="P98" s="1">
        <v>0</v>
      </c>
      <c r="Q98" s="1">
        <v>0</v>
      </c>
      <c r="R98" s="1">
        <v>0</v>
      </c>
      <c r="S98" s="1">
        <v>0</v>
      </c>
      <c r="T98" s="1">
        <v>0</v>
      </c>
      <c r="U98" s="1">
        <v>2</v>
      </c>
      <c r="V98" s="1">
        <v>0</v>
      </c>
      <c r="W98" s="1">
        <v>0</v>
      </c>
      <c r="X98" s="1">
        <v>0</v>
      </c>
      <c r="Y98" s="1">
        <v>0</v>
      </c>
      <c r="Z98" s="1">
        <v>0</v>
      </c>
      <c r="AA98" s="1">
        <v>0</v>
      </c>
      <c r="AB98" s="1">
        <v>0</v>
      </c>
      <c r="AC98" s="1">
        <v>0</v>
      </c>
      <c r="AD98" s="1">
        <v>0</v>
      </c>
      <c r="AE98" s="1">
        <v>0</v>
      </c>
      <c r="AF98" s="1">
        <v>0</v>
      </c>
      <c r="AG98" s="1">
        <v>0</v>
      </c>
      <c r="AH98" s="1">
        <v>0</v>
      </c>
      <c r="AI98" s="1">
        <v>0</v>
      </c>
      <c r="AJ98" s="1">
        <v>0</v>
      </c>
      <c r="AK98" s="1">
        <v>0</v>
      </c>
      <c r="AL98" s="1">
        <v>0</v>
      </c>
      <c r="AM98" s="1">
        <v>0</v>
      </c>
      <c r="AN98" s="1">
        <v>0</v>
      </c>
      <c r="AO98" s="1">
        <v>0</v>
      </c>
      <c r="AP98" s="1">
        <v>0</v>
      </c>
      <c r="AQ98" s="1">
        <v>0</v>
      </c>
      <c r="AR98" s="1">
        <v>0</v>
      </c>
      <c r="AS98" s="1">
        <v>0</v>
      </c>
      <c r="AT98" s="1">
        <v>0</v>
      </c>
      <c r="AU98" s="1">
        <v>0</v>
      </c>
      <c r="AV98" s="1">
        <v>0</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row>
    <row r="99" spans="1:77" x14ac:dyDescent="0.3">
      <c r="A99" s="2">
        <v>45490</v>
      </c>
      <c r="B99" s="1">
        <v>199</v>
      </c>
      <c r="C99" s="1" t="s">
        <v>169</v>
      </c>
      <c r="D99" s="1" t="s">
        <v>152</v>
      </c>
      <c r="E99" s="1">
        <v>0</v>
      </c>
      <c r="F99" s="1">
        <v>0</v>
      </c>
      <c r="G99" s="1">
        <v>0</v>
      </c>
      <c r="H99" s="1">
        <v>2</v>
      </c>
      <c r="I99" s="1">
        <v>0</v>
      </c>
      <c r="J99" s="1">
        <v>0</v>
      </c>
      <c r="K99" s="1">
        <v>0</v>
      </c>
      <c r="L99" s="1">
        <v>0</v>
      </c>
      <c r="M99" s="1">
        <v>0</v>
      </c>
      <c r="N99" s="1">
        <v>0</v>
      </c>
      <c r="O99" s="1">
        <v>0</v>
      </c>
      <c r="P99" s="1">
        <v>0</v>
      </c>
      <c r="Q99" s="1">
        <v>0</v>
      </c>
      <c r="R99" s="1">
        <v>0</v>
      </c>
      <c r="S99" s="1">
        <v>0</v>
      </c>
      <c r="T99" s="1">
        <v>0</v>
      </c>
      <c r="U99" s="1">
        <v>0</v>
      </c>
      <c r="V99" s="1">
        <v>0</v>
      </c>
      <c r="W99" s="1">
        <v>0</v>
      </c>
      <c r="X99" s="1">
        <v>0</v>
      </c>
      <c r="Y99" s="1">
        <v>0</v>
      </c>
      <c r="Z99" s="1">
        <v>0</v>
      </c>
      <c r="AA99" s="1">
        <v>1</v>
      </c>
      <c r="AB99" s="1">
        <v>0</v>
      </c>
      <c r="AC99" s="1">
        <v>0</v>
      </c>
      <c r="AD99" s="1">
        <v>0</v>
      </c>
      <c r="AE99" s="1">
        <v>0</v>
      </c>
      <c r="AF99" s="1">
        <v>0</v>
      </c>
      <c r="AG99" s="1">
        <v>0</v>
      </c>
      <c r="AH99" s="1">
        <v>1</v>
      </c>
      <c r="AI99" s="1">
        <v>0</v>
      </c>
      <c r="AJ99" s="1">
        <v>0</v>
      </c>
      <c r="AK99" s="1">
        <v>0</v>
      </c>
      <c r="AL99" s="1">
        <v>0</v>
      </c>
      <c r="AM99" s="1">
        <v>0</v>
      </c>
      <c r="AN99" s="1">
        <v>0</v>
      </c>
      <c r="AO99" s="1">
        <v>0</v>
      </c>
      <c r="AP99" s="1">
        <v>0</v>
      </c>
      <c r="AQ99" s="1">
        <v>0</v>
      </c>
      <c r="AR99" s="1">
        <v>0</v>
      </c>
      <c r="AS99" s="1">
        <v>0</v>
      </c>
      <c r="AT99" s="1">
        <v>0</v>
      </c>
      <c r="AU99" s="1">
        <v>0</v>
      </c>
      <c r="AV99" s="1">
        <v>0</v>
      </c>
      <c r="AW99" s="1">
        <v>0</v>
      </c>
      <c r="AX99" s="1">
        <v>0</v>
      </c>
      <c r="AY99" s="1">
        <v>0</v>
      </c>
      <c r="AZ99" s="1">
        <v>0</v>
      </c>
      <c r="BA99" s="1">
        <v>0</v>
      </c>
      <c r="BB99" s="1">
        <v>0</v>
      </c>
      <c r="BC99" s="1">
        <v>3</v>
      </c>
      <c r="BD99" s="1">
        <v>0</v>
      </c>
      <c r="BE99" s="1">
        <v>0</v>
      </c>
      <c r="BF99" s="1">
        <v>0</v>
      </c>
      <c r="BG99" s="1">
        <v>0</v>
      </c>
      <c r="BH99" s="1">
        <v>0</v>
      </c>
      <c r="BI99" s="1">
        <v>0</v>
      </c>
      <c r="BJ99" s="1">
        <v>1</v>
      </c>
      <c r="BK99" s="1">
        <v>1</v>
      </c>
      <c r="BL99" s="1">
        <v>0</v>
      </c>
      <c r="BM99" s="1">
        <v>0</v>
      </c>
      <c r="BN99" s="1">
        <v>0</v>
      </c>
      <c r="BO99" s="1">
        <v>0</v>
      </c>
      <c r="BP99" s="1">
        <v>0</v>
      </c>
      <c r="BQ99" s="1">
        <v>0</v>
      </c>
      <c r="BR99" s="1">
        <v>0</v>
      </c>
      <c r="BS99" s="1">
        <v>0</v>
      </c>
      <c r="BT99" s="1">
        <v>0</v>
      </c>
      <c r="BU99" s="1">
        <v>0</v>
      </c>
      <c r="BV99" s="1">
        <v>0</v>
      </c>
      <c r="BW99" s="1">
        <v>0</v>
      </c>
      <c r="BX99" s="1">
        <v>0</v>
      </c>
      <c r="BY99" s="1">
        <v>0</v>
      </c>
    </row>
    <row r="100" spans="1:77" x14ac:dyDescent="0.3">
      <c r="A100" s="2">
        <v>45499</v>
      </c>
      <c r="B100" s="1">
        <v>208</v>
      </c>
      <c r="C100" s="1" t="s">
        <v>169</v>
      </c>
      <c r="D100" s="1" t="s">
        <v>152</v>
      </c>
      <c r="E100" s="1">
        <v>0</v>
      </c>
      <c r="F100" s="1">
        <v>0</v>
      </c>
      <c r="G100" s="1">
        <v>0</v>
      </c>
      <c r="H100" s="1">
        <v>0</v>
      </c>
      <c r="I100" s="1">
        <v>0</v>
      </c>
      <c r="J100" s="1">
        <v>0</v>
      </c>
      <c r="K100" s="1">
        <v>0</v>
      </c>
      <c r="L100" s="1">
        <v>0</v>
      </c>
      <c r="M100" s="1">
        <v>0</v>
      </c>
      <c r="N100" s="1">
        <v>0</v>
      </c>
      <c r="O100" s="1">
        <v>0</v>
      </c>
      <c r="P100" s="1">
        <v>0</v>
      </c>
      <c r="Q100" s="1">
        <v>0</v>
      </c>
      <c r="R100" s="1">
        <v>0</v>
      </c>
      <c r="S100" s="1">
        <v>0</v>
      </c>
      <c r="T100" s="1">
        <v>0</v>
      </c>
      <c r="U100" s="1">
        <v>0</v>
      </c>
      <c r="V100" s="1">
        <v>0</v>
      </c>
      <c r="W100" s="1">
        <v>0</v>
      </c>
      <c r="X100" s="1">
        <v>0</v>
      </c>
      <c r="Y100" s="1">
        <v>0</v>
      </c>
      <c r="Z100" s="1">
        <v>0</v>
      </c>
      <c r="AA100" s="1">
        <v>0</v>
      </c>
      <c r="AB100" s="1">
        <v>0</v>
      </c>
      <c r="AC100" s="1">
        <v>0</v>
      </c>
      <c r="AD100" s="1">
        <v>0</v>
      </c>
      <c r="AE100" s="1">
        <v>0</v>
      </c>
      <c r="AF100" s="1">
        <v>0</v>
      </c>
      <c r="AG100" s="1">
        <v>0</v>
      </c>
      <c r="AH100" s="1">
        <v>0</v>
      </c>
      <c r="AI100" s="1">
        <v>0</v>
      </c>
      <c r="AJ100" s="1">
        <v>0</v>
      </c>
      <c r="AK100" s="1">
        <v>0</v>
      </c>
      <c r="AL100" s="1">
        <v>0</v>
      </c>
      <c r="AM100" s="1">
        <v>0</v>
      </c>
      <c r="AN100" s="1">
        <v>0</v>
      </c>
      <c r="AO100" s="1">
        <v>0</v>
      </c>
      <c r="AP100" s="1">
        <v>0</v>
      </c>
      <c r="AQ100" s="1">
        <v>0</v>
      </c>
      <c r="AR100" s="1">
        <v>0</v>
      </c>
      <c r="AS100" s="1">
        <v>0</v>
      </c>
      <c r="AT100" s="1">
        <v>0</v>
      </c>
      <c r="AU100" s="1">
        <v>0</v>
      </c>
      <c r="AV100" s="1">
        <v>0</v>
      </c>
      <c r="AW100" s="1">
        <v>0</v>
      </c>
      <c r="AX100" s="1">
        <v>0</v>
      </c>
      <c r="AY100" s="1">
        <v>0</v>
      </c>
      <c r="AZ100" s="1">
        <v>0</v>
      </c>
      <c r="BA100" s="1">
        <v>0</v>
      </c>
      <c r="BB100" s="1">
        <v>0</v>
      </c>
      <c r="BC100" s="1">
        <v>1</v>
      </c>
      <c r="BD100" s="1">
        <v>0</v>
      </c>
      <c r="BE100" s="1">
        <v>0</v>
      </c>
      <c r="BF100" s="1">
        <v>0</v>
      </c>
      <c r="BG100" s="1">
        <v>0</v>
      </c>
      <c r="BH100" s="1">
        <v>0</v>
      </c>
      <c r="BI100" s="1">
        <v>0</v>
      </c>
      <c r="BJ100" s="1">
        <v>0</v>
      </c>
      <c r="BK100" s="1">
        <v>0</v>
      </c>
      <c r="BL100" s="1">
        <v>0</v>
      </c>
      <c r="BM100" s="1">
        <v>0</v>
      </c>
      <c r="BN100" s="1">
        <v>0</v>
      </c>
      <c r="BO100" s="1">
        <v>0</v>
      </c>
      <c r="BP100" s="1">
        <v>0</v>
      </c>
      <c r="BQ100" s="1">
        <v>0</v>
      </c>
      <c r="BR100" s="1">
        <v>0</v>
      </c>
      <c r="BS100" s="1">
        <v>0</v>
      </c>
      <c r="BT100" s="1">
        <v>0</v>
      </c>
      <c r="BU100" s="1">
        <v>0</v>
      </c>
      <c r="BV100" s="1">
        <v>0</v>
      </c>
      <c r="BW100" s="1">
        <v>0</v>
      </c>
      <c r="BX100" s="1">
        <v>0</v>
      </c>
      <c r="BY100" s="1">
        <v>0</v>
      </c>
    </row>
    <row r="101" spans="1:77" x14ac:dyDescent="0.3">
      <c r="A101" s="2">
        <v>45518</v>
      </c>
      <c r="B101" s="1">
        <v>227</v>
      </c>
      <c r="C101" s="1" t="s">
        <v>169</v>
      </c>
      <c r="D101" s="1" t="s">
        <v>201</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1</v>
      </c>
      <c r="V101" s="1">
        <v>0</v>
      </c>
      <c r="W101" s="1">
        <v>0</v>
      </c>
      <c r="X101" s="1">
        <v>0</v>
      </c>
      <c r="Y101" s="1">
        <v>0</v>
      </c>
      <c r="Z101" s="1">
        <v>0</v>
      </c>
      <c r="AA101" s="1">
        <v>0</v>
      </c>
      <c r="AB101" s="1">
        <v>0</v>
      </c>
      <c r="AC101" s="1">
        <v>0</v>
      </c>
      <c r="AD101" s="1">
        <v>0</v>
      </c>
      <c r="AE101" s="1">
        <v>0</v>
      </c>
      <c r="AF101" s="1">
        <v>0</v>
      </c>
      <c r="AG101" s="1">
        <v>0</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1</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1</v>
      </c>
      <c r="BW101" s="1">
        <v>0</v>
      </c>
      <c r="BX101" s="1">
        <v>0</v>
      </c>
      <c r="BY101" s="1">
        <v>0</v>
      </c>
    </row>
    <row r="102" spans="1:77" x14ac:dyDescent="0.3">
      <c r="A102" s="2">
        <v>45524</v>
      </c>
      <c r="B102" s="1">
        <v>233</v>
      </c>
      <c r="C102" s="1" t="s">
        <v>169</v>
      </c>
      <c r="D102" s="1" t="s">
        <v>175</v>
      </c>
      <c r="E102" s="1">
        <v>0</v>
      </c>
      <c r="F102" s="1">
        <v>0</v>
      </c>
      <c r="G102" s="1">
        <v>1</v>
      </c>
      <c r="H102" s="1">
        <v>0</v>
      </c>
      <c r="I102" s="1">
        <v>0</v>
      </c>
      <c r="J102" s="1">
        <v>0</v>
      </c>
      <c r="K102" s="1">
        <v>0</v>
      </c>
      <c r="L102" s="1">
        <v>0</v>
      </c>
      <c r="M102" s="1">
        <v>0</v>
      </c>
      <c r="N102" s="1">
        <v>0</v>
      </c>
      <c r="O102" s="1">
        <v>0</v>
      </c>
      <c r="P102" s="1">
        <v>0</v>
      </c>
      <c r="Q102" s="1">
        <v>0</v>
      </c>
      <c r="R102" s="1">
        <v>1</v>
      </c>
      <c r="S102" s="1">
        <v>0</v>
      </c>
      <c r="T102" s="1">
        <v>0</v>
      </c>
      <c r="U102" s="1">
        <v>0</v>
      </c>
      <c r="V102" s="1">
        <v>0</v>
      </c>
      <c r="W102" s="1">
        <v>0</v>
      </c>
      <c r="X102" s="1">
        <v>0</v>
      </c>
      <c r="Y102" s="1">
        <v>0</v>
      </c>
      <c r="Z102" s="1">
        <v>0</v>
      </c>
      <c r="AA102" s="1">
        <v>0</v>
      </c>
      <c r="AB102" s="1">
        <v>0</v>
      </c>
      <c r="AC102" s="1">
        <v>0</v>
      </c>
      <c r="AD102" s="1">
        <v>0</v>
      </c>
      <c r="AE102" s="1">
        <v>0</v>
      </c>
      <c r="AF102" s="1">
        <v>0</v>
      </c>
      <c r="AG102" s="1">
        <v>0</v>
      </c>
      <c r="AH102" s="1">
        <v>0</v>
      </c>
      <c r="AI102" s="1">
        <v>0</v>
      </c>
      <c r="AJ102" s="1">
        <v>0</v>
      </c>
      <c r="AK102" s="1">
        <v>0</v>
      </c>
      <c r="AL102" s="1">
        <v>0</v>
      </c>
      <c r="AM102" s="1">
        <v>0</v>
      </c>
      <c r="AN102" s="1">
        <v>0</v>
      </c>
      <c r="AO102" s="1">
        <v>0</v>
      </c>
      <c r="AP102" s="1">
        <v>0</v>
      </c>
      <c r="AQ102" s="1">
        <v>0</v>
      </c>
      <c r="AR102" s="1">
        <v>0</v>
      </c>
      <c r="AS102" s="1">
        <v>0</v>
      </c>
      <c r="AT102" s="1">
        <v>0</v>
      </c>
      <c r="AU102" s="1">
        <v>0</v>
      </c>
      <c r="AV102" s="1">
        <v>0</v>
      </c>
      <c r="AW102" s="1">
        <v>0</v>
      </c>
      <c r="AX102" s="1">
        <v>0</v>
      </c>
      <c r="AY102" s="1">
        <v>0</v>
      </c>
      <c r="AZ102" s="1">
        <v>0</v>
      </c>
      <c r="BA102" s="1">
        <v>0</v>
      </c>
      <c r="BB102" s="1">
        <v>0</v>
      </c>
      <c r="BC102" s="1">
        <v>1</v>
      </c>
      <c r="BD102" s="1">
        <v>0</v>
      </c>
      <c r="BE102" s="1">
        <v>0</v>
      </c>
      <c r="BF102" s="1">
        <v>0</v>
      </c>
      <c r="BG102" s="1">
        <v>0</v>
      </c>
      <c r="BH102" s="1">
        <v>0</v>
      </c>
      <c r="BI102" s="1">
        <v>0</v>
      </c>
      <c r="BJ102" s="1">
        <v>0</v>
      </c>
      <c r="BK102" s="1">
        <v>0</v>
      </c>
      <c r="BL102" s="1">
        <v>1</v>
      </c>
      <c r="BM102" s="1">
        <v>0</v>
      </c>
      <c r="BN102" s="1">
        <v>0</v>
      </c>
      <c r="BO102" s="1">
        <v>0</v>
      </c>
      <c r="BP102" s="1">
        <v>0</v>
      </c>
      <c r="BQ102" s="1">
        <v>0</v>
      </c>
      <c r="BR102" s="1">
        <v>0</v>
      </c>
      <c r="BS102" s="1">
        <v>0</v>
      </c>
      <c r="BT102" s="1">
        <v>0</v>
      </c>
      <c r="BU102" s="1">
        <v>0</v>
      </c>
      <c r="BV102" s="1">
        <v>0</v>
      </c>
      <c r="BW102" s="1">
        <v>0</v>
      </c>
      <c r="BX102" s="1">
        <v>0</v>
      </c>
      <c r="BY102" s="1">
        <v>0</v>
      </c>
    </row>
    <row r="103" spans="1:77" x14ac:dyDescent="0.3">
      <c r="A103" s="2">
        <v>45483</v>
      </c>
      <c r="B103" s="1">
        <v>192</v>
      </c>
      <c r="C103" s="1" t="s">
        <v>159</v>
      </c>
      <c r="D103" s="1" t="s">
        <v>152</v>
      </c>
      <c r="E103" s="1">
        <v>0</v>
      </c>
      <c r="F103" s="1">
        <v>0</v>
      </c>
      <c r="G103" s="1">
        <v>0</v>
      </c>
      <c r="H103" s="1">
        <v>0</v>
      </c>
      <c r="I103" s="1">
        <v>0</v>
      </c>
      <c r="J103" s="1">
        <v>0</v>
      </c>
      <c r="K103" s="1">
        <v>0</v>
      </c>
      <c r="L103" s="1">
        <v>0</v>
      </c>
      <c r="M103" s="1">
        <v>0</v>
      </c>
      <c r="N103" s="1">
        <v>0</v>
      </c>
      <c r="O103" s="1">
        <v>0</v>
      </c>
      <c r="P103" s="1">
        <v>1</v>
      </c>
      <c r="Q103" s="1">
        <v>1</v>
      </c>
      <c r="R103" s="1">
        <v>0</v>
      </c>
      <c r="S103" s="1">
        <v>0</v>
      </c>
      <c r="T103" s="1">
        <v>0</v>
      </c>
      <c r="U103" s="1">
        <v>0</v>
      </c>
      <c r="V103" s="1">
        <v>0</v>
      </c>
      <c r="W103" s="1">
        <v>0</v>
      </c>
      <c r="X103" s="1">
        <v>0</v>
      </c>
      <c r="Y103" s="1">
        <v>0</v>
      </c>
      <c r="Z103" s="1">
        <v>0</v>
      </c>
      <c r="AA103" s="1">
        <v>2</v>
      </c>
      <c r="AB103" s="1">
        <v>0</v>
      </c>
      <c r="AC103" s="1">
        <v>0</v>
      </c>
      <c r="AD103" s="1">
        <v>0</v>
      </c>
      <c r="AE103" s="1">
        <v>0</v>
      </c>
      <c r="AF103" s="1">
        <v>0</v>
      </c>
      <c r="AG103" s="1">
        <v>0</v>
      </c>
      <c r="AH103" s="1">
        <v>0</v>
      </c>
      <c r="AI103" s="1">
        <v>0</v>
      </c>
      <c r="AJ103" s="1">
        <v>0</v>
      </c>
      <c r="AK103" s="1">
        <v>2</v>
      </c>
      <c r="AL103" s="1">
        <v>2</v>
      </c>
      <c r="AM103" s="1">
        <v>0</v>
      </c>
      <c r="AN103" s="1">
        <v>0</v>
      </c>
      <c r="AO103" s="1">
        <v>0</v>
      </c>
      <c r="AP103" s="1">
        <v>0</v>
      </c>
      <c r="AQ103" s="1">
        <v>0</v>
      </c>
      <c r="AR103" s="1">
        <v>0</v>
      </c>
      <c r="AS103" s="1">
        <v>0</v>
      </c>
      <c r="AT103" s="1">
        <v>0</v>
      </c>
      <c r="AU103" s="1">
        <v>0</v>
      </c>
      <c r="AV103" s="1">
        <v>0</v>
      </c>
      <c r="AW103" s="1">
        <v>0</v>
      </c>
      <c r="AX103" s="1">
        <v>0</v>
      </c>
      <c r="AY103" s="1">
        <v>0</v>
      </c>
      <c r="AZ103" s="1">
        <v>0</v>
      </c>
      <c r="BA103" s="1">
        <v>0</v>
      </c>
      <c r="BB103" s="1">
        <v>0</v>
      </c>
      <c r="BC103" s="1">
        <v>0</v>
      </c>
      <c r="BD103" s="1">
        <v>0</v>
      </c>
      <c r="BE103" s="1">
        <v>0</v>
      </c>
      <c r="BF103" s="1">
        <v>0</v>
      </c>
      <c r="BG103" s="1">
        <v>0</v>
      </c>
      <c r="BH103" s="1">
        <v>0</v>
      </c>
      <c r="BI103" s="1">
        <v>0</v>
      </c>
      <c r="BJ103" s="1">
        <v>0</v>
      </c>
      <c r="BK103" s="1">
        <v>1</v>
      </c>
      <c r="BL103" s="1">
        <v>2</v>
      </c>
      <c r="BM103" s="1">
        <v>0</v>
      </c>
      <c r="BN103" s="1">
        <v>0</v>
      </c>
      <c r="BO103" s="1">
        <v>0</v>
      </c>
      <c r="BP103" s="1">
        <v>0</v>
      </c>
      <c r="BQ103" s="1">
        <v>0</v>
      </c>
      <c r="BR103" s="1">
        <v>0</v>
      </c>
      <c r="BS103" s="1">
        <v>0</v>
      </c>
      <c r="BT103" s="1">
        <v>0</v>
      </c>
      <c r="BU103" s="1">
        <v>0</v>
      </c>
      <c r="BV103" s="1">
        <v>0</v>
      </c>
      <c r="BW103" s="1">
        <v>0</v>
      </c>
      <c r="BX103" s="1">
        <v>0</v>
      </c>
      <c r="BY103" s="1">
        <v>0</v>
      </c>
    </row>
    <row r="104" spans="1:77" x14ac:dyDescent="0.3">
      <c r="A104" s="2">
        <v>45498</v>
      </c>
      <c r="B104" s="1">
        <v>207</v>
      </c>
      <c r="C104" s="1" t="s">
        <v>159</v>
      </c>
      <c r="D104" s="1" t="s">
        <v>152</v>
      </c>
      <c r="E104" s="1">
        <v>0</v>
      </c>
      <c r="F104" s="1">
        <v>0</v>
      </c>
      <c r="G104" s="1">
        <v>0</v>
      </c>
      <c r="H104" s="1">
        <v>0</v>
      </c>
      <c r="I104" s="1">
        <v>0</v>
      </c>
      <c r="J104" s="1">
        <v>0</v>
      </c>
      <c r="K104" s="1">
        <v>0</v>
      </c>
      <c r="L104" s="1">
        <v>0</v>
      </c>
      <c r="M104" s="1">
        <v>0</v>
      </c>
      <c r="N104" s="1">
        <v>0</v>
      </c>
      <c r="O104" s="1">
        <v>0</v>
      </c>
      <c r="P104" s="1">
        <v>0</v>
      </c>
      <c r="Q104" s="1">
        <v>0</v>
      </c>
      <c r="R104" s="1">
        <v>0</v>
      </c>
      <c r="S104" s="1">
        <v>0</v>
      </c>
      <c r="T104" s="1">
        <v>0</v>
      </c>
      <c r="U104" s="1">
        <v>0</v>
      </c>
      <c r="V104" s="1">
        <v>0</v>
      </c>
      <c r="W104" s="1">
        <v>0</v>
      </c>
      <c r="X104" s="1">
        <v>0</v>
      </c>
      <c r="Y104" s="1">
        <v>2</v>
      </c>
      <c r="Z104" s="1">
        <v>0</v>
      </c>
      <c r="AA104" s="1">
        <v>0</v>
      </c>
      <c r="AB104" s="1">
        <v>0</v>
      </c>
      <c r="AC104" s="1">
        <v>0</v>
      </c>
      <c r="AD104" s="1">
        <v>0</v>
      </c>
      <c r="AE104" s="1">
        <v>0</v>
      </c>
      <c r="AF104" s="1">
        <v>0</v>
      </c>
      <c r="AG104" s="1">
        <v>0</v>
      </c>
      <c r="AH104" s="1">
        <v>0</v>
      </c>
      <c r="AI104" s="1">
        <v>0</v>
      </c>
      <c r="AJ104" s="1">
        <v>0</v>
      </c>
      <c r="AK104" s="1">
        <v>0</v>
      </c>
      <c r="AL104" s="1">
        <v>0</v>
      </c>
      <c r="AM104" s="1">
        <v>0</v>
      </c>
      <c r="AN104" s="1">
        <v>0</v>
      </c>
      <c r="AO104" s="1">
        <v>0</v>
      </c>
      <c r="AP104" s="1">
        <v>0</v>
      </c>
      <c r="AQ104" s="1">
        <v>0</v>
      </c>
      <c r="AR104" s="1">
        <v>0</v>
      </c>
      <c r="AS104" s="1">
        <v>0</v>
      </c>
      <c r="AT104" s="1">
        <v>0</v>
      </c>
      <c r="AU104" s="1">
        <v>0</v>
      </c>
      <c r="AV104" s="1">
        <v>0</v>
      </c>
      <c r="AW104" s="1">
        <v>0</v>
      </c>
      <c r="AX104" s="1">
        <v>0</v>
      </c>
      <c r="AY104" s="1">
        <v>0</v>
      </c>
      <c r="AZ104" s="1">
        <v>0</v>
      </c>
      <c r="BA104" s="1">
        <v>0</v>
      </c>
      <c r="BB104" s="1">
        <v>0</v>
      </c>
      <c r="BC104" s="1">
        <v>0</v>
      </c>
      <c r="BD104" s="1">
        <v>0</v>
      </c>
      <c r="BE104" s="1">
        <v>0</v>
      </c>
      <c r="BF104" s="1">
        <v>0</v>
      </c>
      <c r="BG104" s="1">
        <v>0</v>
      </c>
      <c r="BH104" s="1">
        <v>0</v>
      </c>
      <c r="BI104" s="1">
        <v>1</v>
      </c>
      <c r="BJ104" s="1">
        <v>0</v>
      </c>
      <c r="BK104" s="1">
        <v>0</v>
      </c>
      <c r="BL104" s="1">
        <v>1</v>
      </c>
      <c r="BM104" s="1">
        <v>0</v>
      </c>
      <c r="BN104" s="1">
        <v>0</v>
      </c>
      <c r="BO104" s="1">
        <v>0</v>
      </c>
      <c r="BP104" s="1">
        <v>0</v>
      </c>
      <c r="BQ104" s="1">
        <v>0</v>
      </c>
      <c r="BR104" s="1">
        <v>0</v>
      </c>
      <c r="BS104" s="1">
        <v>0</v>
      </c>
      <c r="BT104" s="1">
        <v>0</v>
      </c>
      <c r="BU104" s="1">
        <v>0</v>
      </c>
      <c r="BV104" s="1">
        <v>1</v>
      </c>
      <c r="BW104" s="1">
        <v>0</v>
      </c>
      <c r="BX104" s="1">
        <v>0</v>
      </c>
      <c r="BY104" s="1">
        <v>0</v>
      </c>
    </row>
    <row r="105" spans="1:77" x14ac:dyDescent="0.3">
      <c r="A105" s="2">
        <v>45505</v>
      </c>
      <c r="B105" s="1">
        <v>214</v>
      </c>
      <c r="C105" s="1" t="s">
        <v>159</v>
      </c>
      <c r="D105" s="1" t="s">
        <v>152</v>
      </c>
      <c r="E105" s="1">
        <v>0</v>
      </c>
      <c r="F105" s="1">
        <v>0</v>
      </c>
      <c r="G105" s="1">
        <v>0</v>
      </c>
      <c r="H105" s="1">
        <v>0</v>
      </c>
      <c r="I105" s="1">
        <v>0</v>
      </c>
      <c r="J105" s="1">
        <v>0</v>
      </c>
      <c r="K105" s="1">
        <v>0</v>
      </c>
      <c r="L105" s="1">
        <v>0</v>
      </c>
      <c r="M105" s="1">
        <v>0</v>
      </c>
      <c r="N105" s="1">
        <v>0</v>
      </c>
      <c r="O105" s="1">
        <v>0</v>
      </c>
      <c r="P105" s="1">
        <v>0</v>
      </c>
      <c r="Q105" s="1">
        <v>0</v>
      </c>
      <c r="R105" s="1">
        <v>0</v>
      </c>
      <c r="S105" s="1">
        <v>0</v>
      </c>
      <c r="T105" s="1">
        <v>0</v>
      </c>
      <c r="U105" s="1">
        <v>0</v>
      </c>
      <c r="V105" s="1">
        <v>0</v>
      </c>
      <c r="W105" s="1">
        <v>0</v>
      </c>
      <c r="X105" s="1">
        <v>0</v>
      </c>
      <c r="Y105" s="1">
        <v>2</v>
      </c>
      <c r="Z105" s="1">
        <v>1</v>
      </c>
      <c r="AA105" s="1">
        <v>0</v>
      </c>
      <c r="AB105" s="1">
        <v>0</v>
      </c>
      <c r="AC105" s="1">
        <v>0</v>
      </c>
      <c r="AD105" s="1">
        <v>0</v>
      </c>
      <c r="AE105" s="1">
        <v>0</v>
      </c>
      <c r="AF105" s="1">
        <v>0</v>
      </c>
      <c r="AG105" s="1">
        <v>0</v>
      </c>
      <c r="AH105" s="1">
        <v>0</v>
      </c>
      <c r="AI105" s="1">
        <v>0</v>
      </c>
      <c r="AJ105" s="1">
        <v>0</v>
      </c>
      <c r="AK105" s="1">
        <v>0</v>
      </c>
      <c r="AL105" s="1">
        <v>0</v>
      </c>
      <c r="AM105" s="1">
        <v>0</v>
      </c>
      <c r="AN105" s="1">
        <v>0</v>
      </c>
      <c r="AO105" s="1">
        <v>0</v>
      </c>
      <c r="AP105" s="1">
        <v>0</v>
      </c>
      <c r="AQ105" s="1">
        <v>0</v>
      </c>
      <c r="AR105" s="1">
        <v>0</v>
      </c>
      <c r="AS105" s="1">
        <v>0</v>
      </c>
      <c r="AT105" s="1">
        <v>0</v>
      </c>
      <c r="AU105" s="1">
        <v>0</v>
      </c>
      <c r="AV105" s="1">
        <v>0</v>
      </c>
      <c r="AW105" s="1">
        <v>0</v>
      </c>
      <c r="AX105" s="1">
        <v>0</v>
      </c>
      <c r="AY105" s="1">
        <v>0</v>
      </c>
      <c r="AZ105" s="1">
        <v>0</v>
      </c>
      <c r="BA105" s="1">
        <v>0</v>
      </c>
      <c r="BB105" s="1">
        <v>0</v>
      </c>
      <c r="BC105" s="1">
        <v>0</v>
      </c>
      <c r="BD105" s="1">
        <v>0</v>
      </c>
      <c r="BE105" s="1">
        <v>0</v>
      </c>
      <c r="BF105" s="1">
        <v>0</v>
      </c>
      <c r="BG105" s="1">
        <v>0</v>
      </c>
      <c r="BH105" s="1">
        <v>0</v>
      </c>
      <c r="BI105" s="1">
        <v>0</v>
      </c>
      <c r="BJ105" s="1">
        <v>0</v>
      </c>
      <c r="BK105" s="1">
        <v>0</v>
      </c>
      <c r="BL105" s="1">
        <v>2</v>
      </c>
      <c r="BM105" s="1">
        <v>0</v>
      </c>
      <c r="BN105" s="1">
        <v>0</v>
      </c>
      <c r="BO105" s="1">
        <v>0</v>
      </c>
      <c r="BP105" s="1">
        <v>0</v>
      </c>
      <c r="BQ105" s="1">
        <v>0</v>
      </c>
      <c r="BR105" s="1">
        <v>0</v>
      </c>
      <c r="BS105" s="1">
        <v>0</v>
      </c>
      <c r="BT105" s="1">
        <v>0</v>
      </c>
      <c r="BU105" s="1">
        <v>0</v>
      </c>
      <c r="BV105" s="1">
        <v>0</v>
      </c>
      <c r="BW105" s="1">
        <v>0</v>
      </c>
      <c r="BX105" s="1">
        <v>0</v>
      </c>
      <c r="BY105" s="1">
        <v>0</v>
      </c>
    </row>
    <row r="106" spans="1:77" x14ac:dyDescent="0.3">
      <c r="A106" s="2">
        <v>45481</v>
      </c>
      <c r="B106" s="1">
        <v>190</v>
      </c>
      <c r="C106" s="1" t="s">
        <v>154</v>
      </c>
      <c r="D106" s="1" t="s">
        <v>152</v>
      </c>
      <c r="E106" s="1">
        <v>0</v>
      </c>
      <c r="F106" s="1">
        <v>0</v>
      </c>
      <c r="G106" s="1">
        <v>0</v>
      </c>
      <c r="H106" s="1">
        <v>0</v>
      </c>
      <c r="I106" s="1">
        <v>0</v>
      </c>
      <c r="J106" s="1">
        <v>0</v>
      </c>
      <c r="K106" s="1">
        <v>0</v>
      </c>
      <c r="L106" s="1">
        <v>1</v>
      </c>
      <c r="M106" s="1">
        <v>0</v>
      </c>
      <c r="N106" s="1">
        <v>0</v>
      </c>
      <c r="O106" s="1">
        <v>0</v>
      </c>
      <c r="P106" s="1">
        <v>0</v>
      </c>
      <c r="Q106" s="1">
        <v>2</v>
      </c>
      <c r="R106" s="1">
        <v>0</v>
      </c>
      <c r="S106" s="1">
        <v>0</v>
      </c>
      <c r="T106" s="1">
        <v>0</v>
      </c>
      <c r="U106" s="1">
        <v>1</v>
      </c>
      <c r="V106" s="1">
        <v>0</v>
      </c>
      <c r="W106" s="1">
        <v>0</v>
      </c>
      <c r="X106" s="1">
        <v>0</v>
      </c>
      <c r="Y106" s="1">
        <v>0</v>
      </c>
      <c r="Z106" s="1">
        <v>0</v>
      </c>
      <c r="AA106" s="1">
        <v>0</v>
      </c>
      <c r="AB106" s="1">
        <v>0</v>
      </c>
      <c r="AC106" s="1">
        <v>0</v>
      </c>
      <c r="AD106" s="1">
        <v>0</v>
      </c>
      <c r="AE106" s="1">
        <v>0</v>
      </c>
      <c r="AF106" s="1">
        <v>0</v>
      </c>
      <c r="AG106" s="1">
        <v>0</v>
      </c>
      <c r="AH106" s="1">
        <v>0</v>
      </c>
      <c r="AI106" s="1">
        <v>0</v>
      </c>
      <c r="AJ106" s="1">
        <v>0</v>
      </c>
      <c r="AK106" s="1">
        <v>0</v>
      </c>
      <c r="AL106" s="1">
        <v>4</v>
      </c>
      <c r="AM106" s="1">
        <v>0</v>
      </c>
      <c r="AN106" s="1">
        <v>0</v>
      </c>
      <c r="AO106" s="1">
        <v>0</v>
      </c>
      <c r="AP106" s="1">
        <v>0</v>
      </c>
      <c r="AQ106" s="1">
        <v>0</v>
      </c>
      <c r="AR106" s="1">
        <v>0</v>
      </c>
      <c r="AS106" s="1">
        <v>0</v>
      </c>
      <c r="AT106" s="1">
        <v>0</v>
      </c>
      <c r="AU106" s="1">
        <v>0</v>
      </c>
      <c r="AV106" s="1">
        <v>0</v>
      </c>
      <c r="AW106" s="1">
        <v>0</v>
      </c>
      <c r="AX106" s="1">
        <v>1</v>
      </c>
      <c r="AY106" s="1">
        <v>0</v>
      </c>
      <c r="AZ106" s="1">
        <v>0</v>
      </c>
      <c r="BA106" s="1">
        <v>0</v>
      </c>
      <c r="BB106" s="1">
        <v>0</v>
      </c>
      <c r="BC106" s="1">
        <v>0</v>
      </c>
      <c r="BD106" s="1">
        <v>0</v>
      </c>
      <c r="BE106" s="1">
        <v>0</v>
      </c>
      <c r="BF106" s="1">
        <v>0</v>
      </c>
      <c r="BG106" s="1">
        <v>1</v>
      </c>
      <c r="BH106" s="1">
        <v>0</v>
      </c>
      <c r="BI106" s="1">
        <v>0</v>
      </c>
      <c r="BJ106" s="1">
        <v>0</v>
      </c>
      <c r="BK106" s="1">
        <v>1</v>
      </c>
      <c r="BL106" s="1">
        <v>12</v>
      </c>
      <c r="BM106" s="1">
        <v>0</v>
      </c>
      <c r="BN106" s="1">
        <v>0</v>
      </c>
      <c r="BO106" s="1">
        <v>0</v>
      </c>
      <c r="BP106" s="1">
        <v>0</v>
      </c>
      <c r="BQ106" s="1">
        <v>0</v>
      </c>
      <c r="BR106" s="1">
        <v>0</v>
      </c>
      <c r="BS106" s="1">
        <v>0</v>
      </c>
      <c r="BT106" s="1">
        <v>3</v>
      </c>
      <c r="BU106" s="1">
        <v>0</v>
      </c>
      <c r="BV106" s="1">
        <v>0</v>
      </c>
      <c r="BW106" s="1">
        <v>0</v>
      </c>
      <c r="BX106" s="1">
        <v>0</v>
      </c>
      <c r="BY106" s="1">
        <v>0</v>
      </c>
    </row>
    <row r="107" spans="1:77" x14ac:dyDescent="0.3">
      <c r="A107" s="2">
        <v>45491</v>
      </c>
      <c r="B107" s="1">
        <v>200</v>
      </c>
      <c r="C107" s="1" t="s">
        <v>154</v>
      </c>
      <c r="D107" s="1" t="s">
        <v>152</v>
      </c>
      <c r="E107" s="1">
        <v>0</v>
      </c>
      <c r="F107" s="1">
        <v>0</v>
      </c>
      <c r="G107" s="1">
        <v>0</v>
      </c>
      <c r="H107" s="1">
        <v>0</v>
      </c>
      <c r="I107" s="1">
        <v>0</v>
      </c>
      <c r="J107" s="1">
        <v>0</v>
      </c>
      <c r="K107" s="1">
        <v>0</v>
      </c>
      <c r="L107" s="1">
        <v>0</v>
      </c>
      <c r="M107" s="1">
        <v>0</v>
      </c>
      <c r="N107" s="1">
        <v>0</v>
      </c>
      <c r="O107" s="1">
        <v>0</v>
      </c>
      <c r="P107" s="1">
        <v>0</v>
      </c>
      <c r="Q107" s="1">
        <v>0</v>
      </c>
      <c r="R107" s="1">
        <v>0</v>
      </c>
      <c r="S107" s="1">
        <v>0</v>
      </c>
      <c r="T107" s="1">
        <v>0</v>
      </c>
      <c r="U107" s="1">
        <v>0</v>
      </c>
      <c r="V107" s="1">
        <v>0</v>
      </c>
      <c r="W107" s="1">
        <v>0</v>
      </c>
      <c r="X107" s="1">
        <v>0</v>
      </c>
      <c r="Y107" s="1">
        <v>0</v>
      </c>
      <c r="Z107" s="1">
        <v>0</v>
      </c>
      <c r="AA107" s="1">
        <v>0</v>
      </c>
      <c r="AB107" s="1">
        <v>0</v>
      </c>
      <c r="AC107" s="1">
        <v>0</v>
      </c>
      <c r="AD107" s="1">
        <v>0</v>
      </c>
      <c r="AE107" s="1">
        <v>0</v>
      </c>
      <c r="AF107" s="1">
        <v>0</v>
      </c>
      <c r="AG107" s="1">
        <v>0</v>
      </c>
      <c r="AH107" s="1">
        <v>0</v>
      </c>
      <c r="AI107" s="1">
        <v>0</v>
      </c>
      <c r="AJ107" s="1">
        <v>0</v>
      </c>
      <c r="AK107" s="1">
        <v>0</v>
      </c>
      <c r="AL107" s="1">
        <v>0</v>
      </c>
      <c r="AM107" s="1">
        <v>0</v>
      </c>
      <c r="AN107" s="1">
        <v>0</v>
      </c>
      <c r="AO107" s="1">
        <v>0</v>
      </c>
      <c r="AP107" s="1">
        <v>0</v>
      </c>
      <c r="AQ107" s="1">
        <v>0</v>
      </c>
      <c r="AR107" s="1">
        <v>0</v>
      </c>
      <c r="AS107" s="1">
        <v>0</v>
      </c>
      <c r="AT107" s="1">
        <v>0</v>
      </c>
      <c r="AU107" s="1">
        <v>0</v>
      </c>
      <c r="AV107" s="1">
        <v>0</v>
      </c>
      <c r="AW107" s="1">
        <v>0</v>
      </c>
      <c r="AX107" s="1">
        <v>0</v>
      </c>
      <c r="AY107" s="1">
        <v>0</v>
      </c>
      <c r="AZ107" s="1">
        <v>0</v>
      </c>
      <c r="BA107" s="1">
        <v>0</v>
      </c>
      <c r="BB107" s="1">
        <v>0</v>
      </c>
      <c r="BC107" s="1">
        <v>0</v>
      </c>
      <c r="BD107" s="1">
        <v>0</v>
      </c>
      <c r="BE107" s="1">
        <v>0</v>
      </c>
      <c r="BF107" s="1">
        <v>0</v>
      </c>
      <c r="BG107" s="1">
        <v>0</v>
      </c>
      <c r="BH107" s="1">
        <v>0</v>
      </c>
      <c r="BI107" s="1">
        <v>0</v>
      </c>
      <c r="BJ107" s="1">
        <v>1</v>
      </c>
      <c r="BK107" s="1">
        <v>0</v>
      </c>
      <c r="BL107" s="1">
        <v>0</v>
      </c>
      <c r="BM107" s="1">
        <v>0</v>
      </c>
      <c r="BN107" s="1">
        <v>0</v>
      </c>
      <c r="BO107" s="1">
        <v>0</v>
      </c>
      <c r="BP107" s="1">
        <v>0</v>
      </c>
      <c r="BQ107" s="1">
        <v>0</v>
      </c>
      <c r="BR107" s="1">
        <v>0</v>
      </c>
      <c r="BS107" s="1">
        <v>0</v>
      </c>
      <c r="BT107" s="1">
        <v>0</v>
      </c>
      <c r="BU107" s="1">
        <v>0</v>
      </c>
      <c r="BV107" s="1">
        <v>0</v>
      </c>
      <c r="BW107" s="1">
        <v>0</v>
      </c>
      <c r="BX107" s="1">
        <v>0</v>
      </c>
      <c r="BY107" s="1">
        <v>0</v>
      </c>
    </row>
    <row r="108" spans="1:77" x14ac:dyDescent="0.3">
      <c r="A108" s="2">
        <v>45498</v>
      </c>
      <c r="B108" s="1">
        <v>207</v>
      </c>
      <c r="C108" s="1" t="s">
        <v>154</v>
      </c>
      <c r="D108" s="1" t="s">
        <v>152</v>
      </c>
      <c r="E108" s="1">
        <v>0</v>
      </c>
      <c r="F108" s="1">
        <v>0</v>
      </c>
      <c r="G108" s="1">
        <v>0</v>
      </c>
      <c r="H108" s="1">
        <v>0</v>
      </c>
      <c r="I108" s="1">
        <v>0</v>
      </c>
      <c r="J108" s="1">
        <v>0</v>
      </c>
      <c r="K108" s="1">
        <v>0</v>
      </c>
      <c r="L108" s="1">
        <v>0</v>
      </c>
      <c r="M108" s="1">
        <v>0</v>
      </c>
      <c r="N108" s="1">
        <v>0</v>
      </c>
      <c r="O108" s="1">
        <v>0</v>
      </c>
      <c r="P108" s="1">
        <v>0</v>
      </c>
      <c r="Q108" s="1">
        <v>0</v>
      </c>
      <c r="R108" s="1">
        <v>0</v>
      </c>
      <c r="S108" s="1">
        <v>0</v>
      </c>
      <c r="T108" s="1">
        <v>0</v>
      </c>
      <c r="U108" s="1">
        <v>0</v>
      </c>
      <c r="V108" s="1">
        <v>0</v>
      </c>
      <c r="W108" s="1">
        <v>0</v>
      </c>
      <c r="X108" s="1">
        <v>0</v>
      </c>
      <c r="Y108" s="1">
        <v>2</v>
      </c>
      <c r="Z108" s="1">
        <v>0</v>
      </c>
      <c r="AA108" s="1">
        <v>1</v>
      </c>
      <c r="AB108" s="1">
        <v>0</v>
      </c>
      <c r="AC108" s="1">
        <v>0</v>
      </c>
      <c r="AD108" s="1">
        <v>0</v>
      </c>
      <c r="AE108" s="1">
        <v>0</v>
      </c>
      <c r="AF108" s="1">
        <v>0</v>
      </c>
      <c r="AG108" s="1">
        <v>0</v>
      </c>
      <c r="AH108" s="1">
        <v>0</v>
      </c>
      <c r="AI108" s="1">
        <v>0</v>
      </c>
      <c r="AJ108" s="1">
        <v>0</v>
      </c>
      <c r="AK108" s="1">
        <v>1</v>
      </c>
      <c r="AL108" s="1">
        <v>0</v>
      </c>
      <c r="AM108" s="1">
        <v>0</v>
      </c>
      <c r="AN108" s="1">
        <v>0</v>
      </c>
      <c r="AO108" s="1">
        <v>0</v>
      </c>
      <c r="AP108" s="1">
        <v>0</v>
      </c>
      <c r="AQ108" s="1">
        <v>0</v>
      </c>
      <c r="AR108" s="1">
        <v>0</v>
      </c>
      <c r="AS108" s="1">
        <v>0</v>
      </c>
      <c r="AT108" s="1">
        <v>0</v>
      </c>
      <c r="AU108" s="1">
        <v>0</v>
      </c>
      <c r="AV108" s="1">
        <v>0</v>
      </c>
      <c r="AW108" s="1">
        <v>0</v>
      </c>
      <c r="AX108" s="1">
        <v>0</v>
      </c>
      <c r="AY108" s="1">
        <v>0</v>
      </c>
      <c r="AZ108" s="1">
        <v>0</v>
      </c>
      <c r="BA108" s="1">
        <v>0</v>
      </c>
      <c r="BB108" s="1">
        <v>0</v>
      </c>
      <c r="BC108" s="1">
        <v>0</v>
      </c>
      <c r="BD108" s="1">
        <v>0</v>
      </c>
      <c r="BE108" s="1">
        <v>0</v>
      </c>
      <c r="BF108" s="1">
        <v>0</v>
      </c>
      <c r="BG108" s="1">
        <v>0</v>
      </c>
      <c r="BH108" s="1">
        <v>0</v>
      </c>
      <c r="BI108" s="1">
        <v>0</v>
      </c>
      <c r="BJ108" s="1">
        <v>0</v>
      </c>
      <c r="BK108" s="1">
        <v>0</v>
      </c>
      <c r="BL108" s="1">
        <v>0</v>
      </c>
      <c r="BM108" s="1">
        <v>0</v>
      </c>
      <c r="BN108" s="1">
        <v>0</v>
      </c>
      <c r="BO108" s="1">
        <v>0</v>
      </c>
      <c r="BP108" s="1">
        <v>0</v>
      </c>
      <c r="BQ108" s="1">
        <v>0</v>
      </c>
      <c r="BR108" s="1">
        <v>0</v>
      </c>
      <c r="BS108" s="1">
        <v>0</v>
      </c>
      <c r="BT108" s="1">
        <v>0</v>
      </c>
      <c r="BU108" s="1">
        <v>0</v>
      </c>
      <c r="BV108" s="1">
        <v>0</v>
      </c>
      <c r="BW108" s="1">
        <v>0</v>
      </c>
      <c r="BX108" s="1">
        <v>0</v>
      </c>
      <c r="BY108" s="1">
        <v>0</v>
      </c>
    </row>
    <row r="109" spans="1:77" x14ac:dyDescent="0.3">
      <c r="A109" s="2">
        <v>45505</v>
      </c>
      <c r="B109" s="1">
        <v>214</v>
      </c>
      <c r="C109" s="1" t="s">
        <v>154</v>
      </c>
      <c r="D109" s="1" t="s">
        <v>152</v>
      </c>
      <c r="E109" s="1">
        <v>0</v>
      </c>
      <c r="F109" s="1">
        <v>0</v>
      </c>
      <c r="G109" s="1">
        <v>0</v>
      </c>
      <c r="H109" s="1">
        <v>0</v>
      </c>
      <c r="I109" s="1">
        <v>0</v>
      </c>
      <c r="J109" s="1">
        <v>0</v>
      </c>
      <c r="K109" s="1">
        <v>0</v>
      </c>
      <c r="L109" s="1">
        <v>0</v>
      </c>
      <c r="M109" s="1">
        <v>0</v>
      </c>
      <c r="N109" s="1">
        <v>0</v>
      </c>
      <c r="O109" s="1">
        <v>0</v>
      </c>
      <c r="P109" s="1">
        <v>0</v>
      </c>
      <c r="Q109" s="1">
        <v>0</v>
      </c>
      <c r="R109" s="1">
        <v>0</v>
      </c>
      <c r="S109" s="1">
        <v>0</v>
      </c>
      <c r="T109" s="1">
        <v>0</v>
      </c>
      <c r="U109" s="1">
        <v>0</v>
      </c>
      <c r="V109" s="1">
        <v>0</v>
      </c>
      <c r="W109" s="1">
        <v>0</v>
      </c>
      <c r="X109" s="1">
        <v>0</v>
      </c>
      <c r="Y109" s="1">
        <v>0</v>
      </c>
      <c r="Z109" s="1">
        <v>0</v>
      </c>
      <c r="AA109" s="1">
        <v>0</v>
      </c>
      <c r="AB109" s="1">
        <v>0</v>
      </c>
      <c r="AC109" s="1">
        <v>0</v>
      </c>
      <c r="AD109" s="1">
        <v>0</v>
      </c>
      <c r="AE109" s="1">
        <v>0</v>
      </c>
      <c r="AF109" s="1">
        <v>0</v>
      </c>
      <c r="AG109" s="1">
        <v>0</v>
      </c>
      <c r="AH109" s="1">
        <v>0</v>
      </c>
      <c r="AI109" s="1">
        <v>0</v>
      </c>
      <c r="AJ109" s="1">
        <v>0</v>
      </c>
      <c r="AK109" s="1">
        <v>0</v>
      </c>
      <c r="AL109" s="1">
        <v>0</v>
      </c>
      <c r="AM109" s="1">
        <v>0</v>
      </c>
      <c r="AN109" s="1">
        <v>0</v>
      </c>
      <c r="AO109" s="1">
        <v>0</v>
      </c>
      <c r="AP109" s="1">
        <v>0</v>
      </c>
      <c r="AQ109" s="1">
        <v>0</v>
      </c>
      <c r="AR109" s="1">
        <v>0</v>
      </c>
      <c r="AS109" s="1">
        <v>0</v>
      </c>
      <c r="AT109" s="1">
        <v>0</v>
      </c>
      <c r="AU109" s="1">
        <v>0</v>
      </c>
      <c r="AV109" s="1">
        <v>0</v>
      </c>
      <c r="AW109" s="1">
        <v>0</v>
      </c>
      <c r="AX109" s="1">
        <v>0</v>
      </c>
      <c r="AY109" s="1">
        <v>0</v>
      </c>
      <c r="AZ109" s="1">
        <v>0</v>
      </c>
      <c r="BA109" s="1">
        <v>0</v>
      </c>
      <c r="BB109" s="1">
        <v>0</v>
      </c>
      <c r="BC109" s="1">
        <v>0</v>
      </c>
      <c r="BD109" s="1">
        <v>0</v>
      </c>
      <c r="BE109" s="1">
        <v>0</v>
      </c>
      <c r="BF109" s="1">
        <v>0</v>
      </c>
      <c r="BG109" s="1">
        <v>0</v>
      </c>
      <c r="BH109" s="1">
        <v>0</v>
      </c>
      <c r="BI109" s="1">
        <v>0</v>
      </c>
      <c r="BJ109" s="1">
        <v>0</v>
      </c>
      <c r="BK109" s="1">
        <v>0</v>
      </c>
      <c r="BL109" s="1">
        <v>2</v>
      </c>
      <c r="BM109" s="1">
        <v>0</v>
      </c>
      <c r="BN109" s="1">
        <v>0</v>
      </c>
      <c r="BO109" s="1">
        <v>0</v>
      </c>
      <c r="BP109" s="1">
        <v>0</v>
      </c>
      <c r="BQ109" s="1">
        <v>0</v>
      </c>
      <c r="BR109" s="1">
        <v>0</v>
      </c>
      <c r="BS109" s="1">
        <v>0</v>
      </c>
      <c r="BT109" s="1">
        <v>0</v>
      </c>
      <c r="BU109" s="1">
        <v>0</v>
      </c>
      <c r="BV109" s="1">
        <v>0</v>
      </c>
      <c r="BW109" s="1">
        <v>0</v>
      </c>
      <c r="BX109" s="1">
        <v>0</v>
      </c>
      <c r="BY109" s="1">
        <v>0</v>
      </c>
    </row>
    <row r="110" spans="1:77" x14ac:dyDescent="0.3">
      <c r="A110" s="2">
        <v>45499</v>
      </c>
      <c r="B110" s="1">
        <v>208</v>
      </c>
      <c r="C110" s="1" t="s">
        <v>186</v>
      </c>
      <c r="D110" s="1" t="s">
        <v>152</v>
      </c>
      <c r="E110" s="1">
        <v>0</v>
      </c>
      <c r="F110" s="1">
        <v>0</v>
      </c>
      <c r="G110" s="1">
        <v>0</v>
      </c>
      <c r="H110" s="1">
        <v>0</v>
      </c>
      <c r="I110" s="1">
        <v>0</v>
      </c>
      <c r="J110" s="1">
        <v>0</v>
      </c>
      <c r="K110" s="1">
        <v>0</v>
      </c>
      <c r="L110" s="1">
        <v>0</v>
      </c>
      <c r="M110" s="1">
        <v>0</v>
      </c>
      <c r="N110" s="1">
        <v>0</v>
      </c>
      <c r="O110" s="1">
        <v>0</v>
      </c>
      <c r="P110" s="1">
        <v>0</v>
      </c>
      <c r="Q110" s="1">
        <v>0</v>
      </c>
      <c r="R110" s="1">
        <v>0</v>
      </c>
      <c r="S110" s="1">
        <v>0</v>
      </c>
      <c r="T110" s="1">
        <v>0</v>
      </c>
      <c r="U110" s="1">
        <v>0</v>
      </c>
      <c r="V110" s="1">
        <v>0</v>
      </c>
      <c r="W110" s="1">
        <v>0</v>
      </c>
      <c r="X110" s="1">
        <v>0</v>
      </c>
      <c r="Y110" s="1">
        <v>1</v>
      </c>
      <c r="Z110" s="1">
        <v>0</v>
      </c>
      <c r="AA110" s="1">
        <v>0</v>
      </c>
      <c r="AB110" s="1">
        <v>0</v>
      </c>
      <c r="AC110" s="1">
        <v>0</v>
      </c>
      <c r="AD110" s="1">
        <v>0</v>
      </c>
      <c r="AE110" s="1">
        <v>0</v>
      </c>
      <c r="AF110" s="1">
        <v>0</v>
      </c>
      <c r="AG110" s="1">
        <v>0</v>
      </c>
      <c r="AH110" s="1">
        <v>0</v>
      </c>
      <c r="AI110" s="1">
        <v>0</v>
      </c>
      <c r="AJ110" s="1">
        <v>0</v>
      </c>
      <c r="AK110" s="1">
        <v>0</v>
      </c>
      <c r="AL110" s="1">
        <v>1</v>
      </c>
      <c r="AM110" s="1">
        <v>0</v>
      </c>
      <c r="AN110" s="1">
        <v>0</v>
      </c>
      <c r="AO110" s="1">
        <v>0</v>
      </c>
      <c r="AP110" s="1">
        <v>0</v>
      </c>
      <c r="AQ110" s="1">
        <v>0</v>
      </c>
      <c r="AR110" s="1">
        <v>0</v>
      </c>
      <c r="AS110" s="1">
        <v>0</v>
      </c>
      <c r="AT110" s="1">
        <v>0</v>
      </c>
      <c r="AU110" s="1">
        <v>0</v>
      </c>
      <c r="AV110" s="1">
        <v>0</v>
      </c>
      <c r="AW110" s="1">
        <v>0</v>
      </c>
      <c r="AX110" s="1">
        <v>0</v>
      </c>
      <c r="AY110" s="1">
        <v>0</v>
      </c>
      <c r="AZ110" s="1">
        <v>0</v>
      </c>
      <c r="BA110" s="1">
        <v>0</v>
      </c>
      <c r="BB110" s="1">
        <v>0</v>
      </c>
      <c r="BC110" s="1">
        <v>0</v>
      </c>
      <c r="BD110" s="1">
        <v>0</v>
      </c>
      <c r="BE110" s="1">
        <v>0</v>
      </c>
      <c r="BF110" s="1">
        <v>0</v>
      </c>
      <c r="BG110" s="1">
        <v>0</v>
      </c>
      <c r="BH110" s="1">
        <v>0</v>
      </c>
      <c r="BI110" s="1">
        <v>0</v>
      </c>
      <c r="BJ110" s="1">
        <v>0</v>
      </c>
      <c r="BK110" s="1">
        <v>0</v>
      </c>
      <c r="BL110" s="1">
        <v>0</v>
      </c>
      <c r="BM110" s="1">
        <v>0</v>
      </c>
      <c r="BN110" s="1">
        <v>0</v>
      </c>
      <c r="BO110" s="1">
        <v>0</v>
      </c>
      <c r="BP110" s="1">
        <v>0</v>
      </c>
      <c r="BQ110" s="1">
        <v>0</v>
      </c>
      <c r="BR110" s="1">
        <v>0</v>
      </c>
      <c r="BS110" s="1">
        <v>0</v>
      </c>
      <c r="BT110" s="1">
        <v>0</v>
      </c>
      <c r="BU110" s="1">
        <v>0</v>
      </c>
      <c r="BV110" s="1">
        <v>0</v>
      </c>
      <c r="BW110" s="1">
        <v>0</v>
      </c>
      <c r="BX110" s="1">
        <v>0</v>
      </c>
      <c r="BY110" s="1">
        <v>0</v>
      </c>
    </row>
    <row r="111" spans="1:77" x14ac:dyDescent="0.3">
      <c r="A111" s="2">
        <v>45506</v>
      </c>
      <c r="B111" s="1">
        <v>215</v>
      </c>
      <c r="C111" s="1" t="s">
        <v>186</v>
      </c>
      <c r="D111" s="1" t="s">
        <v>152</v>
      </c>
      <c r="E111" s="1">
        <v>0</v>
      </c>
      <c r="F111" s="1">
        <v>0</v>
      </c>
      <c r="G111" s="1">
        <v>0</v>
      </c>
      <c r="H111" s="1">
        <v>0</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0</v>
      </c>
      <c r="AC111" s="1">
        <v>0</v>
      </c>
      <c r="AD111" s="1">
        <v>0</v>
      </c>
      <c r="AE111" s="1">
        <v>0</v>
      </c>
      <c r="AF111" s="1">
        <v>0</v>
      </c>
      <c r="AG111" s="1">
        <v>0</v>
      </c>
      <c r="AH111" s="1">
        <v>0</v>
      </c>
      <c r="AI111" s="1">
        <v>0</v>
      </c>
      <c r="AJ111" s="1">
        <v>0</v>
      </c>
      <c r="AK111" s="1">
        <v>0</v>
      </c>
      <c r="AL111" s="1">
        <v>1</v>
      </c>
      <c r="AM111" s="1">
        <v>0</v>
      </c>
      <c r="AN111" s="1">
        <v>0</v>
      </c>
      <c r="AO111" s="1">
        <v>0</v>
      </c>
      <c r="AP111" s="1">
        <v>0</v>
      </c>
      <c r="AQ111" s="1">
        <v>0</v>
      </c>
      <c r="AR111" s="1">
        <v>0</v>
      </c>
      <c r="AS111" s="1">
        <v>0</v>
      </c>
      <c r="AT111" s="1">
        <v>0</v>
      </c>
      <c r="AU111" s="1">
        <v>0</v>
      </c>
      <c r="AV111" s="1">
        <v>0</v>
      </c>
      <c r="AW111" s="1">
        <v>0</v>
      </c>
      <c r="AX111" s="1">
        <v>0</v>
      </c>
      <c r="AY111" s="1">
        <v>0</v>
      </c>
      <c r="AZ111" s="1">
        <v>0</v>
      </c>
      <c r="BA111" s="1">
        <v>1</v>
      </c>
      <c r="BB111" s="1">
        <v>0</v>
      </c>
      <c r="BC111" s="1">
        <v>0</v>
      </c>
      <c r="BD111" s="1">
        <v>0</v>
      </c>
      <c r="BE111" s="1">
        <v>0</v>
      </c>
      <c r="BF111" s="1">
        <v>0</v>
      </c>
      <c r="BG111" s="1">
        <v>0</v>
      </c>
      <c r="BH111" s="1">
        <v>0</v>
      </c>
      <c r="BI111" s="1">
        <v>1</v>
      </c>
      <c r="BJ111" s="1">
        <v>0</v>
      </c>
      <c r="BK111" s="1">
        <v>0</v>
      </c>
      <c r="BL111" s="1">
        <v>1</v>
      </c>
      <c r="BM111" s="1">
        <v>0</v>
      </c>
      <c r="BN111" s="1">
        <v>0</v>
      </c>
      <c r="BO111" s="1">
        <v>0</v>
      </c>
      <c r="BP111" s="1">
        <v>0</v>
      </c>
      <c r="BQ111" s="1">
        <v>0</v>
      </c>
      <c r="BR111" s="1">
        <v>0</v>
      </c>
      <c r="BS111" s="1">
        <v>0</v>
      </c>
      <c r="BT111" s="1">
        <v>0</v>
      </c>
      <c r="BU111" s="1">
        <v>0</v>
      </c>
      <c r="BV111" s="1">
        <v>0</v>
      </c>
      <c r="BW111" s="1">
        <v>0</v>
      </c>
      <c r="BX111" s="1">
        <v>0</v>
      </c>
      <c r="BY111" s="1">
        <v>0</v>
      </c>
    </row>
    <row r="112" spans="1:77" x14ac:dyDescent="0.3">
      <c r="A112" s="2">
        <v>45512</v>
      </c>
      <c r="B112" s="1">
        <v>221</v>
      </c>
      <c r="C112" s="1" t="s">
        <v>186</v>
      </c>
      <c r="D112" s="1" t="s">
        <v>201</v>
      </c>
      <c r="E112" s="1">
        <v>0</v>
      </c>
      <c r="F112" s="1">
        <v>0</v>
      </c>
      <c r="G112" s="1">
        <v>0</v>
      </c>
      <c r="H112" s="1">
        <v>0</v>
      </c>
      <c r="I112" s="1">
        <v>0</v>
      </c>
      <c r="J112" s="1">
        <v>0</v>
      </c>
      <c r="K112" s="1">
        <v>0</v>
      </c>
      <c r="L112" s="1">
        <v>0</v>
      </c>
      <c r="M112" s="1">
        <v>0</v>
      </c>
      <c r="N112" s="1">
        <v>0</v>
      </c>
      <c r="O112" s="1">
        <v>0</v>
      </c>
      <c r="P112" s="1">
        <v>0</v>
      </c>
      <c r="Q112" s="1">
        <v>1</v>
      </c>
      <c r="R112" s="1">
        <v>0</v>
      </c>
      <c r="S112" s="1">
        <v>0</v>
      </c>
      <c r="T112" s="1">
        <v>0</v>
      </c>
      <c r="U112" s="1">
        <v>0</v>
      </c>
      <c r="V112" s="1">
        <v>0</v>
      </c>
      <c r="W112" s="1">
        <v>0</v>
      </c>
      <c r="X112" s="1">
        <v>0</v>
      </c>
      <c r="Y112" s="1">
        <v>1</v>
      </c>
      <c r="Z112" s="1">
        <v>0</v>
      </c>
      <c r="AA112" s="1">
        <v>1</v>
      </c>
      <c r="AB112" s="1">
        <v>0</v>
      </c>
      <c r="AC112" s="1">
        <v>0</v>
      </c>
      <c r="AD112" s="1">
        <v>0</v>
      </c>
      <c r="AE112" s="1">
        <v>0</v>
      </c>
      <c r="AF112" s="1">
        <v>0</v>
      </c>
      <c r="AG112" s="1">
        <v>0</v>
      </c>
      <c r="AH112" s="1">
        <v>0</v>
      </c>
      <c r="AI112" s="1">
        <v>0</v>
      </c>
      <c r="AJ112" s="1">
        <v>0</v>
      </c>
      <c r="AK112" s="1">
        <v>1</v>
      </c>
      <c r="AL112" s="1">
        <v>1</v>
      </c>
      <c r="AM112" s="1">
        <v>0</v>
      </c>
      <c r="AN112" s="1">
        <v>0</v>
      </c>
      <c r="AO112" s="1">
        <v>0</v>
      </c>
      <c r="AP112" s="1">
        <v>0</v>
      </c>
      <c r="AQ112" s="1">
        <v>0</v>
      </c>
      <c r="AR112" s="1">
        <v>0</v>
      </c>
      <c r="AS112" s="1">
        <v>0</v>
      </c>
      <c r="AT112" s="1">
        <v>0</v>
      </c>
      <c r="AU112" s="1">
        <v>0</v>
      </c>
      <c r="AV112" s="1">
        <v>0</v>
      </c>
      <c r="AW112" s="1">
        <v>0</v>
      </c>
      <c r="AX112" s="1">
        <v>0</v>
      </c>
      <c r="AY112" s="1">
        <v>0</v>
      </c>
      <c r="AZ112" s="1">
        <v>0</v>
      </c>
      <c r="BA112" s="1">
        <v>0</v>
      </c>
      <c r="BB112" s="1">
        <v>0</v>
      </c>
      <c r="BC112" s="1">
        <v>0</v>
      </c>
      <c r="BD112" s="1">
        <v>0</v>
      </c>
      <c r="BE112" s="1">
        <v>0</v>
      </c>
      <c r="BF112" s="1">
        <v>0</v>
      </c>
      <c r="BG112" s="1">
        <v>0</v>
      </c>
      <c r="BH112" s="1">
        <v>0</v>
      </c>
      <c r="BI112" s="1">
        <v>0</v>
      </c>
      <c r="BJ112" s="1">
        <v>0</v>
      </c>
      <c r="BK112" s="1">
        <v>0</v>
      </c>
      <c r="BL112" s="1">
        <v>0</v>
      </c>
      <c r="BM112" s="1">
        <v>0</v>
      </c>
      <c r="BN112" s="1">
        <v>0</v>
      </c>
      <c r="BO112" s="1">
        <v>0</v>
      </c>
      <c r="BP112" s="1">
        <v>0</v>
      </c>
      <c r="BQ112" s="1">
        <v>0</v>
      </c>
      <c r="BR112" s="1">
        <v>0</v>
      </c>
      <c r="BS112" s="1">
        <v>0</v>
      </c>
      <c r="BT112" s="1">
        <v>0</v>
      </c>
      <c r="BU112" s="1">
        <v>0</v>
      </c>
      <c r="BV112" s="1">
        <v>0</v>
      </c>
      <c r="BW112" s="1">
        <v>0</v>
      </c>
      <c r="BX112" s="1">
        <v>0</v>
      </c>
      <c r="BY112" s="1">
        <v>0</v>
      </c>
    </row>
    <row r="113" spans="1:77" x14ac:dyDescent="0.3">
      <c r="A113" s="2">
        <v>45524</v>
      </c>
      <c r="B113" s="1">
        <v>233</v>
      </c>
      <c r="C113" s="1" t="s">
        <v>186</v>
      </c>
      <c r="D113" s="1" t="s">
        <v>175</v>
      </c>
      <c r="E113" s="1">
        <v>0</v>
      </c>
      <c r="F113" s="1">
        <v>0</v>
      </c>
      <c r="G113" s="1">
        <v>3</v>
      </c>
      <c r="H113" s="1">
        <v>0</v>
      </c>
      <c r="I113" s="1">
        <v>0</v>
      </c>
      <c r="J113" s="1">
        <v>1</v>
      </c>
      <c r="K113" s="1">
        <v>0</v>
      </c>
      <c r="L113" s="1">
        <v>0</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c r="AD113" s="1">
        <v>0</v>
      </c>
      <c r="AE113" s="1">
        <v>0</v>
      </c>
      <c r="AF113" s="1">
        <v>0</v>
      </c>
      <c r="AG113" s="1">
        <v>0</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0</v>
      </c>
      <c r="AY113" s="1">
        <v>1</v>
      </c>
      <c r="AZ113" s="1">
        <v>0</v>
      </c>
      <c r="BA113" s="1">
        <v>0</v>
      </c>
      <c r="BB113" s="1">
        <v>0</v>
      </c>
      <c r="BC113" s="1">
        <v>1</v>
      </c>
      <c r="BD113" s="1">
        <v>0</v>
      </c>
      <c r="BE113" s="1">
        <v>0</v>
      </c>
      <c r="BF113" s="1">
        <v>0</v>
      </c>
      <c r="BG113" s="1">
        <v>0</v>
      </c>
      <c r="BH113" s="1">
        <v>0</v>
      </c>
      <c r="BI113" s="1">
        <v>0</v>
      </c>
      <c r="BJ113" s="1">
        <v>0</v>
      </c>
      <c r="BK113" s="1">
        <v>0</v>
      </c>
      <c r="BL113" s="1">
        <v>0</v>
      </c>
      <c r="BM113" s="1">
        <v>0</v>
      </c>
      <c r="BN113" s="1">
        <v>0</v>
      </c>
      <c r="BO113" s="1">
        <v>0</v>
      </c>
      <c r="BP113" s="1">
        <v>0</v>
      </c>
      <c r="BQ113" s="1">
        <v>0</v>
      </c>
      <c r="BR113" s="1">
        <v>0</v>
      </c>
      <c r="BS113" s="1">
        <v>0</v>
      </c>
      <c r="BT113" s="1">
        <v>0</v>
      </c>
      <c r="BU113" s="1">
        <v>0</v>
      </c>
      <c r="BV113" s="1">
        <v>0</v>
      </c>
      <c r="BW113" s="1">
        <v>0</v>
      </c>
      <c r="BX113" s="1">
        <v>0</v>
      </c>
      <c r="BY113" s="1">
        <v>0</v>
      </c>
    </row>
    <row r="114" spans="1:77" x14ac:dyDescent="0.3">
      <c r="A114" s="2">
        <v>45496</v>
      </c>
      <c r="B114" s="1">
        <v>205</v>
      </c>
      <c r="C114" s="1" t="s">
        <v>178</v>
      </c>
      <c r="D114" s="1" t="s">
        <v>152</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1</v>
      </c>
      <c r="V114" s="1">
        <v>0</v>
      </c>
      <c r="W114" s="1">
        <v>0</v>
      </c>
      <c r="X114" s="1">
        <v>0</v>
      </c>
      <c r="Y114" s="1">
        <v>1</v>
      </c>
      <c r="Z114" s="1">
        <v>0</v>
      </c>
      <c r="AA114" s="1">
        <v>0</v>
      </c>
      <c r="AB114" s="1">
        <v>0</v>
      </c>
      <c r="AC114" s="1">
        <v>0</v>
      </c>
      <c r="AD114" s="1">
        <v>0</v>
      </c>
      <c r="AE114" s="1">
        <v>0</v>
      </c>
      <c r="AF114" s="1">
        <v>0</v>
      </c>
      <c r="AG114" s="1">
        <v>0</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row>
    <row r="115" spans="1:77" x14ac:dyDescent="0.3">
      <c r="A115" s="2">
        <v>45502</v>
      </c>
      <c r="B115" s="1">
        <v>211</v>
      </c>
      <c r="C115" s="1" t="s">
        <v>178</v>
      </c>
      <c r="D115" s="1" t="s">
        <v>152</v>
      </c>
      <c r="E115" s="1">
        <v>0</v>
      </c>
      <c r="F115" s="1">
        <v>0</v>
      </c>
      <c r="G115" s="1">
        <v>0</v>
      </c>
      <c r="H115" s="1">
        <v>0</v>
      </c>
      <c r="I115" s="1">
        <v>0</v>
      </c>
      <c r="J115" s="1">
        <v>0</v>
      </c>
      <c r="K115" s="1">
        <v>0</v>
      </c>
      <c r="L115" s="1">
        <v>0</v>
      </c>
      <c r="M115" s="1">
        <v>0</v>
      </c>
      <c r="N115" s="1">
        <v>0</v>
      </c>
      <c r="O115" s="1">
        <v>0</v>
      </c>
      <c r="P115" s="1">
        <v>0</v>
      </c>
      <c r="Q115" s="1">
        <v>1</v>
      </c>
      <c r="R115" s="1">
        <v>0</v>
      </c>
      <c r="S115" s="1">
        <v>0</v>
      </c>
      <c r="T115" s="1">
        <v>0</v>
      </c>
      <c r="U115" s="1">
        <v>1</v>
      </c>
      <c r="V115" s="1">
        <v>0</v>
      </c>
      <c r="W115" s="1">
        <v>0</v>
      </c>
      <c r="X115" s="1">
        <v>0</v>
      </c>
      <c r="Y115" s="1">
        <v>0</v>
      </c>
      <c r="Z115" s="1">
        <v>0</v>
      </c>
      <c r="AA115" s="1">
        <v>0</v>
      </c>
      <c r="AB115" s="1">
        <v>0</v>
      </c>
      <c r="AC115" s="1">
        <v>0</v>
      </c>
      <c r="AD115" s="1">
        <v>0</v>
      </c>
      <c r="AE115" s="1">
        <v>0</v>
      </c>
      <c r="AF115" s="1">
        <v>0</v>
      </c>
      <c r="AG115" s="1">
        <v>0</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row>
    <row r="116" spans="1:77" x14ac:dyDescent="0.3">
      <c r="A116" s="2">
        <v>45490</v>
      </c>
      <c r="B116" s="1">
        <v>199</v>
      </c>
      <c r="C116" s="1" t="s">
        <v>163</v>
      </c>
      <c r="D116" s="1" t="s">
        <v>152</v>
      </c>
      <c r="E116" s="1">
        <v>0</v>
      </c>
      <c r="F116" s="1">
        <v>0</v>
      </c>
      <c r="G116" s="1">
        <v>0</v>
      </c>
      <c r="H116" s="1">
        <v>0</v>
      </c>
      <c r="I116" s="1">
        <v>0</v>
      </c>
      <c r="J116" s="1">
        <v>0</v>
      </c>
      <c r="K116" s="1">
        <v>0</v>
      </c>
      <c r="L116" s="1">
        <v>0</v>
      </c>
      <c r="M116" s="1">
        <v>0</v>
      </c>
      <c r="N116" s="1">
        <v>0</v>
      </c>
      <c r="O116" s="1">
        <v>0</v>
      </c>
      <c r="P116" s="1">
        <v>0</v>
      </c>
      <c r="Q116" s="1">
        <v>0</v>
      </c>
      <c r="R116" s="1">
        <v>0</v>
      </c>
      <c r="S116" s="1">
        <v>0</v>
      </c>
      <c r="T116" s="1">
        <v>0</v>
      </c>
      <c r="U116" s="1">
        <v>0</v>
      </c>
      <c r="V116" s="1">
        <v>0</v>
      </c>
      <c r="W116" s="1">
        <v>0</v>
      </c>
      <c r="X116" s="1">
        <v>0</v>
      </c>
      <c r="Y116" s="1">
        <v>0</v>
      </c>
      <c r="Z116" s="1">
        <v>0</v>
      </c>
      <c r="AA116" s="1">
        <v>1</v>
      </c>
      <c r="AB116" s="1">
        <v>0</v>
      </c>
      <c r="AC116" s="1">
        <v>1</v>
      </c>
      <c r="AD116" s="1">
        <v>0</v>
      </c>
      <c r="AE116" s="1">
        <v>0</v>
      </c>
      <c r="AF116" s="1">
        <v>0</v>
      </c>
      <c r="AG116" s="1">
        <v>0</v>
      </c>
      <c r="AH116" s="1">
        <v>0</v>
      </c>
      <c r="AI116" s="1">
        <v>0</v>
      </c>
      <c r="AJ116" s="1">
        <v>0</v>
      </c>
      <c r="AK116" s="1">
        <v>0</v>
      </c>
      <c r="AL116" s="1">
        <v>0</v>
      </c>
      <c r="AM116" s="1">
        <v>0</v>
      </c>
      <c r="AN116" s="1">
        <v>0</v>
      </c>
      <c r="AO116" s="1">
        <v>0</v>
      </c>
      <c r="AP116" s="1">
        <v>0</v>
      </c>
      <c r="AQ116" s="1">
        <v>0</v>
      </c>
      <c r="AR116" s="1">
        <v>0</v>
      </c>
      <c r="AS116" s="1">
        <v>0</v>
      </c>
      <c r="AT116" s="1">
        <v>0</v>
      </c>
      <c r="AU116" s="1">
        <v>0</v>
      </c>
      <c r="AV116" s="1">
        <v>0</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row>
    <row r="117" spans="1:77" x14ac:dyDescent="0.3">
      <c r="A117" s="2">
        <v>45499</v>
      </c>
      <c r="B117" s="1">
        <v>208</v>
      </c>
      <c r="C117" s="1" t="s">
        <v>163</v>
      </c>
      <c r="D117" s="1" t="s">
        <v>152</v>
      </c>
      <c r="E117" s="1">
        <v>0</v>
      </c>
      <c r="F117" s="1">
        <v>0</v>
      </c>
      <c r="G117" s="1">
        <v>0</v>
      </c>
      <c r="H117" s="1">
        <v>0</v>
      </c>
      <c r="I117" s="1">
        <v>0</v>
      </c>
      <c r="J117" s="1">
        <v>0</v>
      </c>
      <c r="K117" s="1">
        <v>0</v>
      </c>
      <c r="L117" s="1">
        <v>0</v>
      </c>
      <c r="M117" s="1">
        <v>0</v>
      </c>
      <c r="N117" s="1">
        <v>0</v>
      </c>
      <c r="O117" s="1">
        <v>0</v>
      </c>
      <c r="P117" s="1">
        <v>0</v>
      </c>
      <c r="Q117" s="1">
        <v>0</v>
      </c>
      <c r="R117" s="1">
        <v>0</v>
      </c>
      <c r="S117" s="1">
        <v>0</v>
      </c>
      <c r="T117" s="1">
        <v>0</v>
      </c>
      <c r="U117" s="1">
        <v>1</v>
      </c>
      <c r="V117" s="1">
        <v>0</v>
      </c>
      <c r="W117" s="1">
        <v>0</v>
      </c>
      <c r="X117" s="1">
        <v>0</v>
      </c>
      <c r="Y117" s="1">
        <v>0</v>
      </c>
      <c r="Z117" s="1">
        <v>0</v>
      </c>
      <c r="AA117" s="1">
        <v>0</v>
      </c>
      <c r="AB117" s="1">
        <v>0</v>
      </c>
      <c r="AC117" s="1">
        <v>0</v>
      </c>
      <c r="AD117" s="1">
        <v>0</v>
      </c>
      <c r="AE117" s="1">
        <v>0</v>
      </c>
      <c r="AF117" s="1">
        <v>0</v>
      </c>
      <c r="AG117" s="1">
        <v>0</v>
      </c>
      <c r="AH117" s="1">
        <v>0</v>
      </c>
      <c r="AI117" s="1">
        <v>0</v>
      </c>
      <c r="AJ117" s="1">
        <v>0</v>
      </c>
      <c r="AK117" s="1">
        <v>0</v>
      </c>
      <c r="AL117" s="1">
        <v>0</v>
      </c>
      <c r="AM117" s="1">
        <v>0</v>
      </c>
      <c r="AN117" s="1">
        <v>0</v>
      </c>
      <c r="AO117" s="1">
        <v>0</v>
      </c>
      <c r="AP117" s="1">
        <v>0</v>
      </c>
      <c r="AQ117" s="1">
        <v>0</v>
      </c>
      <c r="AR117" s="1">
        <v>0</v>
      </c>
      <c r="AS117" s="1">
        <v>0</v>
      </c>
      <c r="AT117" s="1">
        <v>0</v>
      </c>
      <c r="AU117" s="1">
        <v>0</v>
      </c>
      <c r="AV117" s="1">
        <v>0</v>
      </c>
      <c r="AW117" s="1">
        <v>0</v>
      </c>
      <c r="AX117" s="1">
        <v>0</v>
      </c>
      <c r="AY117" s="1">
        <v>0</v>
      </c>
      <c r="AZ117" s="1">
        <v>0</v>
      </c>
      <c r="BA117" s="1">
        <v>0</v>
      </c>
      <c r="BB117" s="1">
        <v>0</v>
      </c>
      <c r="BC117" s="1">
        <v>0</v>
      </c>
      <c r="BD117" s="1">
        <v>0</v>
      </c>
      <c r="BE117" s="1">
        <v>0</v>
      </c>
      <c r="BF117" s="1">
        <v>0</v>
      </c>
      <c r="BG117" s="1">
        <v>0</v>
      </c>
      <c r="BH117" s="1">
        <v>0</v>
      </c>
      <c r="BI117" s="1">
        <v>0</v>
      </c>
      <c r="BJ117" s="1">
        <v>0</v>
      </c>
      <c r="BK117" s="1">
        <v>0</v>
      </c>
      <c r="BL117" s="1">
        <v>0</v>
      </c>
      <c r="BM117" s="1">
        <v>0</v>
      </c>
      <c r="BN117" s="1">
        <v>0</v>
      </c>
      <c r="BO117" s="1">
        <v>0</v>
      </c>
      <c r="BP117" s="1">
        <v>0</v>
      </c>
      <c r="BQ117" s="1">
        <v>0</v>
      </c>
      <c r="BR117" s="1">
        <v>0</v>
      </c>
      <c r="BS117" s="1">
        <v>0</v>
      </c>
      <c r="BT117" s="1">
        <v>0</v>
      </c>
      <c r="BU117" s="1">
        <v>0</v>
      </c>
      <c r="BV117" s="1">
        <v>0</v>
      </c>
      <c r="BW117" s="1">
        <v>0</v>
      </c>
      <c r="BX117" s="1">
        <v>0</v>
      </c>
      <c r="BY117" s="1">
        <v>0</v>
      </c>
    </row>
    <row r="118" spans="1:77" x14ac:dyDescent="0.3">
      <c r="A118" s="2">
        <v>45498</v>
      </c>
      <c r="B118" s="1">
        <v>207</v>
      </c>
      <c r="C118" s="1" t="s">
        <v>181</v>
      </c>
      <c r="D118" s="1" t="s">
        <v>152</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s="1">
        <v>0</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4</v>
      </c>
      <c r="BM118" s="1">
        <v>0</v>
      </c>
      <c r="BN118" s="1">
        <v>0</v>
      </c>
      <c r="BO118" s="1">
        <v>0</v>
      </c>
      <c r="BP118" s="1">
        <v>0</v>
      </c>
      <c r="BQ118" s="1">
        <v>0</v>
      </c>
      <c r="BR118" s="1">
        <v>0</v>
      </c>
      <c r="BS118" s="1">
        <v>0</v>
      </c>
      <c r="BT118" s="1">
        <v>0</v>
      </c>
      <c r="BU118" s="1">
        <v>0</v>
      </c>
      <c r="BV118" s="1">
        <v>0</v>
      </c>
      <c r="BW118" s="1">
        <v>0</v>
      </c>
      <c r="BX118" s="1">
        <v>0</v>
      </c>
      <c r="BY118" s="1">
        <v>0</v>
      </c>
    </row>
    <row r="119" spans="1:77" x14ac:dyDescent="0.3">
      <c r="A119" s="2">
        <v>45503</v>
      </c>
      <c r="B119" s="1">
        <v>212</v>
      </c>
      <c r="C119" s="1" t="s">
        <v>181</v>
      </c>
      <c r="D119" s="1" t="s">
        <v>152</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s="1">
        <v>0</v>
      </c>
      <c r="AH119" s="1">
        <v>0</v>
      </c>
      <c r="AI119" s="1">
        <v>0</v>
      </c>
      <c r="AJ119" s="1">
        <v>0</v>
      </c>
      <c r="AK119" s="1">
        <v>0</v>
      </c>
      <c r="AL119" s="1">
        <v>1</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0</v>
      </c>
      <c r="BJ119" s="1">
        <v>0</v>
      </c>
      <c r="BK119" s="1">
        <v>1</v>
      </c>
      <c r="BL119" s="1">
        <v>0</v>
      </c>
      <c r="BM119" s="1">
        <v>0</v>
      </c>
      <c r="BN119" s="1">
        <v>0</v>
      </c>
      <c r="BO119" s="1">
        <v>0</v>
      </c>
      <c r="BP119" s="1">
        <v>0</v>
      </c>
      <c r="BQ119" s="1">
        <v>0</v>
      </c>
      <c r="BR119" s="1">
        <v>0</v>
      </c>
      <c r="BS119" s="1">
        <v>0</v>
      </c>
      <c r="BT119" s="1">
        <v>0</v>
      </c>
      <c r="BU119" s="1">
        <v>0</v>
      </c>
      <c r="BV119" s="1">
        <v>0</v>
      </c>
      <c r="BW119" s="1">
        <v>0</v>
      </c>
      <c r="BX119" s="1">
        <v>0</v>
      </c>
      <c r="BY119" s="1">
        <v>0</v>
      </c>
    </row>
    <row r="120" spans="1:77" x14ac:dyDescent="0.3">
      <c r="A120" s="2">
        <v>45525</v>
      </c>
      <c r="B120" s="1">
        <v>234</v>
      </c>
      <c r="C120" s="1" t="s">
        <v>181</v>
      </c>
      <c r="D120" s="1" t="s">
        <v>201</v>
      </c>
      <c r="E120" s="1">
        <v>0</v>
      </c>
      <c r="F120" s="1">
        <v>0</v>
      </c>
      <c r="G120" s="1">
        <v>0</v>
      </c>
      <c r="H120" s="1">
        <v>0</v>
      </c>
      <c r="I120" s="1">
        <v>0</v>
      </c>
      <c r="J120" s="1">
        <v>0</v>
      </c>
      <c r="K120" s="1">
        <v>0</v>
      </c>
      <c r="L120" s="1">
        <v>0</v>
      </c>
      <c r="M120" s="1">
        <v>0</v>
      </c>
      <c r="N120" s="1">
        <v>0</v>
      </c>
      <c r="O120" s="1">
        <v>0</v>
      </c>
      <c r="P120" s="1">
        <v>0</v>
      </c>
      <c r="Q120" s="1">
        <v>1</v>
      </c>
      <c r="R120" s="1">
        <v>0</v>
      </c>
      <c r="S120" s="1">
        <v>0</v>
      </c>
      <c r="T120" s="1">
        <v>0</v>
      </c>
      <c r="U120" s="1">
        <v>0</v>
      </c>
      <c r="V120" s="1">
        <v>0</v>
      </c>
      <c r="W120" s="1">
        <v>0</v>
      </c>
      <c r="X120" s="1">
        <v>0</v>
      </c>
      <c r="Y120" s="1">
        <v>0</v>
      </c>
      <c r="Z120" s="1">
        <v>0</v>
      </c>
      <c r="AA120" s="1">
        <v>0</v>
      </c>
      <c r="AB120" s="1">
        <v>0</v>
      </c>
      <c r="AC120" s="1">
        <v>0</v>
      </c>
      <c r="AD120" s="1">
        <v>0</v>
      </c>
      <c r="AE120" s="1">
        <v>0</v>
      </c>
      <c r="AF120" s="1">
        <v>0</v>
      </c>
      <c r="AG120" s="1">
        <v>0</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2</v>
      </c>
      <c r="BL120" s="1">
        <v>3</v>
      </c>
      <c r="BM120" s="1">
        <v>0</v>
      </c>
      <c r="BN120" s="1">
        <v>0</v>
      </c>
      <c r="BO120" s="1">
        <v>0</v>
      </c>
      <c r="BP120" s="1">
        <v>1</v>
      </c>
      <c r="BQ120" s="1">
        <v>0</v>
      </c>
      <c r="BR120" s="1">
        <v>0</v>
      </c>
      <c r="BS120" s="1">
        <v>0</v>
      </c>
      <c r="BT120" s="1">
        <v>0</v>
      </c>
      <c r="BU120" s="1">
        <v>0</v>
      </c>
      <c r="BV120" s="1">
        <v>0</v>
      </c>
      <c r="BW120" s="1">
        <v>0</v>
      </c>
      <c r="BX120" s="1">
        <v>0</v>
      </c>
      <c r="BY120" s="1">
        <v>0</v>
      </c>
    </row>
    <row r="121" spans="1:77" x14ac:dyDescent="0.3">
      <c r="A121" s="2">
        <v>45491</v>
      </c>
      <c r="B121" s="1">
        <v>200</v>
      </c>
      <c r="C121" s="1" t="s">
        <v>174</v>
      </c>
      <c r="D121" s="1" t="s">
        <v>152</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2</v>
      </c>
      <c r="V121" s="1">
        <v>0</v>
      </c>
      <c r="W121" s="1">
        <v>0</v>
      </c>
      <c r="X121" s="1">
        <v>0</v>
      </c>
      <c r="Y121" s="1">
        <v>0</v>
      </c>
      <c r="Z121" s="1">
        <v>0</v>
      </c>
      <c r="AA121" s="1">
        <v>2</v>
      </c>
      <c r="AB121" s="1">
        <v>0</v>
      </c>
      <c r="AC121" s="1">
        <v>0</v>
      </c>
      <c r="AD121" s="1">
        <v>0</v>
      </c>
      <c r="AE121" s="1">
        <v>0</v>
      </c>
      <c r="AF121" s="1">
        <v>0</v>
      </c>
      <c r="AG121" s="1">
        <v>0</v>
      </c>
      <c r="AH121" s="1">
        <v>0</v>
      </c>
      <c r="AI121" s="1">
        <v>0</v>
      </c>
      <c r="AJ121" s="1">
        <v>0</v>
      </c>
      <c r="AK121" s="1">
        <v>2</v>
      </c>
      <c r="AL121" s="1">
        <v>1</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0</v>
      </c>
      <c r="BE121" s="1">
        <v>0</v>
      </c>
      <c r="BF121" s="1">
        <v>0</v>
      </c>
      <c r="BG121" s="1">
        <v>0</v>
      </c>
      <c r="BH121" s="1">
        <v>0</v>
      </c>
      <c r="BI121" s="1">
        <v>1</v>
      </c>
      <c r="BJ121" s="1">
        <v>0</v>
      </c>
      <c r="BK121" s="1">
        <v>0</v>
      </c>
      <c r="BL121" s="1">
        <v>2</v>
      </c>
      <c r="BM121" s="1">
        <v>0</v>
      </c>
      <c r="BN121" s="1">
        <v>0</v>
      </c>
      <c r="BO121" s="1">
        <v>0</v>
      </c>
      <c r="BP121" s="1">
        <v>0</v>
      </c>
      <c r="BQ121" s="1">
        <v>0</v>
      </c>
      <c r="BR121" s="1">
        <v>0</v>
      </c>
      <c r="BS121" s="1">
        <v>0</v>
      </c>
      <c r="BT121" s="1">
        <v>0</v>
      </c>
      <c r="BU121" s="1">
        <v>0</v>
      </c>
      <c r="BV121" s="1">
        <v>0</v>
      </c>
      <c r="BW121" s="1">
        <v>0</v>
      </c>
      <c r="BX121" s="1">
        <v>0</v>
      </c>
      <c r="BY121" s="1">
        <v>0</v>
      </c>
    </row>
    <row r="122" spans="1:77" x14ac:dyDescent="0.3">
      <c r="A122" s="2">
        <v>45499</v>
      </c>
      <c r="B122" s="1">
        <v>208</v>
      </c>
      <c r="C122" s="1" t="s">
        <v>174</v>
      </c>
      <c r="D122" s="1" t="s">
        <v>152</v>
      </c>
      <c r="E122" s="1">
        <v>0</v>
      </c>
      <c r="F122" s="1">
        <v>0</v>
      </c>
      <c r="G122" s="1">
        <v>0</v>
      </c>
      <c r="H122" s="1">
        <v>0</v>
      </c>
      <c r="I122" s="1">
        <v>0</v>
      </c>
      <c r="J122" s="1">
        <v>0</v>
      </c>
      <c r="K122" s="1">
        <v>0</v>
      </c>
      <c r="L122" s="1">
        <v>0</v>
      </c>
      <c r="M122" s="1">
        <v>0</v>
      </c>
      <c r="N122" s="1">
        <v>0</v>
      </c>
      <c r="O122" s="1">
        <v>0</v>
      </c>
      <c r="P122" s="1">
        <v>0</v>
      </c>
      <c r="Q122" s="1">
        <v>0</v>
      </c>
      <c r="R122" s="1">
        <v>0</v>
      </c>
      <c r="S122" s="1">
        <v>0</v>
      </c>
      <c r="T122" s="1">
        <v>0</v>
      </c>
      <c r="U122" s="1">
        <v>1</v>
      </c>
      <c r="V122" s="1">
        <v>0</v>
      </c>
      <c r="W122" s="1">
        <v>0</v>
      </c>
      <c r="X122" s="1">
        <v>0</v>
      </c>
      <c r="Y122" s="1">
        <v>1</v>
      </c>
      <c r="Z122" s="1">
        <v>0</v>
      </c>
      <c r="AA122" s="1">
        <v>0</v>
      </c>
      <c r="AB122" s="1">
        <v>0</v>
      </c>
      <c r="AC122" s="1">
        <v>0</v>
      </c>
      <c r="AD122" s="1">
        <v>0</v>
      </c>
      <c r="AE122" s="1">
        <v>0</v>
      </c>
      <c r="AF122" s="1">
        <v>0</v>
      </c>
      <c r="AG122" s="1">
        <v>0</v>
      </c>
      <c r="AH122" s="1">
        <v>0</v>
      </c>
      <c r="AI122" s="1">
        <v>0</v>
      </c>
      <c r="AJ122" s="1">
        <v>0</v>
      </c>
      <c r="AK122" s="1">
        <v>0</v>
      </c>
      <c r="AL122" s="1">
        <v>1</v>
      </c>
      <c r="AM122" s="1">
        <v>0</v>
      </c>
      <c r="AN122" s="1">
        <v>0</v>
      </c>
      <c r="AO122" s="1">
        <v>0</v>
      </c>
      <c r="AP122" s="1">
        <v>0</v>
      </c>
      <c r="AQ122" s="1">
        <v>0</v>
      </c>
      <c r="AR122" s="1">
        <v>0</v>
      </c>
      <c r="AS122" s="1">
        <v>0</v>
      </c>
      <c r="AT122" s="1">
        <v>0</v>
      </c>
      <c r="AU122" s="1">
        <v>0</v>
      </c>
      <c r="AV122" s="1">
        <v>0</v>
      </c>
      <c r="AW122" s="1">
        <v>0</v>
      </c>
      <c r="AX122" s="1">
        <v>0</v>
      </c>
      <c r="AY122" s="1">
        <v>0</v>
      </c>
      <c r="AZ122" s="1">
        <v>0</v>
      </c>
      <c r="BA122" s="1">
        <v>0</v>
      </c>
      <c r="BB122" s="1">
        <v>0</v>
      </c>
      <c r="BC122" s="1">
        <v>0</v>
      </c>
      <c r="BD122" s="1">
        <v>0</v>
      </c>
      <c r="BE122" s="1">
        <v>0</v>
      </c>
      <c r="BF122" s="1">
        <v>0</v>
      </c>
      <c r="BG122" s="1">
        <v>0</v>
      </c>
      <c r="BH122" s="1">
        <v>0</v>
      </c>
      <c r="BI122" s="1">
        <v>1</v>
      </c>
      <c r="BJ122" s="1">
        <v>0</v>
      </c>
      <c r="BK122" s="1">
        <v>0</v>
      </c>
      <c r="BL122" s="1">
        <v>4</v>
      </c>
      <c r="BM122" s="1">
        <v>0</v>
      </c>
      <c r="BN122" s="1">
        <v>0</v>
      </c>
      <c r="BO122" s="1">
        <v>0</v>
      </c>
      <c r="BP122" s="1">
        <v>0</v>
      </c>
      <c r="BQ122" s="1">
        <v>0</v>
      </c>
      <c r="BR122" s="1">
        <v>0</v>
      </c>
      <c r="BS122" s="1">
        <v>0</v>
      </c>
      <c r="BT122" s="1">
        <v>0</v>
      </c>
      <c r="BU122" s="1">
        <v>0</v>
      </c>
      <c r="BV122" s="1">
        <v>0</v>
      </c>
      <c r="BW122" s="1">
        <v>0</v>
      </c>
      <c r="BX122" s="1">
        <v>0</v>
      </c>
      <c r="BY122" s="1">
        <v>0</v>
      </c>
    </row>
    <row r="123" spans="1:77" x14ac:dyDescent="0.3">
      <c r="A123" s="2">
        <v>45505</v>
      </c>
      <c r="B123" s="1">
        <v>214</v>
      </c>
      <c r="C123" s="1" t="s">
        <v>174</v>
      </c>
      <c r="D123" s="1" t="s">
        <v>152</v>
      </c>
      <c r="E123" s="1">
        <v>0</v>
      </c>
      <c r="F123" s="1">
        <v>0</v>
      </c>
      <c r="G123" s="1">
        <v>0</v>
      </c>
      <c r="H123" s="1">
        <v>0</v>
      </c>
      <c r="I123" s="1">
        <v>0</v>
      </c>
      <c r="J123" s="1">
        <v>0</v>
      </c>
      <c r="K123" s="1">
        <v>0</v>
      </c>
      <c r="L123" s="1">
        <v>0</v>
      </c>
      <c r="M123" s="1">
        <v>0</v>
      </c>
      <c r="N123" s="1">
        <v>1</v>
      </c>
      <c r="O123" s="1">
        <v>0</v>
      </c>
      <c r="P123" s="1">
        <v>0</v>
      </c>
      <c r="Q123" s="1">
        <v>0</v>
      </c>
      <c r="R123" s="1">
        <v>0</v>
      </c>
      <c r="S123" s="1">
        <v>0</v>
      </c>
      <c r="T123" s="1">
        <v>0</v>
      </c>
      <c r="U123" s="1">
        <v>1</v>
      </c>
      <c r="V123" s="1">
        <v>0</v>
      </c>
      <c r="W123" s="1">
        <v>0</v>
      </c>
      <c r="X123" s="1">
        <v>0</v>
      </c>
      <c r="Y123" s="1">
        <v>0</v>
      </c>
      <c r="Z123" s="1">
        <v>0</v>
      </c>
      <c r="AA123" s="1">
        <v>1</v>
      </c>
      <c r="AB123" s="1">
        <v>0</v>
      </c>
      <c r="AC123" s="1">
        <v>0</v>
      </c>
      <c r="AD123" s="1">
        <v>0</v>
      </c>
      <c r="AE123" s="1">
        <v>0</v>
      </c>
      <c r="AF123" s="1">
        <v>0</v>
      </c>
      <c r="AG123" s="1">
        <v>0</v>
      </c>
      <c r="AH123" s="1">
        <v>1</v>
      </c>
      <c r="AI123" s="1">
        <v>0</v>
      </c>
      <c r="AJ123" s="1">
        <v>0</v>
      </c>
      <c r="AK123" s="1">
        <v>0</v>
      </c>
      <c r="AL123" s="1">
        <v>0</v>
      </c>
      <c r="AM123" s="1">
        <v>0</v>
      </c>
      <c r="AN123" s="1">
        <v>0</v>
      </c>
      <c r="AO123" s="1">
        <v>0</v>
      </c>
      <c r="AP123" s="1">
        <v>0</v>
      </c>
      <c r="AQ123" s="1">
        <v>0</v>
      </c>
      <c r="AR123" s="1">
        <v>0</v>
      </c>
      <c r="AS123" s="1">
        <v>0</v>
      </c>
      <c r="AT123" s="1">
        <v>0</v>
      </c>
      <c r="AU123" s="1">
        <v>0</v>
      </c>
      <c r="AV123" s="1">
        <v>0</v>
      </c>
      <c r="AW123" s="1">
        <v>0</v>
      </c>
      <c r="AX123" s="1">
        <v>0</v>
      </c>
      <c r="AY123" s="1">
        <v>0</v>
      </c>
      <c r="AZ123" s="1">
        <v>0</v>
      </c>
      <c r="BA123" s="1">
        <v>0</v>
      </c>
      <c r="BB123" s="1">
        <v>0</v>
      </c>
      <c r="BC123" s="1">
        <v>0</v>
      </c>
      <c r="BD123" s="1">
        <v>0</v>
      </c>
      <c r="BE123" s="1">
        <v>0</v>
      </c>
      <c r="BF123" s="1">
        <v>1</v>
      </c>
      <c r="BG123" s="1">
        <v>0</v>
      </c>
      <c r="BH123" s="1">
        <v>0</v>
      </c>
      <c r="BI123" s="1">
        <v>8</v>
      </c>
      <c r="BJ123" s="1">
        <v>0</v>
      </c>
      <c r="BK123" s="1">
        <v>0</v>
      </c>
      <c r="BL123" s="1">
        <v>3</v>
      </c>
      <c r="BM123" s="1">
        <v>0</v>
      </c>
      <c r="BN123" s="1">
        <v>0</v>
      </c>
      <c r="BO123" s="1">
        <v>0</v>
      </c>
      <c r="BP123" s="1">
        <v>0</v>
      </c>
      <c r="BQ123" s="1">
        <v>0</v>
      </c>
      <c r="BR123" s="1">
        <v>0</v>
      </c>
      <c r="BS123" s="1">
        <v>0</v>
      </c>
      <c r="BT123" s="1">
        <v>0</v>
      </c>
      <c r="BU123" s="1">
        <v>0</v>
      </c>
      <c r="BV123" s="1">
        <v>0</v>
      </c>
      <c r="BW123" s="1">
        <v>0</v>
      </c>
      <c r="BX123" s="1">
        <v>0</v>
      </c>
      <c r="BY123" s="1">
        <v>0</v>
      </c>
    </row>
    <row r="124" spans="1:77" x14ac:dyDescent="0.3">
      <c r="A124" s="2">
        <v>45512</v>
      </c>
      <c r="B124" s="1">
        <v>221</v>
      </c>
      <c r="C124" s="1" t="s">
        <v>174</v>
      </c>
      <c r="D124" s="1" t="s">
        <v>201</v>
      </c>
      <c r="E124" s="1">
        <v>0</v>
      </c>
      <c r="F124" s="1">
        <v>0</v>
      </c>
      <c r="G124" s="1">
        <v>0</v>
      </c>
      <c r="H124" s="1">
        <v>0</v>
      </c>
      <c r="I124" s="1">
        <v>0</v>
      </c>
      <c r="J124" s="1">
        <v>0</v>
      </c>
      <c r="K124" s="1">
        <v>0</v>
      </c>
      <c r="L124" s="1">
        <v>0</v>
      </c>
      <c r="M124" s="1">
        <v>0</v>
      </c>
      <c r="N124" s="1">
        <v>0</v>
      </c>
      <c r="O124" s="1">
        <v>0</v>
      </c>
      <c r="P124" s="1">
        <v>0</v>
      </c>
      <c r="Q124" s="1">
        <v>0</v>
      </c>
      <c r="R124" s="1">
        <v>0</v>
      </c>
      <c r="S124" s="1">
        <v>0</v>
      </c>
      <c r="T124" s="1">
        <v>0</v>
      </c>
      <c r="U124" s="1">
        <v>0</v>
      </c>
      <c r="V124" s="1">
        <v>0</v>
      </c>
      <c r="W124" s="1">
        <v>0</v>
      </c>
      <c r="X124" s="1">
        <v>0</v>
      </c>
      <c r="Y124" s="1">
        <v>0</v>
      </c>
      <c r="Z124" s="1">
        <v>0</v>
      </c>
      <c r="AA124" s="1">
        <v>5</v>
      </c>
      <c r="AB124" s="1">
        <v>1</v>
      </c>
      <c r="AC124" s="1">
        <v>0</v>
      </c>
      <c r="AD124" s="1">
        <v>0</v>
      </c>
      <c r="AE124" s="1">
        <v>0</v>
      </c>
      <c r="AF124" s="1">
        <v>0</v>
      </c>
      <c r="AG124" s="1">
        <v>0</v>
      </c>
      <c r="AH124" s="1">
        <v>0</v>
      </c>
      <c r="AI124" s="1">
        <v>0</v>
      </c>
      <c r="AJ124" s="1">
        <v>2</v>
      </c>
      <c r="AK124" s="1">
        <v>2</v>
      </c>
      <c r="AL124" s="1">
        <v>0</v>
      </c>
      <c r="AM124" s="1">
        <v>0</v>
      </c>
      <c r="AN124" s="1">
        <v>0</v>
      </c>
      <c r="AO124" s="1">
        <v>0</v>
      </c>
      <c r="AP124" s="1">
        <v>0</v>
      </c>
      <c r="AQ124" s="1">
        <v>0</v>
      </c>
      <c r="AR124" s="1">
        <v>0</v>
      </c>
      <c r="AS124" s="1">
        <v>0</v>
      </c>
      <c r="AT124" s="1">
        <v>0</v>
      </c>
      <c r="AU124" s="1">
        <v>0</v>
      </c>
      <c r="AV124" s="1">
        <v>0</v>
      </c>
      <c r="AW124" s="1">
        <v>0</v>
      </c>
      <c r="AX124" s="1">
        <v>0</v>
      </c>
      <c r="AY124" s="1">
        <v>0</v>
      </c>
      <c r="AZ124" s="1">
        <v>0</v>
      </c>
      <c r="BA124" s="1">
        <v>0</v>
      </c>
      <c r="BB124" s="1">
        <v>0</v>
      </c>
      <c r="BC124" s="1">
        <v>0</v>
      </c>
      <c r="BD124" s="1">
        <v>0</v>
      </c>
      <c r="BE124" s="1">
        <v>0</v>
      </c>
      <c r="BF124" s="1">
        <v>0</v>
      </c>
      <c r="BG124" s="1">
        <v>0</v>
      </c>
      <c r="BH124" s="1">
        <v>0</v>
      </c>
      <c r="BI124" s="1">
        <v>0</v>
      </c>
      <c r="BJ124" s="1">
        <v>0</v>
      </c>
      <c r="BK124" s="1">
        <v>0</v>
      </c>
      <c r="BL124" s="1">
        <v>0</v>
      </c>
      <c r="BM124" s="1">
        <v>0</v>
      </c>
      <c r="BN124" s="1">
        <v>0</v>
      </c>
      <c r="BO124" s="1">
        <v>0</v>
      </c>
      <c r="BP124" s="1">
        <v>0</v>
      </c>
      <c r="BQ124" s="1">
        <v>0</v>
      </c>
      <c r="BR124" s="1">
        <v>0</v>
      </c>
      <c r="BS124" s="1">
        <v>0</v>
      </c>
      <c r="BT124" s="1">
        <v>0</v>
      </c>
      <c r="BU124" s="1">
        <v>0</v>
      </c>
      <c r="BV124" s="1">
        <v>0</v>
      </c>
      <c r="BW124" s="1">
        <v>0</v>
      </c>
      <c r="BX124" s="1">
        <v>0</v>
      </c>
      <c r="BY124" s="1">
        <v>0</v>
      </c>
    </row>
    <row r="125" spans="1:77" x14ac:dyDescent="0.3">
      <c r="A125" s="2">
        <v>45513</v>
      </c>
      <c r="B125" s="1">
        <v>222</v>
      </c>
      <c r="C125" s="1" t="s">
        <v>174</v>
      </c>
      <c r="D125" s="1" t="s">
        <v>201</v>
      </c>
      <c r="E125" s="1">
        <v>0</v>
      </c>
      <c r="F125" s="1">
        <v>0</v>
      </c>
      <c r="G125" s="1">
        <v>0</v>
      </c>
      <c r="H125" s="1">
        <v>0</v>
      </c>
      <c r="I125" s="1">
        <v>0</v>
      </c>
      <c r="J125" s="1">
        <v>0</v>
      </c>
      <c r="K125" s="1">
        <v>0</v>
      </c>
      <c r="L125" s="1">
        <v>0</v>
      </c>
      <c r="M125" s="1">
        <v>0</v>
      </c>
      <c r="N125" s="1">
        <v>0</v>
      </c>
      <c r="O125" s="1">
        <v>0</v>
      </c>
      <c r="P125" s="1">
        <v>0</v>
      </c>
      <c r="Q125" s="1">
        <v>0</v>
      </c>
      <c r="R125" s="1">
        <v>0</v>
      </c>
      <c r="S125" s="1">
        <v>0</v>
      </c>
      <c r="T125" s="1">
        <v>0</v>
      </c>
      <c r="U125" s="1">
        <v>0</v>
      </c>
      <c r="V125" s="1">
        <v>0</v>
      </c>
      <c r="W125" s="1">
        <v>0</v>
      </c>
      <c r="X125" s="1">
        <v>0</v>
      </c>
      <c r="Y125" s="1">
        <v>0</v>
      </c>
      <c r="Z125" s="1">
        <v>0</v>
      </c>
      <c r="AA125" s="1">
        <v>2</v>
      </c>
      <c r="AB125" s="1">
        <v>0</v>
      </c>
      <c r="AC125" s="1">
        <v>0</v>
      </c>
      <c r="AD125" s="1">
        <v>0</v>
      </c>
      <c r="AE125" s="1">
        <v>0</v>
      </c>
      <c r="AF125" s="1">
        <v>0</v>
      </c>
      <c r="AG125" s="1">
        <v>0</v>
      </c>
      <c r="AH125" s="1">
        <v>0</v>
      </c>
      <c r="AI125" s="1">
        <v>0</v>
      </c>
      <c r="AJ125" s="1">
        <v>0</v>
      </c>
      <c r="AK125" s="1">
        <v>2</v>
      </c>
      <c r="AL125" s="1">
        <v>0</v>
      </c>
      <c r="AM125" s="1">
        <v>0</v>
      </c>
      <c r="AN125" s="1">
        <v>0</v>
      </c>
      <c r="AO125" s="1">
        <v>0</v>
      </c>
      <c r="AP125" s="1">
        <v>0</v>
      </c>
      <c r="AQ125" s="1">
        <v>0</v>
      </c>
      <c r="AR125" s="1">
        <v>0</v>
      </c>
      <c r="AS125" s="1">
        <v>0</v>
      </c>
      <c r="AT125" s="1">
        <v>0</v>
      </c>
      <c r="AU125" s="1">
        <v>0</v>
      </c>
      <c r="AV125" s="1">
        <v>0</v>
      </c>
      <c r="AW125" s="1">
        <v>0</v>
      </c>
      <c r="AX125" s="1">
        <v>0</v>
      </c>
      <c r="AY125" s="1">
        <v>0</v>
      </c>
      <c r="AZ125" s="1">
        <v>0</v>
      </c>
      <c r="BA125" s="1">
        <v>0</v>
      </c>
      <c r="BB125" s="1">
        <v>0</v>
      </c>
      <c r="BC125" s="1">
        <v>0</v>
      </c>
      <c r="BD125" s="1">
        <v>0</v>
      </c>
      <c r="BE125" s="1">
        <v>0</v>
      </c>
      <c r="BF125" s="1">
        <v>0</v>
      </c>
      <c r="BG125" s="1">
        <v>0</v>
      </c>
      <c r="BH125" s="1">
        <v>0</v>
      </c>
      <c r="BI125" s="1">
        <v>0</v>
      </c>
      <c r="BJ125" s="1">
        <v>0</v>
      </c>
      <c r="BK125" s="1">
        <v>0</v>
      </c>
      <c r="BL125" s="1">
        <v>0</v>
      </c>
      <c r="BM125" s="1">
        <v>0</v>
      </c>
      <c r="BN125" s="1">
        <v>0</v>
      </c>
      <c r="BO125" s="1">
        <v>0</v>
      </c>
      <c r="BP125" s="1">
        <v>0</v>
      </c>
      <c r="BQ125" s="1">
        <v>0</v>
      </c>
      <c r="BR125" s="1">
        <v>0</v>
      </c>
      <c r="BS125" s="1">
        <v>0</v>
      </c>
      <c r="BT125" s="1">
        <v>0</v>
      </c>
      <c r="BU125" s="1">
        <v>0</v>
      </c>
      <c r="BV125" s="1">
        <v>0</v>
      </c>
      <c r="BW125" s="1">
        <v>0</v>
      </c>
      <c r="BX125" s="1">
        <v>0</v>
      </c>
      <c r="BY125" s="1">
        <v>0</v>
      </c>
    </row>
    <row r="126" spans="1:77" x14ac:dyDescent="0.3">
      <c r="A126" s="2">
        <v>45524</v>
      </c>
      <c r="B126" s="1">
        <v>233</v>
      </c>
      <c r="C126" s="1" t="s">
        <v>174</v>
      </c>
      <c r="D126" s="1" t="s">
        <v>175</v>
      </c>
      <c r="E126" s="1">
        <v>0</v>
      </c>
      <c r="F126" s="1">
        <v>0</v>
      </c>
      <c r="G126" s="1">
        <v>1</v>
      </c>
      <c r="H126" s="1">
        <v>0</v>
      </c>
      <c r="I126" s="1">
        <v>1</v>
      </c>
      <c r="J126" s="1">
        <v>1</v>
      </c>
      <c r="K126" s="1">
        <v>0</v>
      </c>
      <c r="L126" s="1">
        <v>0</v>
      </c>
      <c r="M126" s="1">
        <v>0</v>
      </c>
      <c r="N126" s="1">
        <v>0</v>
      </c>
      <c r="O126" s="1">
        <v>0</v>
      </c>
      <c r="P126" s="1">
        <v>0</v>
      </c>
      <c r="Q126" s="1">
        <v>0</v>
      </c>
      <c r="R126" s="1">
        <v>0</v>
      </c>
      <c r="S126" s="1">
        <v>0</v>
      </c>
      <c r="T126" s="1">
        <v>1</v>
      </c>
      <c r="U126" s="1">
        <v>0</v>
      </c>
      <c r="V126" s="1">
        <v>1</v>
      </c>
      <c r="W126" s="1">
        <v>0</v>
      </c>
      <c r="X126" s="1">
        <v>0</v>
      </c>
      <c r="Y126" s="1">
        <v>0</v>
      </c>
      <c r="Z126" s="1">
        <v>0</v>
      </c>
      <c r="AA126" s="1">
        <v>0</v>
      </c>
      <c r="AB126" s="1">
        <v>0</v>
      </c>
      <c r="AC126" s="1">
        <v>0</v>
      </c>
      <c r="AD126" s="1">
        <v>0</v>
      </c>
      <c r="AE126" s="1">
        <v>0</v>
      </c>
      <c r="AF126" s="1">
        <v>0</v>
      </c>
      <c r="AG126" s="1">
        <v>0</v>
      </c>
      <c r="AH126" s="1">
        <v>0</v>
      </c>
      <c r="AI126" s="1">
        <v>0</v>
      </c>
      <c r="AJ126" s="1">
        <v>0</v>
      </c>
      <c r="AK126" s="1">
        <v>0</v>
      </c>
      <c r="AL126" s="1">
        <v>0</v>
      </c>
      <c r="AM126" s="1">
        <v>0</v>
      </c>
      <c r="AN126" s="1">
        <v>0</v>
      </c>
      <c r="AO126" s="1">
        <v>0</v>
      </c>
      <c r="AP126" s="1">
        <v>0</v>
      </c>
      <c r="AQ126" s="1">
        <v>1</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1</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row>
    <row r="127" spans="1:77" x14ac:dyDescent="0.3">
      <c r="A127" s="2">
        <v>45496</v>
      </c>
      <c r="B127" s="1">
        <v>205</v>
      </c>
      <c r="C127" s="1" t="s">
        <v>176</v>
      </c>
      <c r="D127" s="1" t="s">
        <v>152</v>
      </c>
      <c r="E127" s="1">
        <v>0</v>
      </c>
      <c r="F127" s="1">
        <v>0</v>
      </c>
      <c r="G127" s="1">
        <v>0</v>
      </c>
      <c r="H127" s="1">
        <v>0</v>
      </c>
      <c r="I127" s="1">
        <v>0</v>
      </c>
      <c r="J127" s="1">
        <v>0</v>
      </c>
      <c r="K127" s="1">
        <v>0</v>
      </c>
      <c r="L127" s="1">
        <v>0</v>
      </c>
      <c r="M127" s="1">
        <v>0</v>
      </c>
      <c r="N127" s="1">
        <v>0</v>
      </c>
      <c r="O127" s="1">
        <v>0</v>
      </c>
      <c r="P127" s="1">
        <v>0</v>
      </c>
      <c r="Q127" s="1">
        <v>0</v>
      </c>
      <c r="R127" s="1">
        <v>0</v>
      </c>
      <c r="S127" s="1">
        <v>0</v>
      </c>
      <c r="T127" s="1">
        <v>0</v>
      </c>
      <c r="U127" s="1">
        <v>1</v>
      </c>
      <c r="V127" s="1">
        <v>1</v>
      </c>
      <c r="W127" s="1">
        <v>0</v>
      </c>
      <c r="X127" s="1">
        <v>0</v>
      </c>
      <c r="Y127" s="1">
        <v>2</v>
      </c>
      <c r="Z127" s="1">
        <v>0</v>
      </c>
      <c r="AA127" s="1">
        <v>0</v>
      </c>
      <c r="AB127" s="1">
        <v>0</v>
      </c>
      <c r="AC127" s="1">
        <v>0</v>
      </c>
      <c r="AD127" s="1">
        <v>0</v>
      </c>
      <c r="AE127" s="1">
        <v>0</v>
      </c>
      <c r="AF127" s="1">
        <v>0</v>
      </c>
      <c r="AG127" s="1">
        <v>0</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0</v>
      </c>
      <c r="BD127" s="1">
        <v>0</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row>
    <row r="128" spans="1:77" x14ac:dyDescent="0.3">
      <c r="A128" s="2">
        <v>45496</v>
      </c>
      <c r="B128" s="1">
        <v>205</v>
      </c>
      <c r="C128" s="1" t="s">
        <v>176</v>
      </c>
      <c r="D128" s="1" t="s">
        <v>152</v>
      </c>
      <c r="E128" s="1">
        <v>0</v>
      </c>
      <c r="F128" s="1">
        <v>0</v>
      </c>
      <c r="G128" s="1">
        <v>0</v>
      </c>
      <c r="H128" s="1">
        <v>0</v>
      </c>
      <c r="I128" s="1">
        <v>0</v>
      </c>
      <c r="J128" s="1">
        <v>0</v>
      </c>
      <c r="K128" s="1">
        <v>0</v>
      </c>
      <c r="L128" s="1">
        <v>0</v>
      </c>
      <c r="M128" s="1">
        <v>0</v>
      </c>
      <c r="N128" s="1">
        <v>0</v>
      </c>
      <c r="O128" s="1">
        <v>0</v>
      </c>
      <c r="P128" s="1">
        <v>0</v>
      </c>
      <c r="Q128" s="1">
        <v>0</v>
      </c>
      <c r="R128" s="1">
        <v>0</v>
      </c>
      <c r="S128" s="1">
        <v>0</v>
      </c>
      <c r="T128" s="1">
        <v>0</v>
      </c>
      <c r="U128" s="1">
        <v>1</v>
      </c>
      <c r="V128" s="1">
        <v>0</v>
      </c>
      <c r="W128" s="1">
        <v>0</v>
      </c>
      <c r="X128" s="1">
        <v>0</v>
      </c>
      <c r="Y128" s="1">
        <v>1</v>
      </c>
      <c r="Z128" s="1">
        <v>0</v>
      </c>
      <c r="AA128" s="1">
        <v>0</v>
      </c>
      <c r="AB128" s="1">
        <v>0</v>
      </c>
      <c r="AC128" s="1">
        <v>0</v>
      </c>
      <c r="AD128" s="1">
        <v>0</v>
      </c>
      <c r="AE128" s="1">
        <v>0</v>
      </c>
      <c r="AF128" s="1">
        <v>0</v>
      </c>
      <c r="AG128" s="1">
        <v>0</v>
      </c>
      <c r="AH128" s="1">
        <v>0</v>
      </c>
      <c r="AI128" s="1">
        <v>0</v>
      </c>
      <c r="AJ128" s="1">
        <v>0</v>
      </c>
      <c r="AK128" s="1">
        <v>0</v>
      </c>
      <c r="AL128" s="1">
        <v>0</v>
      </c>
      <c r="AM128" s="1">
        <v>0</v>
      </c>
      <c r="AN128" s="1">
        <v>0</v>
      </c>
      <c r="AO128" s="1">
        <v>0</v>
      </c>
      <c r="AP128" s="1">
        <v>0</v>
      </c>
      <c r="AQ128" s="1">
        <v>0</v>
      </c>
      <c r="AR128" s="1">
        <v>1</v>
      </c>
      <c r="AS128" s="1">
        <v>0</v>
      </c>
      <c r="AT128" s="1">
        <v>0</v>
      </c>
      <c r="AU128" s="1">
        <v>0</v>
      </c>
      <c r="AV128" s="1">
        <v>0</v>
      </c>
      <c r="AW128" s="1">
        <v>0</v>
      </c>
      <c r="AX128" s="1">
        <v>0</v>
      </c>
      <c r="AY128" s="1">
        <v>0</v>
      </c>
      <c r="AZ128" s="1">
        <v>0</v>
      </c>
      <c r="BA128" s="1">
        <v>0</v>
      </c>
      <c r="BB128" s="1">
        <v>0</v>
      </c>
      <c r="BC128" s="1">
        <v>0</v>
      </c>
      <c r="BD128" s="1">
        <v>0</v>
      </c>
      <c r="BE128" s="1">
        <v>0</v>
      </c>
      <c r="BF128" s="1">
        <v>0</v>
      </c>
      <c r="BG128" s="1">
        <v>0</v>
      </c>
      <c r="BH128" s="1">
        <v>0</v>
      </c>
      <c r="BI128" s="1">
        <v>0</v>
      </c>
      <c r="BJ128" s="1">
        <v>0</v>
      </c>
      <c r="BK128" s="1">
        <v>0</v>
      </c>
      <c r="BL128" s="1">
        <v>0</v>
      </c>
      <c r="BM128" s="1">
        <v>0</v>
      </c>
      <c r="BN128" s="1">
        <v>0</v>
      </c>
      <c r="BO128" s="1">
        <v>0</v>
      </c>
      <c r="BP128" s="1">
        <v>0</v>
      </c>
      <c r="BQ128" s="1">
        <v>0</v>
      </c>
      <c r="BR128" s="1">
        <v>0</v>
      </c>
      <c r="BS128" s="1">
        <v>0</v>
      </c>
      <c r="BT128" s="1">
        <v>0</v>
      </c>
      <c r="BU128" s="1">
        <v>0</v>
      </c>
      <c r="BV128" s="1">
        <v>0</v>
      </c>
      <c r="BW128" s="1">
        <v>0</v>
      </c>
      <c r="BX128" s="1">
        <v>0</v>
      </c>
      <c r="BY128" s="1">
        <v>0</v>
      </c>
    </row>
    <row r="129" spans="1:77" x14ac:dyDescent="0.3">
      <c r="A129" s="2">
        <v>45506</v>
      </c>
      <c r="B129" s="1">
        <v>215</v>
      </c>
      <c r="C129" s="1" t="s">
        <v>200</v>
      </c>
      <c r="D129" s="1" t="s">
        <v>152</v>
      </c>
      <c r="E129" s="1">
        <v>0</v>
      </c>
      <c r="F129" s="1">
        <v>0</v>
      </c>
      <c r="G129" s="1">
        <v>0</v>
      </c>
      <c r="H129" s="1">
        <v>0</v>
      </c>
      <c r="I129" s="1">
        <v>0</v>
      </c>
      <c r="J129" s="1">
        <v>0</v>
      </c>
      <c r="K129" s="1">
        <v>0</v>
      </c>
      <c r="L129" s="1">
        <v>0</v>
      </c>
      <c r="M129" s="1">
        <v>0</v>
      </c>
      <c r="N129" s="1">
        <v>0</v>
      </c>
      <c r="O129" s="1">
        <v>0</v>
      </c>
      <c r="P129" s="1">
        <v>0</v>
      </c>
      <c r="Q129" s="1">
        <v>0</v>
      </c>
      <c r="R129" s="1">
        <v>0</v>
      </c>
      <c r="S129" s="1">
        <v>0</v>
      </c>
      <c r="T129" s="1">
        <v>0</v>
      </c>
      <c r="U129" s="1">
        <v>0</v>
      </c>
      <c r="V129" s="1">
        <v>0</v>
      </c>
      <c r="W129" s="1">
        <v>0</v>
      </c>
      <c r="X129" s="1">
        <v>0</v>
      </c>
      <c r="Y129" s="1">
        <v>0</v>
      </c>
      <c r="Z129" s="1">
        <v>0</v>
      </c>
      <c r="AA129" s="1">
        <v>1</v>
      </c>
      <c r="AB129" s="1">
        <v>0</v>
      </c>
      <c r="AC129" s="1">
        <v>0</v>
      </c>
      <c r="AD129" s="1">
        <v>0</v>
      </c>
      <c r="AE129" s="1">
        <v>1</v>
      </c>
      <c r="AF129" s="1">
        <v>0</v>
      </c>
      <c r="AG129" s="1">
        <v>0</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0</v>
      </c>
      <c r="BC129" s="1">
        <v>0</v>
      </c>
      <c r="BD129" s="1">
        <v>0</v>
      </c>
      <c r="BE129" s="1">
        <v>0</v>
      </c>
      <c r="BF129" s="1">
        <v>0</v>
      </c>
      <c r="BG129" s="1">
        <v>0</v>
      </c>
      <c r="BH129" s="1">
        <v>0</v>
      </c>
      <c r="BI129" s="1">
        <v>0</v>
      </c>
      <c r="BJ129" s="1">
        <v>0</v>
      </c>
      <c r="BK129" s="1">
        <v>0</v>
      </c>
      <c r="BL129" s="1">
        <v>0</v>
      </c>
      <c r="BM129" s="1">
        <v>0</v>
      </c>
      <c r="BN129" s="1">
        <v>0</v>
      </c>
      <c r="BO129" s="1">
        <v>0</v>
      </c>
      <c r="BP129" s="1">
        <v>0</v>
      </c>
      <c r="BQ129" s="1">
        <v>0</v>
      </c>
      <c r="BR129" s="1">
        <v>0</v>
      </c>
      <c r="BS129" s="1">
        <v>0</v>
      </c>
      <c r="BT129" s="1">
        <v>0</v>
      </c>
      <c r="BU129" s="1">
        <v>0</v>
      </c>
      <c r="BV129" s="1">
        <v>0</v>
      </c>
      <c r="BW129" s="1">
        <v>0</v>
      </c>
      <c r="BX129" s="1">
        <v>0</v>
      </c>
      <c r="BY129" s="1">
        <v>0</v>
      </c>
    </row>
    <row r="130" spans="1:77" x14ac:dyDescent="0.3">
      <c r="A130" s="2">
        <v>45518</v>
      </c>
      <c r="B130" s="1">
        <v>227</v>
      </c>
      <c r="C130" s="1" t="s">
        <v>200</v>
      </c>
      <c r="D130" s="1" t="s">
        <v>201</v>
      </c>
      <c r="E130" s="1">
        <v>0</v>
      </c>
      <c r="F130" s="1">
        <v>0</v>
      </c>
      <c r="G130" s="1">
        <v>0</v>
      </c>
      <c r="H130" s="1">
        <v>0</v>
      </c>
      <c r="I130" s="1">
        <v>0</v>
      </c>
      <c r="J130" s="1">
        <v>0</v>
      </c>
      <c r="K130" s="1">
        <v>0</v>
      </c>
      <c r="L130" s="1">
        <v>0</v>
      </c>
      <c r="M130" s="1">
        <v>0</v>
      </c>
      <c r="N130" s="1">
        <v>0</v>
      </c>
      <c r="O130" s="1">
        <v>0</v>
      </c>
      <c r="P130" s="1">
        <v>0</v>
      </c>
      <c r="Q130" s="1">
        <v>0</v>
      </c>
      <c r="R130" s="1">
        <v>0</v>
      </c>
      <c r="S130" s="1">
        <v>0</v>
      </c>
      <c r="T130" s="1">
        <v>0</v>
      </c>
      <c r="U130" s="1">
        <v>0</v>
      </c>
      <c r="V130" s="1">
        <v>0</v>
      </c>
      <c r="W130" s="1">
        <v>0</v>
      </c>
      <c r="X130" s="1">
        <v>0</v>
      </c>
      <c r="Y130" s="1">
        <v>0</v>
      </c>
      <c r="Z130" s="1">
        <v>0</v>
      </c>
      <c r="AA130" s="1">
        <v>1</v>
      </c>
      <c r="AB130" s="1">
        <v>0</v>
      </c>
      <c r="AC130" s="1">
        <v>0</v>
      </c>
      <c r="AD130" s="1">
        <v>0</v>
      </c>
      <c r="AE130" s="1">
        <v>0</v>
      </c>
      <c r="AF130" s="1">
        <v>0</v>
      </c>
      <c r="AG130" s="1">
        <v>0</v>
      </c>
      <c r="AH130" s="1">
        <v>0</v>
      </c>
      <c r="AI130" s="1">
        <v>0</v>
      </c>
      <c r="AJ130" s="1">
        <v>0</v>
      </c>
      <c r="AK130" s="1">
        <v>1</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row>
    <row r="131" spans="1:77" x14ac:dyDescent="0.3">
      <c r="A131" s="2">
        <v>45505</v>
      </c>
      <c r="B131" s="1">
        <v>214</v>
      </c>
      <c r="C131" s="1" t="s">
        <v>199</v>
      </c>
      <c r="D131" s="1" t="s">
        <v>152</v>
      </c>
      <c r="E131" s="1">
        <v>0</v>
      </c>
      <c r="F131" s="1">
        <v>0</v>
      </c>
      <c r="G131" s="1">
        <v>0</v>
      </c>
      <c r="H131" s="1">
        <v>0</v>
      </c>
      <c r="I131" s="1">
        <v>0</v>
      </c>
      <c r="J131" s="1">
        <v>0</v>
      </c>
      <c r="K131" s="1">
        <v>0</v>
      </c>
      <c r="L131" s="1">
        <v>1</v>
      </c>
      <c r="M131" s="1">
        <v>0</v>
      </c>
      <c r="N131" s="1">
        <v>0</v>
      </c>
      <c r="O131" s="1">
        <v>0</v>
      </c>
      <c r="P131" s="1">
        <v>0</v>
      </c>
      <c r="Q131" s="1">
        <v>3</v>
      </c>
      <c r="R131" s="1">
        <v>0</v>
      </c>
      <c r="S131" s="1">
        <v>0</v>
      </c>
      <c r="T131" s="1">
        <v>0</v>
      </c>
      <c r="U131" s="1">
        <v>0</v>
      </c>
      <c r="V131" s="1">
        <v>0</v>
      </c>
      <c r="W131" s="1">
        <v>0</v>
      </c>
      <c r="X131" s="1">
        <v>0</v>
      </c>
      <c r="Y131" s="1">
        <v>0</v>
      </c>
      <c r="Z131" s="1">
        <v>0</v>
      </c>
      <c r="AA131" s="1">
        <v>0</v>
      </c>
      <c r="AB131" s="1">
        <v>0</v>
      </c>
      <c r="AC131" s="1">
        <v>0</v>
      </c>
      <c r="AD131" s="1">
        <v>0</v>
      </c>
      <c r="AE131" s="1">
        <v>0</v>
      </c>
      <c r="AF131" s="1">
        <v>0</v>
      </c>
      <c r="AG131" s="1">
        <v>0</v>
      </c>
      <c r="AH131" s="1">
        <v>0</v>
      </c>
      <c r="AI131" s="1">
        <v>0</v>
      </c>
      <c r="AJ131" s="1">
        <v>0</v>
      </c>
      <c r="AK131" s="1">
        <v>0</v>
      </c>
      <c r="AL131" s="1">
        <v>0</v>
      </c>
      <c r="AM131" s="1">
        <v>0</v>
      </c>
      <c r="AN131" s="1">
        <v>0</v>
      </c>
      <c r="AO131" s="1">
        <v>0</v>
      </c>
      <c r="AP131" s="1">
        <v>0</v>
      </c>
      <c r="AQ131" s="1">
        <v>0</v>
      </c>
      <c r="AR131" s="1">
        <v>0</v>
      </c>
      <c r="AS131" s="1">
        <v>0</v>
      </c>
      <c r="AT131" s="1">
        <v>0</v>
      </c>
      <c r="AU131" s="1">
        <v>0</v>
      </c>
      <c r="AV131" s="1">
        <v>0</v>
      </c>
      <c r="AW131" s="1">
        <v>0</v>
      </c>
      <c r="AX131" s="1">
        <v>0</v>
      </c>
      <c r="AY131" s="1">
        <v>0</v>
      </c>
      <c r="AZ131" s="1">
        <v>0</v>
      </c>
      <c r="BA131" s="1">
        <v>0</v>
      </c>
      <c r="BB131" s="1">
        <v>0</v>
      </c>
      <c r="BC131" s="1">
        <v>0</v>
      </c>
      <c r="BD131" s="1">
        <v>0</v>
      </c>
      <c r="BE131" s="1">
        <v>0</v>
      </c>
      <c r="BF131" s="1">
        <v>0</v>
      </c>
      <c r="BG131" s="1">
        <v>1</v>
      </c>
      <c r="BH131" s="1">
        <v>0</v>
      </c>
      <c r="BI131" s="1">
        <v>3</v>
      </c>
      <c r="BJ131" s="1">
        <v>0</v>
      </c>
      <c r="BK131" s="1">
        <v>1</v>
      </c>
      <c r="BL131" s="1">
        <v>1</v>
      </c>
      <c r="BM131" s="1">
        <v>0</v>
      </c>
      <c r="BN131" s="1">
        <v>0</v>
      </c>
      <c r="BO131" s="1">
        <v>0</v>
      </c>
      <c r="BP131" s="1">
        <v>0</v>
      </c>
      <c r="BQ131" s="1">
        <v>0</v>
      </c>
      <c r="BR131" s="1">
        <v>0</v>
      </c>
      <c r="BS131" s="1">
        <v>0</v>
      </c>
      <c r="BT131" s="1">
        <v>0</v>
      </c>
      <c r="BU131" s="1">
        <v>0</v>
      </c>
      <c r="BV131" s="1">
        <v>0</v>
      </c>
      <c r="BW131" s="1">
        <v>0</v>
      </c>
      <c r="BX131" s="1">
        <v>0</v>
      </c>
      <c r="BY131" s="1">
        <v>0</v>
      </c>
    </row>
    <row r="132" spans="1:77" x14ac:dyDescent="0.3">
      <c r="A132" s="2">
        <v>45512</v>
      </c>
      <c r="B132" s="1">
        <v>221</v>
      </c>
      <c r="C132" s="1" t="s">
        <v>206</v>
      </c>
      <c r="D132" s="1" t="s">
        <v>207</v>
      </c>
      <c r="E132" s="1">
        <v>0</v>
      </c>
      <c r="F132" s="1">
        <v>0</v>
      </c>
      <c r="G132" s="1">
        <v>0</v>
      </c>
      <c r="H132" s="1">
        <v>0</v>
      </c>
      <c r="I132" s="1">
        <v>0</v>
      </c>
      <c r="J132" s="1">
        <v>0</v>
      </c>
      <c r="K132" s="1">
        <v>0</v>
      </c>
      <c r="L132" s="1">
        <v>0</v>
      </c>
      <c r="M132" s="1">
        <v>0</v>
      </c>
      <c r="N132" s="1">
        <v>0</v>
      </c>
      <c r="O132" s="1">
        <v>0</v>
      </c>
      <c r="P132" s="1">
        <v>0</v>
      </c>
      <c r="Q132" s="1">
        <v>0</v>
      </c>
      <c r="R132" s="1">
        <v>0</v>
      </c>
      <c r="S132" s="1">
        <v>0</v>
      </c>
      <c r="T132" s="1">
        <v>0</v>
      </c>
      <c r="U132" s="1">
        <v>0</v>
      </c>
      <c r="V132" s="1">
        <v>1</v>
      </c>
      <c r="W132" s="1">
        <v>0</v>
      </c>
      <c r="X132" s="1">
        <v>0</v>
      </c>
      <c r="Y132" s="1">
        <v>0</v>
      </c>
      <c r="Z132" s="1">
        <v>0</v>
      </c>
      <c r="AA132" s="1">
        <v>0</v>
      </c>
      <c r="AB132" s="1">
        <v>0</v>
      </c>
      <c r="AC132" s="1">
        <v>0</v>
      </c>
      <c r="AD132" s="1">
        <v>0</v>
      </c>
      <c r="AE132" s="1">
        <v>0</v>
      </c>
      <c r="AF132" s="1">
        <v>0</v>
      </c>
      <c r="AG132" s="1">
        <v>0</v>
      </c>
      <c r="AH132" s="1">
        <v>0</v>
      </c>
      <c r="AI132" s="1">
        <v>0</v>
      </c>
      <c r="AJ132" s="1">
        <v>0</v>
      </c>
      <c r="AK132" s="1">
        <v>0</v>
      </c>
      <c r="AL132" s="1">
        <v>0</v>
      </c>
      <c r="AM132" s="1">
        <v>0</v>
      </c>
      <c r="AN132" s="1">
        <v>0</v>
      </c>
      <c r="AO132" s="1">
        <v>0</v>
      </c>
      <c r="AP132" s="1">
        <v>0</v>
      </c>
      <c r="AQ132" s="1">
        <v>0</v>
      </c>
      <c r="AR132" s="1">
        <v>0</v>
      </c>
      <c r="AS132" s="1">
        <v>0</v>
      </c>
      <c r="AT132" s="1">
        <v>0</v>
      </c>
      <c r="AU132" s="1">
        <v>0</v>
      </c>
      <c r="AV132" s="1">
        <v>0</v>
      </c>
      <c r="AW132" s="1">
        <v>0</v>
      </c>
      <c r="AX132" s="1">
        <v>0</v>
      </c>
      <c r="AY132" s="1">
        <v>0</v>
      </c>
      <c r="AZ132" s="1">
        <v>0</v>
      </c>
      <c r="BA132" s="1">
        <v>0</v>
      </c>
      <c r="BB132" s="1">
        <v>0</v>
      </c>
      <c r="BC132" s="1">
        <v>0</v>
      </c>
      <c r="BD132" s="1">
        <v>0</v>
      </c>
      <c r="BE132" s="1">
        <v>0</v>
      </c>
      <c r="BF132" s="1">
        <v>0</v>
      </c>
      <c r="BG132" s="1">
        <v>0</v>
      </c>
      <c r="BH132" s="1">
        <v>0</v>
      </c>
      <c r="BI132" s="1">
        <v>0</v>
      </c>
      <c r="BJ132" s="1">
        <v>0</v>
      </c>
      <c r="BK132" s="1">
        <v>0</v>
      </c>
      <c r="BL132" s="1">
        <v>0</v>
      </c>
      <c r="BM132" s="1">
        <v>0</v>
      </c>
      <c r="BN132" s="1">
        <v>0</v>
      </c>
      <c r="BO132" s="1">
        <v>0</v>
      </c>
      <c r="BP132" s="1">
        <v>0</v>
      </c>
      <c r="BQ132" s="1">
        <v>0</v>
      </c>
      <c r="BR132" s="1">
        <v>0</v>
      </c>
      <c r="BS132" s="1">
        <v>1</v>
      </c>
      <c r="BT132" s="1">
        <v>0</v>
      </c>
      <c r="BU132" s="1">
        <v>0</v>
      </c>
      <c r="BV132" s="1">
        <v>0</v>
      </c>
      <c r="BW132" s="1">
        <v>0</v>
      </c>
      <c r="BX132" s="1">
        <v>0</v>
      </c>
      <c r="BY132" s="1">
        <v>0</v>
      </c>
    </row>
    <row r="133" spans="1:77" x14ac:dyDescent="0.3">
      <c r="A133" s="2">
        <v>45518</v>
      </c>
      <c r="B133" s="1">
        <v>227</v>
      </c>
      <c r="C133" s="1" t="s">
        <v>206</v>
      </c>
      <c r="D133" s="1" t="s">
        <v>201</v>
      </c>
      <c r="E133" s="1">
        <v>0</v>
      </c>
      <c r="F133" s="1">
        <v>0</v>
      </c>
      <c r="G133" s="1">
        <v>0</v>
      </c>
      <c r="H133" s="1">
        <v>0</v>
      </c>
      <c r="I133" s="1">
        <v>0</v>
      </c>
      <c r="J133" s="1">
        <v>0</v>
      </c>
      <c r="K133" s="1">
        <v>0</v>
      </c>
      <c r="L133" s="1">
        <v>0</v>
      </c>
      <c r="M133" s="1">
        <v>0</v>
      </c>
      <c r="N133" s="1">
        <v>0</v>
      </c>
      <c r="O133" s="1">
        <v>0</v>
      </c>
      <c r="P133" s="1">
        <v>0</v>
      </c>
      <c r="Q133" s="1">
        <v>0</v>
      </c>
      <c r="R133" s="1">
        <v>2</v>
      </c>
      <c r="S133" s="1">
        <v>0</v>
      </c>
      <c r="T133" s="1">
        <v>0</v>
      </c>
      <c r="U133" s="1">
        <v>0</v>
      </c>
      <c r="V133" s="1">
        <v>0</v>
      </c>
      <c r="W133" s="1">
        <v>0</v>
      </c>
      <c r="X133" s="1">
        <v>0</v>
      </c>
      <c r="Y133" s="1">
        <v>1</v>
      </c>
      <c r="Z133" s="1">
        <v>0</v>
      </c>
      <c r="AA133" s="1">
        <v>0</v>
      </c>
      <c r="AB133" s="1">
        <v>0</v>
      </c>
      <c r="AC133" s="1">
        <v>0</v>
      </c>
      <c r="AD133" s="1">
        <v>0</v>
      </c>
      <c r="AE133" s="1">
        <v>0</v>
      </c>
      <c r="AF133" s="1">
        <v>0</v>
      </c>
      <c r="AG133" s="1">
        <v>0</v>
      </c>
      <c r="AH133" s="1">
        <v>0</v>
      </c>
      <c r="AI133" s="1">
        <v>0</v>
      </c>
      <c r="AJ133" s="1">
        <v>0</v>
      </c>
      <c r="AK133" s="1">
        <v>0</v>
      </c>
      <c r="AL133" s="1">
        <v>0</v>
      </c>
      <c r="AM133" s="1">
        <v>0</v>
      </c>
      <c r="AN133" s="1">
        <v>0</v>
      </c>
      <c r="AO133" s="1">
        <v>0</v>
      </c>
      <c r="AP133" s="1">
        <v>0</v>
      </c>
      <c r="AQ133" s="1">
        <v>0</v>
      </c>
      <c r="AR133" s="1">
        <v>0</v>
      </c>
      <c r="AS133" s="1">
        <v>0</v>
      </c>
      <c r="AT133" s="1">
        <v>0</v>
      </c>
      <c r="AU133" s="1">
        <v>0</v>
      </c>
      <c r="AV133" s="1">
        <v>0</v>
      </c>
      <c r="AW133" s="1">
        <v>0</v>
      </c>
      <c r="AX133" s="1">
        <v>0</v>
      </c>
      <c r="AY133" s="1">
        <v>0</v>
      </c>
      <c r="AZ133" s="1">
        <v>0</v>
      </c>
      <c r="BA133" s="1">
        <v>0</v>
      </c>
      <c r="BB133" s="1">
        <v>0</v>
      </c>
      <c r="BC133" s="1">
        <v>0</v>
      </c>
      <c r="BD133" s="1">
        <v>0</v>
      </c>
      <c r="BE133" s="1">
        <v>0</v>
      </c>
      <c r="BF133" s="1">
        <v>0</v>
      </c>
      <c r="BG133" s="1">
        <v>0</v>
      </c>
      <c r="BH133" s="1">
        <v>0</v>
      </c>
      <c r="BI133" s="1">
        <v>1</v>
      </c>
      <c r="BJ133" s="1">
        <v>0</v>
      </c>
      <c r="BK133" s="1">
        <v>0</v>
      </c>
      <c r="BL133" s="1">
        <v>3</v>
      </c>
      <c r="BM133" s="1">
        <v>0</v>
      </c>
      <c r="BN133" s="1">
        <v>0</v>
      </c>
      <c r="BO133" s="1">
        <v>0</v>
      </c>
      <c r="BP133" s="1">
        <v>0</v>
      </c>
      <c r="BQ133" s="1">
        <v>0</v>
      </c>
      <c r="BR133" s="1">
        <v>0</v>
      </c>
      <c r="BS133" s="1">
        <v>0</v>
      </c>
      <c r="BT133" s="1">
        <v>0</v>
      </c>
      <c r="BU133" s="1">
        <v>0</v>
      </c>
      <c r="BV133" s="1">
        <v>0</v>
      </c>
      <c r="BW133" s="1">
        <v>0</v>
      </c>
      <c r="BX133" s="1">
        <v>0</v>
      </c>
      <c r="BY133" s="1">
        <v>0</v>
      </c>
    </row>
    <row r="134" spans="1:77" x14ac:dyDescent="0.3">
      <c r="A134" s="2">
        <v>45524</v>
      </c>
      <c r="B134" s="1">
        <v>233</v>
      </c>
      <c r="C134" s="1" t="s">
        <v>206</v>
      </c>
      <c r="D134" s="1" t="s">
        <v>175</v>
      </c>
      <c r="E134" s="1">
        <v>0</v>
      </c>
      <c r="F134" s="1">
        <v>1</v>
      </c>
      <c r="G134" s="1">
        <v>2</v>
      </c>
      <c r="H134" s="1">
        <v>0</v>
      </c>
      <c r="I134" s="1">
        <v>0</v>
      </c>
      <c r="J134" s="1">
        <v>1</v>
      </c>
      <c r="K134" s="1">
        <v>0</v>
      </c>
      <c r="L134" s="1">
        <v>0</v>
      </c>
      <c r="M134" s="1">
        <v>0</v>
      </c>
      <c r="N134" s="1">
        <v>0</v>
      </c>
      <c r="O134" s="1">
        <v>0</v>
      </c>
      <c r="P134" s="1">
        <v>0</v>
      </c>
      <c r="Q134" s="1">
        <v>0</v>
      </c>
      <c r="R134" s="1">
        <v>0</v>
      </c>
      <c r="S134" s="1">
        <v>0</v>
      </c>
      <c r="T134" s="1">
        <v>0</v>
      </c>
      <c r="U134" s="1">
        <v>0</v>
      </c>
      <c r="V134" s="1">
        <v>0</v>
      </c>
      <c r="W134" s="1">
        <v>0</v>
      </c>
      <c r="X134" s="1">
        <v>0</v>
      </c>
      <c r="Y134" s="1">
        <v>1</v>
      </c>
      <c r="Z134" s="1">
        <v>0</v>
      </c>
      <c r="AA134" s="1">
        <v>0</v>
      </c>
      <c r="AB134" s="1">
        <v>0</v>
      </c>
      <c r="AC134" s="1">
        <v>0</v>
      </c>
      <c r="AD134" s="1">
        <v>0</v>
      </c>
      <c r="AE134" s="1">
        <v>0</v>
      </c>
      <c r="AF134" s="1">
        <v>0</v>
      </c>
      <c r="AG134" s="1">
        <v>0</v>
      </c>
      <c r="AH134" s="1">
        <v>0</v>
      </c>
      <c r="AI134" s="1">
        <v>0</v>
      </c>
      <c r="AJ134" s="1">
        <v>0</v>
      </c>
      <c r="AK134" s="1">
        <v>0</v>
      </c>
      <c r="AL134" s="1">
        <v>0</v>
      </c>
      <c r="AM134" s="1">
        <v>0</v>
      </c>
      <c r="AN134" s="1">
        <v>0</v>
      </c>
      <c r="AO134" s="1">
        <v>0</v>
      </c>
      <c r="AP134" s="1">
        <v>0</v>
      </c>
      <c r="AQ134" s="1">
        <v>0</v>
      </c>
      <c r="AR134" s="1">
        <v>0</v>
      </c>
      <c r="AS134" s="1">
        <v>1</v>
      </c>
      <c r="AT134" s="1">
        <v>0</v>
      </c>
      <c r="AU134" s="1">
        <v>0</v>
      </c>
      <c r="AV134" s="1">
        <v>0</v>
      </c>
      <c r="AW134" s="1">
        <v>0</v>
      </c>
      <c r="AX134" s="1">
        <v>0</v>
      </c>
      <c r="AY134" s="1">
        <v>0</v>
      </c>
      <c r="AZ134" s="1">
        <v>0</v>
      </c>
      <c r="BA134" s="1">
        <v>0</v>
      </c>
      <c r="BB134" s="1">
        <v>0</v>
      </c>
      <c r="BC134" s="1">
        <v>0</v>
      </c>
      <c r="BD134" s="1">
        <v>0</v>
      </c>
      <c r="BE134" s="1">
        <v>0</v>
      </c>
      <c r="BF134" s="1">
        <v>1</v>
      </c>
      <c r="BG134" s="1">
        <v>0</v>
      </c>
      <c r="BH134" s="1">
        <v>0</v>
      </c>
      <c r="BI134" s="1">
        <v>0</v>
      </c>
      <c r="BJ134" s="1">
        <v>0</v>
      </c>
      <c r="BK134" s="1">
        <v>0</v>
      </c>
      <c r="BL134" s="1">
        <v>0</v>
      </c>
      <c r="BM134" s="1">
        <v>0</v>
      </c>
      <c r="BN134" s="1">
        <v>0</v>
      </c>
      <c r="BO134" s="1">
        <v>0</v>
      </c>
      <c r="BP134" s="1">
        <v>0</v>
      </c>
      <c r="BQ134" s="1">
        <v>0</v>
      </c>
      <c r="BR134" s="1">
        <v>0</v>
      </c>
      <c r="BS134" s="1">
        <v>0</v>
      </c>
      <c r="BT134" s="1">
        <v>0</v>
      </c>
      <c r="BU134" s="1">
        <v>0</v>
      </c>
      <c r="BV134" s="1">
        <v>0</v>
      </c>
      <c r="BW134" s="1">
        <v>0</v>
      </c>
      <c r="BX134" s="1">
        <v>0</v>
      </c>
      <c r="BY134" s="1">
        <v>0</v>
      </c>
    </row>
    <row r="135" spans="1:77" x14ac:dyDescent="0.3">
      <c r="A135" s="2">
        <v>45483</v>
      </c>
      <c r="B135" s="1">
        <v>192</v>
      </c>
      <c r="C135" s="1" t="s">
        <v>158</v>
      </c>
      <c r="D135" s="1" t="s">
        <v>152</v>
      </c>
      <c r="E135" s="1">
        <v>0</v>
      </c>
      <c r="F135" s="1">
        <v>0</v>
      </c>
      <c r="G135" s="1">
        <v>0</v>
      </c>
      <c r="H135" s="1">
        <v>0</v>
      </c>
      <c r="I135" s="1">
        <v>0</v>
      </c>
      <c r="J135" s="1">
        <v>0</v>
      </c>
      <c r="K135" s="1">
        <v>0</v>
      </c>
      <c r="L135" s="1">
        <v>0</v>
      </c>
      <c r="M135" s="1">
        <v>0</v>
      </c>
      <c r="N135" s="1">
        <v>0</v>
      </c>
      <c r="O135" s="1">
        <v>0</v>
      </c>
      <c r="P135" s="1">
        <v>0</v>
      </c>
      <c r="Q135" s="1">
        <v>0</v>
      </c>
      <c r="R135" s="1">
        <v>0</v>
      </c>
      <c r="S135" s="1">
        <v>0</v>
      </c>
      <c r="T135" s="1">
        <v>0</v>
      </c>
      <c r="U135" s="1">
        <v>0</v>
      </c>
      <c r="V135" s="1">
        <v>0</v>
      </c>
      <c r="W135" s="1">
        <v>0</v>
      </c>
      <c r="X135" s="1">
        <v>0</v>
      </c>
      <c r="Y135" s="1">
        <v>0</v>
      </c>
      <c r="Z135" s="1">
        <v>0</v>
      </c>
      <c r="AA135" s="1">
        <v>2</v>
      </c>
      <c r="AB135" s="1">
        <v>0</v>
      </c>
      <c r="AC135" s="1">
        <v>0</v>
      </c>
      <c r="AD135" s="1">
        <v>0</v>
      </c>
      <c r="AE135" s="1">
        <v>0</v>
      </c>
      <c r="AF135" s="1">
        <v>0</v>
      </c>
      <c r="AG135" s="1">
        <v>0</v>
      </c>
      <c r="AH135" s="1">
        <v>2</v>
      </c>
      <c r="AI135" s="1">
        <v>0</v>
      </c>
      <c r="AJ135" s="1">
        <v>0</v>
      </c>
      <c r="AK135" s="1">
        <v>0</v>
      </c>
      <c r="AL135" s="1">
        <v>0</v>
      </c>
      <c r="AM135" s="1">
        <v>0</v>
      </c>
      <c r="AN135" s="1">
        <v>0</v>
      </c>
      <c r="AO135" s="1">
        <v>0</v>
      </c>
      <c r="AP135" s="1">
        <v>0</v>
      </c>
      <c r="AQ135" s="1">
        <v>0</v>
      </c>
      <c r="AR135" s="1">
        <v>0</v>
      </c>
      <c r="AS135" s="1">
        <v>0</v>
      </c>
      <c r="AT135" s="1">
        <v>0</v>
      </c>
      <c r="AU135" s="1">
        <v>0</v>
      </c>
      <c r="AV135" s="1">
        <v>0</v>
      </c>
      <c r="AW135" s="1">
        <v>0</v>
      </c>
      <c r="AX135" s="1">
        <v>0</v>
      </c>
      <c r="AY135" s="1">
        <v>0</v>
      </c>
      <c r="AZ135" s="1">
        <v>0</v>
      </c>
      <c r="BA135" s="1">
        <v>0</v>
      </c>
      <c r="BB135" s="1">
        <v>0</v>
      </c>
      <c r="BC135" s="1">
        <v>0</v>
      </c>
      <c r="BD135" s="1">
        <v>0</v>
      </c>
      <c r="BE135" s="1">
        <v>0</v>
      </c>
      <c r="BF135" s="1">
        <v>0</v>
      </c>
      <c r="BG135" s="1">
        <v>0</v>
      </c>
      <c r="BH135" s="1">
        <v>0</v>
      </c>
      <c r="BI135" s="1">
        <v>0</v>
      </c>
      <c r="BJ135" s="1">
        <v>0</v>
      </c>
      <c r="BK135" s="1">
        <v>0</v>
      </c>
      <c r="BL135" s="1">
        <v>0</v>
      </c>
      <c r="BM135" s="1">
        <v>0</v>
      </c>
      <c r="BN135" s="1">
        <v>0</v>
      </c>
      <c r="BO135" s="1">
        <v>0</v>
      </c>
      <c r="BP135" s="1">
        <v>0</v>
      </c>
      <c r="BQ135" s="1">
        <v>0</v>
      </c>
      <c r="BR135" s="1">
        <v>0</v>
      </c>
      <c r="BS135" s="1">
        <v>0</v>
      </c>
      <c r="BT135" s="1">
        <v>0</v>
      </c>
      <c r="BU135" s="1">
        <v>0</v>
      </c>
      <c r="BV135" s="1">
        <v>0</v>
      </c>
      <c r="BW135" s="1">
        <v>0</v>
      </c>
      <c r="BX135" s="1">
        <v>0</v>
      </c>
      <c r="BY135" s="1">
        <v>0</v>
      </c>
    </row>
    <row r="136" spans="1:77" x14ac:dyDescent="0.3">
      <c r="A136" s="2">
        <v>45498</v>
      </c>
      <c r="B136" s="1">
        <v>207</v>
      </c>
      <c r="C136" s="1" t="s">
        <v>158</v>
      </c>
      <c r="D136" s="1" t="s">
        <v>152</v>
      </c>
      <c r="E136" s="1">
        <v>0</v>
      </c>
      <c r="F136" s="1">
        <v>1</v>
      </c>
      <c r="G136" s="1">
        <v>0</v>
      </c>
      <c r="H136" s="1">
        <v>0</v>
      </c>
      <c r="I136" s="1">
        <v>0</v>
      </c>
      <c r="J136" s="1">
        <v>0</v>
      </c>
      <c r="K136" s="1">
        <v>0</v>
      </c>
      <c r="L136" s="1">
        <v>0</v>
      </c>
      <c r="M136" s="1">
        <v>0</v>
      </c>
      <c r="N136" s="1">
        <v>0</v>
      </c>
      <c r="O136" s="1">
        <v>0</v>
      </c>
      <c r="P136" s="1">
        <v>0</v>
      </c>
      <c r="Q136" s="1">
        <v>0</v>
      </c>
      <c r="R136" s="1">
        <v>0</v>
      </c>
      <c r="S136" s="1">
        <v>0</v>
      </c>
      <c r="T136" s="1">
        <v>0</v>
      </c>
      <c r="U136" s="1">
        <v>0</v>
      </c>
      <c r="V136" s="1">
        <v>0</v>
      </c>
      <c r="W136" s="1">
        <v>0</v>
      </c>
      <c r="X136" s="1">
        <v>0</v>
      </c>
      <c r="Y136" s="1">
        <v>0</v>
      </c>
      <c r="Z136" s="1">
        <v>0</v>
      </c>
      <c r="AA136" s="1">
        <v>0</v>
      </c>
      <c r="AB136" s="1">
        <v>0</v>
      </c>
      <c r="AC136" s="1">
        <v>0</v>
      </c>
      <c r="AD136" s="1">
        <v>0</v>
      </c>
      <c r="AE136" s="1">
        <v>0</v>
      </c>
      <c r="AF136" s="1">
        <v>0</v>
      </c>
      <c r="AG136" s="1">
        <v>0</v>
      </c>
      <c r="AH136" s="1">
        <v>0</v>
      </c>
      <c r="AI136" s="1">
        <v>0</v>
      </c>
      <c r="AJ136" s="1">
        <v>0</v>
      </c>
      <c r="AK136" s="1">
        <v>0</v>
      </c>
      <c r="AL136" s="1">
        <v>2</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0</v>
      </c>
      <c r="BF136" s="1">
        <v>1</v>
      </c>
      <c r="BG136" s="1">
        <v>0</v>
      </c>
      <c r="BH136" s="1">
        <v>0</v>
      </c>
      <c r="BI136" s="1">
        <v>0</v>
      </c>
      <c r="BJ136" s="1">
        <v>0</v>
      </c>
      <c r="BK136" s="1">
        <v>1</v>
      </c>
      <c r="BL136" s="1">
        <v>1</v>
      </c>
      <c r="BM136" s="1">
        <v>0</v>
      </c>
      <c r="BN136" s="1">
        <v>0</v>
      </c>
      <c r="BO136" s="1">
        <v>0</v>
      </c>
      <c r="BP136" s="1">
        <v>0</v>
      </c>
      <c r="BQ136" s="1">
        <v>0</v>
      </c>
      <c r="BR136" s="1">
        <v>0</v>
      </c>
      <c r="BS136" s="1">
        <v>0</v>
      </c>
      <c r="BT136" s="1">
        <v>0</v>
      </c>
      <c r="BU136" s="1">
        <v>0</v>
      </c>
      <c r="BV136" s="1">
        <v>0</v>
      </c>
      <c r="BW136" s="1">
        <v>0</v>
      </c>
      <c r="BX136" s="1">
        <v>0</v>
      </c>
      <c r="BY136" s="1">
        <v>0</v>
      </c>
    </row>
    <row r="137" spans="1:77" x14ac:dyDescent="0.3">
      <c r="A137" s="2">
        <v>45503</v>
      </c>
      <c r="B137" s="1">
        <v>212</v>
      </c>
      <c r="C137" s="1" t="s">
        <v>158</v>
      </c>
      <c r="D137" s="1" t="s">
        <v>152</v>
      </c>
      <c r="E137" s="1">
        <v>0</v>
      </c>
      <c r="F137" s="1">
        <v>0</v>
      </c>
      <c r="G137" s="1">
        <v>0</v>
      </c>
      <c r="H137" s="1">
        <v>0</v>
      </c>
      <c r="I137" s="1">
        <v>0</v>
      </c>
      <c r="J137" s="1">
        <v>0</v>
      </c>
      <c r="K137" s="1">
        <v>0</v>
      </c>
      <c r="L137" s="1">
        <v>0</v>
      </c>
      <c r="M137" s="1">
        <v>0</v>
      </c>
      <c r="N137" s="1">
        <v>0</v>
      </c>
      <c r="O137" s="1">
        <v>0</v>
      </c>
      <c r="P137" s="1">
        <v>0</v>
      </c>
      <c r="Q137" s="1">
        <v>0</v>
      </c>
      <c r="R137" s="1">
        <v>0</v>
      </c>
      <c r="S137" s="1">
        <v>0</v>
      </c>
      <c r="T137" s="1">
        <v>0</v>
      </c>
      <c r="U137" s="1">
        <v>1</v>
      </c>
      <c r="V137" s="1">
        <v>0</v>
      </c>
      <c r="W137" s="1">
        <v>0</v>
      </c>
      <c r="X137" s="1">
        <v>0</v>
      </c>
      <c r="Y137" s="1">
        <v>0</v>
      </c>
      <c r="Z137" s="1">
        <v>0</v>
      </c>
      <c r="AA137" s="1">
        <v>0</v>
      </c>
      <c r="AB137" s="1">
        <v>0</v>
      </c>
      <c r="AC137" s="1">
        <v>0</v>
      </c>
      <c r="AD137" s="1">
        <v>0</v>
      </c>
      <c r="AE137" s="1">
        <v>0</v>
      </c>
      <c r="AF137" s="1">
        <v>0</v>
      </c>
      <c r="AG137" s="1">
        <v>0</v>
      </c>
      <c r="AH137" s="1">
        <v>0</v>
      </c>
      <c r="AI137" s="1">
        <v>0</v>
      </c>
      <c r="AJ137" s="1">
        <v>0</v>
      </c>
      <c r="AK137" s="1">
        <v>0</v>
      </c>
      <c r="AL137" s="1">
        <v>0</v>
      </c>
      <c r="AM137" s="1">
        <v>0</v>
      </c>
      <c r="AN137" s="1">
        <v>0</v>
      </c>
      <c r="AO137" s="1">
        <v>0</v>
      </c>
      <c r="AP137" s="1">
        <v>0</v>
      </c>
      <c r="AQ137" s="1">
        <v>0</v>
      </c>
      <c r="AR137" s="1">
        <v>0</v>
      </c>
      <c r="AS137" s="1">
        <v>0</v>
      </c>
      <c r="AT137" s="1">
        <v>0</v>
      </c>
      <c r="AU137" s="1">
        <v>0</v>
      </c>
      <c r="AV137" s="1">
        <v>0</v>
      </c>
      <c r="AW137" s="1">
        <v>0</v>
      </c>
      <c r="AX137" s="1">
        <v>0</v>
      </c>
      <c r="AY137" s="1">
        <v>0</v>
      </c>
      <c r="AZ137" s="1">
        <v>0</v>
      </c>
      <c r="BA137" s="1">
        <v>0</v>
      </c>
      <c r="BB137" s="1">
        <v>0</v>
      </c>
      <c r="BC137" s="1">
        <v>0</v>
      </c>
      <c r="BD137" s="1">
        <v>0</v>
      </c>
      <c r="BE137" s="1">
        <v>0</v>
      </c>
      <c r="BF137" s="1">
        <v>0</v>
      </c>
      <c r="BG137" s="1">
        <v>0</v>
      </c>
      <c r="BH137" s="1">
        <v>0</v>
      </c>
      <c r="BI137" s="1">
        <v>0</v>
      </c>
      <c r="BJ137" s="1">
        <v>0</v>
      </c>
      <c r="BK137" s="1">
        <v>0</v>
      </c>
      <c r="BL137" s="1">
        <v>3</v>
      </c>
      <c r="BM137" s="1">
        <v>0</v>
      </c>
      <c r="BN137" s="1">
        <v>0</v>
      </c>
      <c r="BO137" s="1">
        <v>0</v>
      </c>
      <c r="BP137" s="1">
        <v>0</v>
      </c>
      <c r="BQ137" s="1">
        <v>0</v>
      </c>
      <c r="BR137" s="1">
        <v>0</v>
      </c>
      <c r="BS137" s="1">
        <v>0</v>
      </c>
      <c r="BT137" s="1">
        <v>0</v>
      </c>
      <c r="BU137" s="1">
        <v>0</v>
      </c>
      <c r="BV137" s="1">
        <v>0</v>
      </c>
      <c r="BW137" s="1">
        <v>0</v>
      </c>
      <c r="BX137" s="1">
        <v>0</v>
      </c>
      <c r="BY137" s="1">
        <v>0</v>
      </c>
    </row>
    <row r="138" spans="1:77" x14ac:dyDescent="0.3">
      <c r="A138" s="2">
        <v>45513</v>
      </c>
      <c r="B138" s="1">
        <v>222</v>
      </c>
      <c r="C138" s="1" t="s">
        <v>158</v>
      </c>
      <c r="D138" s="1" t="s">
        <v>152</v>
      </c>
      <c r="E138" s="1">
        <v>0</v>
      </c>
      <c r="F138" s="1">
        <v>0</v>
      </c>
      <c r="G138" s="1">
        <v>0</v>
      </c>
      <c r="H138" s="1">
        <v>0</v>
      </c>
      <c r="I138" s="1">
        <v>0</v>
      </c>
      <c r="J138" s="1">
        <v>0</v>
      </c>
      <c r="K138" s="1">
        <v>0</v>
      </c>
      <c r="L138" s="1">
        <v>0</v>
      </c>
      <c r="M138" s="1">
        <v>0</v>
      </c>
      <c r="N138" s="1">
        <v>0</v>
      </c>
      <c r="O138" s="1">
        <v>0</v>
      </c>
      <c r="P138" s="1">
        <v>0</v>
      </c>
      <c r="Q138" s="1">
        <v>1</v>
      </c>
      <c r="R138" s="1">
        <v>0</v>
      </c>
      <c r="S138" s="1">
        <v>0</v>
      </c>
      <c r="T138" s="1">
        <v>0</v>
      </c>
      <c r="U138" s="1">
        <v>0</v>
      </c>
      <c r="V138" s="1">
        <v>0</v>
      </c>
      <c r="W138" s="1">
        <v>0</v>
      </c>
      <c r="X138" s="1">
        <v>0</v>
      </c>
      <c r="Y138" s="1">
        <v>0</v>
      </c>
      <c r="Z138" s="1">
        <v>0</v>
      </c>
      <c r="AA138" s="1">
        <v>0</v>
      </c>
      <c r="AB138" s="1">
        <v>0</v>
      </c>
      <c r="AC138" s="1">
        <v>0</v>
      </c>
      <c r="AD138" s="1">
        <v>0</v>
      </c>
      <c r="AE138" s="1">
        <v>0</v>
      </c>
      <c r="AF138" s="1">
        <v>0</v>
      </c>
      <c r="AG138" s="1">
        <v>0</v>
      </c>
      <c r="AH138" s="1">
        <v>0</v>
      </c>
      <c r="AI138" s="1">
        <v>0</v>
      </c>
      <c r="AJ138" s="1">
        <v>0</v>
      </c>
      <c r="AK138" s="1">
        <v>0</v>
      </c>
      <c r="AL138" s="1">
        <v>0</v>
      </c>
      <c r="AM138" s="1">
        <v>0</v>
      </c>
      <c r="AN138" s="1">
        <v>0</v>
      </c>
      <c r="AO138" s="1">
        <v>0</v>
      </c>
      <c r="AP138" s="1">
        <v>0</v>
      </c>
      <c r="AQ138" s="1">
        <v>0</v>
      </c>
      <c r="AR138" s="1">
        <v>0</v>
      </c>
      <c r="AS138" s="1">
        <v>0</v>
      </c>
      <c r="AT138" s="1">
        <v>0</v>
      </c>
      <c r="AU138" s="1">
        <v>0</v>
      </c>
      <c r="AV138" s="1">
        <v>0</v>
      </c>
      <c r="AW138" s="1">
        <v>0</v>
      </c>
      <c r="AX138" s="1">
        <v>0</v>
      </c>
      <c r="AY138" s="1">
        <v>0</v>
      </c>
      <c r="AZ138" s="1">
        <v>0</v>
      </c>
      <c r="BA138" s="1">
        <v>0</v>
      </c>
      <c r="BB138" s="1">
        <v>0</v>
      </c>
      <c r="BC138" s="1">
        <v>0</v>
      </c>
      <c r="BD138" s="1">
        <v>0</v>
      </c>
      <c r="BE138" s="1">
        <v>0</v>
      </c>
      <c r="BF138" s="1">
        <v>0</v>
      </c>
      <c r="BG138" s="1">
        <v>0</v>
      </c>
      <c r="BH138" s="1">
        <v>0</v>
      </c>
      <c r="BI138" s="1">
        <v>0</v>
      </c>
      <c r="BJ138" s="1">
        <v>0</v>
      </c>
      <c r="BK138" s="1">
        <v>0</v>
      </c>
      <c r="BL138" s="1">
        <v>0</v>
      </c>
      <c r="BM138" s="1">
        <v>0</v>
      </c>
      <c r="BN138" s="1">
        <v>0</v>
      </c>
      <c r="BO138" s="1">
        <v>0</v>
      </c>
      <c r="BP138" s="1">
        <v>0</v>
      </c>
      <c r="BQ138" s="1">
        <v>0</v>
      </c>
      <c r="BR138" s="1">
        <v>0</v>
      </c>
      <c r="BS138" s="1">
        <v>0</v>
      </c>
      <c r="BT138" s="1">
        <v>0</v>
      </c>
      <c r="BU138" s="1">
        <v>0</v>
      </c>
      <c r="BV138" s="1">
        <v>0</v>
      </c>
      <c r="BW138" s="1">
        <v>0</v>
      </c>
      <c r="BX138" s="1">
        <v>0</v>
      </c>
      <c r="BY138" s="1">
        <v>0</v>
      </c>
    </row>
    <row r="139" spans="1:77" x14ac:dyDescent="0.3">
      <c r="A139" s="2">
        <v>45525</v>
      </c>
      <c r="B139" s="1">
        <v>234</v>
      </c>
      <c r="C139" s="1" t="s">
        <v>158</v>
      </c>
      <c r="D139" s="1" t="s">
        <v>201</v>
      </c>
      <c r="E139" s="1">
        <v>0</v>
      </c>
      <c r="F139" s="1">
        <v>0</v>
      </c>
      <c r="G139" s="1">
        <v>0</v>
      </c>
      <c r="H139" s="1">
        <v>0</v>
      </c>
      <c r="I139" s="1">
        <v>0</v>
      </c>
      <c r="J139" s="1">
        <v>0</v>
      </c>
      <c r="K139" s="1">
        <v>0</v>
      </c>
      <c r="L139" s="1">
        <v>0</v>
      </c>
      <c r="M139" s="1">
        <v>0</v>
      </c>
      <c r="N139" s="1">
        <v>0</v>
      </c>
      <c r="O139" s="1">
        <v>0</v>
      </c>
      <c r="P139" s="1">
        <v>0</v>
      </c>
      <c r="Q139" s="1">
        <v>0</v>
      </c>
      <c r="R139" s="1">
        <v>0</v>
      </c>
      <c r="S139" s="1">
        <v>0</v>
      </c>
      <c r="T139" s="1">
        <v>0</v>
      </c>
      <c r="U139" s="1">
        <v>0</v>
      </c>
      <c r="V139" s="1">
        <v>0</v>
      </c>
      <c r="W139" s="1">
        <v>0</v>
      </c>
      <c r="X139" s="1">
        <v>0</v>
      </c>
      <c r="Y139" s="1">
        <v>0</v>
      </c>
      <c r="Z139" s="1">
        <v>0</v>
      </c>
      <c r="AA139" s="1">
        <v>0</v>
      </c>
      <c r="AB139" s="1">
        <v>0</v>
      </c>
      <c r="AC139" s="1">
        <v>0</v>
      </c>
      <c r="AD139" s="1">
        <v>0</v>
      </c>
      <c r="AE139" s="1">
        <v>0</v>
      </c>
      <c r="AF139" s="1">
        <v>0</v>
      </c>
      <c r="AG139" s="1">
        <v>0</v>
      </c>
      <c r="AH139" s="1">
        <v>0</v>
      </c>
      <c r="AI139" s="1">
        <v>0</v>
      </c>
      <c r="AJ139" s="1">
        <v>0</v>
      </c>
      <c r="AK139" s="1">
        <v>0</v>
      </c>
      <c r="AL139" s="1">
        <v>0</v>
      </c>
      <c r="AM139" s="1">
        <v>0</v>
      </c>
      <c r="AN139" s="1">
        <v>0</v>
      </c>
      <c r="AO139" s="1">
        <v>0</v>
      </c>
      <c r="AP139" s="1">
        <v>0</v>
      </c>
      <c r="AQ139" s="1">
        <v>0</v>
      </c>
      <c r="AR139" s="1">
        <v>0</v>
      </c>
      <c r="AS139" s="1">
        <v>0</v>
      </c>
      <c r="AT139" s="1">
        <v>0</v>
      </c>
      <c r="AU139" s="1">
        <v>0</v>
      </c>
      <c r="AV139" s="1">
        <v>0</v>
      </c>
      <c r="AW139" s="1">
        <v>0</v>
      </c>
      <c r="AX139" s="1">
        <v>0</v>
      </c>
      <c r="AY139" s="1">
        <v>0</v>
      </c>
      <c r="AZ139" s="1">
        <v>0</v>
      </c>
      <c r="BA139" s="1">
        <v>0</v>
      </c>
      <c r="BB139" s="1">
        <v>0</v>
      </c>
      <c r="BC139" s="1">
        <v>0</v>
      </c>
      <c r="BD139" s="1">
        <v>0</v>
      </c>
      <c r="BE139" s="1">
        <v>0</v>
      </c>
      <c r="BF139" s="1">
        <v>0</v>
      </c>
      <c r="BG139" s="1">
        <v>0</v>
      </c>
      <c r="BH139" s="1">
        <v>0</v>
      </c>
      <c r="BI139" s="1">
        <v>0</v>
      </c>
      <c r="BJ139" s="1">
        <v>0</v>
      </c>
      <c r="BK139" s="1">
        <v>0</v>
      </c>
      <c r="BL139" s="1">
        <v>1</v>
      </c>
      <c r="BM139" s="1">
        <v>0</v>
      </c>
      <c r="BN139" s="1">
        <v>0</v>
      </c>
      <c r="BO139" s="1">
        <v>0</v>
      </c>
      <c r="BP139" s="1">
        <v>0</v>
      </c>
      <c r="BQ139" s="1">
        <v>0</v>
      </c>
      <c r="BR139" s="1">
        <v>0</v>
      </c>
      <c r="BS139" s="1">
        <v>0</v>
      </c>
      <c r="BT139" s="1">
        <v>0</v>
      </c>
      <c r="BU139" s="1">
        <v>0</v>
      </c>
      <c r="BV139" s="1">
        <v>0</v>
      </c>
      <c r="BW139" s="1">
        <v>0</v>
      </c>
      <c r="BX139" s="1">
        <v>0</v>
      </c>
      <c r="BY139" s="1">
        <v>0</v>
      </c>
    </row>
    <row r="140" spans="1:77" x14ac:dyDescent="0.3">
      <c r="A140" s="2">
        <v>45512</v>
      </c>
      <c r="B140" s="1">
        <v>221</v>
      </c>
      <c r="C140" s="1" t="s">
        <v>210</v>
      </c>
      <c r="D140" s="1" t="s">
        <v>201</v>
      </c>
      <c r="E140" s="1">
        <v>0</v>
      </c>
      <c r="F140" s="1">
        <v>0</v>
      </c>
      <c r="G140" s="1">
        <v>0</v>
      </c>
      <c r="H140" s="1">
        <v>0</v>
      </c>
      <c r="I140" s="1">
        <v>0</v>
      </c>
      <c r="J140" s="1">
        <v>0</v>
      </c>
      <c r="K140" s="1">
        <v>0</v>
      </c>
      <c r="L140" s="1">
        <v>0</v>
      </c>
      <c r="M140" s="1">
        <v>0</v>
      </c>
      <c r="N140" s="1">
        <v>0</v>
      </c>
      <c r="O140" s="1">
        <v>0</v>
      </c>
      <c r="P140" s="1">
        <v>0</v>
      </c>
      <c r="Q140" s="1">
        <v>0</v>
      </c>
      <c r="R140" s="1">
        <v>1</v>
      </c>
      <c r="S140" s="1">
        <v>0</v>
      </c>
      <c r="T140" s="1">
        <v>0</v>
      </c>
      <c r="U140" s="1">
        <v>0</v>
      </c>
      <c r="V140" s="1">
        <v>0</v>
      </c>
      <c r="W140" s="1">
        <v>0</v>
      </c>
      <c r="X140" s="1">
        <v>0</v>
      </c>
      <c r="Y140" s="1">
        <v>1</v>
      </c>
      <c r="Z140" s="1">
        <v>0</v>
      </c>
      <c r="AA140" s="1">
        <v>2</v>
      </c>
      <c r="AB140" s="1">
        <v>0</v>
      </c>
      <c r="AC140" s="1">
        <v>0</v>
      </c>
      <c r="AD140" s="1">
        <v>0</v>
      </c>
      <c r="AE140" s="1">
        <v>0</v>
      </c>
      <c r="AF140" s="1">
        <v>1</v>
      </c>
      <c r="AG140" s="1">
        <v>0</v>
      </c>
      <c r="AH140" s="1">
        <v>0</v>
      </c>
      <c r="AI140" s="1">
        <v>0</v>
      </c>
      <c r="AJ140" s="1">
        <v>0</v>
      </c>
      <c r="AK140" s="1">
        <v>1</v>
      </c>
      <c r="AL140" s="1">
        <v>0</v>
      </c>
      <c r="AM140" s="1">
        <v>0</v>
      </c>
      <c r="AN140" s="1">
        <v>0</v>
      </c>
      <c r="AO140" s="1">
        <v>0</v>
      </c>
      <c r="AP140" s="1">
        <v>0</v>
      </c>
      <c r="AQ140" s="1">
        <v>0</v>
      </c>
      <c r="AR140" s="1">
        <v>0</v>
      </c>
      <c r="AS140" s="1">
        <v>0</v>
      </c>
      <c r="AT140" s="1">
        <v>0</v>
      </c>
      <c r="AU140" s="1">
        <v>0</v>
      </c>
      <c r="AV140" s="1">
        <v>0</v>
      </c>
      <c r="AW140" s="1">
        <v>0</v>
      </c>
      <c r="AX140" s="1">
        <v>0</v>
      </c>
      <c r="AY140" s="1">
        <v>0</v>
      </c>
      <c r="AZ140" s="1">
        <v>0</v>
      </c>
      <c r="BA140" s="1">
        <v>0</v>
      </c>
      <c r="BB140" s="1">
        <v>0</v>
      </c>
      <c r="BC140" s="1">
        <v>0</v>
      </c>
      <c r="BD140" s="1">
        <v>0</v>
      </c>
      <c r="BE140" s="1">
        <v>0</v>
      </c>
      <c r="BF140" s="1">
        <v>0</v>
      </c>
      <c r="BG140" s="1">
        <v>0</v>
      </c>
      <c r="BH140" s="1">
        <v>0</v>
      </c>
      <c r="BI140" s="1">
        <v>0</v>
      </c>
      <c r="BJ140" s="1">
        <v>1</v>
      </c>
      <c r="BK140" s="1">
        <v>0</v>
      </c>
      <c r="BL140" s="1">
        <v>1</v>
      </c>
      <c r="BM140" s="1">
        <v>0</v>
      </c>
      <c r="BN140" s="1">
        <v>0</v>
      </c>
      <c r="BO140" s="1">
        <v>0</v>
      </c>
      <c r="BP140" s="1">
        <v>0</v>
      </c>
      <c r="BQ140" s="1">
        <v>0</v>
      </c>
      <c r="BR140" s="1">
        <v>0</v>
      </c>
      <c r="BS140" s="1">
        <v>0</v>
      </c>
      <c r="BT140" s="1">
        <v>0</v>
      </c>
      <c r="BU140" s="1">
        <v>0</v>
      </c>
      <c r="BV140" s="1">
        <v>0</v>
      </c>
      <c r="BW140" s="1">
        <v>0</v>
      </c>
      <c r="BX140" s="1">
        <v>0</v>
      </c>
      <c r="BY140" s="1">
        <v>0</v>
      </c>
    </row>
    <row r="141" spans="1:77" x14ac:dyDescent="0.3">
      <c r="A141" s="2">
        <v>45518</v>
      </c>
      <c r="B141" s="1">
        <v>227</v>
      </c>
      <c r="C141" s="1" t="s">
        <v>210</v>
      </c>
      <c r="D141" s="1" t="s">
        <v>201</v>
      </c>
      <c r="E141" s="1">
        <v>0</v>
      </c>
      <c r="F141" s="1">
        <v>0</v>
      </c>
      <c r="G141" s="1">
        <v>0</v>
      </c>
      <c r="H141" s="1">
        <v>0</v>
      </c>
      <c r="I141" s="1">
        <v>0</v>
      </c>
      <c r="J141" s="1">
        <v>0</v>
      </c>
      <c r="K141" s="1">
        <v>0</v>
      </c>
      <c r="L141" s="1">
        <v>0</v>
      </c>
      <c r="M141" s="1">
        <v>0</v>
      </c>
      <c r="N141" s="1">
        <v>0</v>
      </c>
      <c r="O141" s="1">
        <v>0</v>
      </c>
      <c r="P141" s="1">
        <v>0</v>
      </c>
      <c r="Q141" s="1">
        <v>1</v>
      </c>
      <c r="R141" s="1">
        <v>0</v>
      </c>
      <c r="S141" s="1">
        <v>0</v>
      </c>
      <c r="T141" s="1">
        <v>0</v>
      </c>
      <c r="U141" s="1">
        <v>2</v>
      </c>
      <c r="V141" s="1">
        <v>0</v>
      </c>
      <c r="W141" s="1">
        <v>0</v>
      </c>
      <c r="X141" s="1">
        <v>0</v>
      </c>
      <c r="Y141" s="1">
        <v>0</v>
      </c>
      <c r="Z141" s="1">
        <v>0</v>
      </c>
      <c r="AA141" s="1">
        <v>1</v>
      </c>
      <c r="AB141" s="1">
        <v>0</v>
      </c>
      <c r="AC141" s="1">
        <v>0</v>
      </c>
      <c r="AD141" s="1">
        <v>0</v>
      </c>
      <c r="AE141" s="1">
        <v>0</v>
      </c>
      <c r="AF141" s="1">
        <v>0</v>
      </c>
      <c r="AG141" s="1">
        <v>0</v>
      </c>
      <c r="AH141" s="1">
        <v>0</v>
      </c>
      <c r="AI141" s="1">
        <v>0</v>
      </c>
      <c r="AJ141" s="1">
        <v>0</v>
      </c>
      <c r="AK141" s="1">
        <v>1</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1</v>
      </c>
      <c r="BM141" s="1">
        <v>0</v>
      </c>
      <c r="BN141" s="1">
        <v>0</v>
      </c>
      <c r="BO141" s="1">
        <v>0</v>
      </c>
      <c r="BP141" s="1">
        <v>0</v>
      </c>
      <c r="BQ141" s="1">
        <v>0</v>
      </c>
      <c r="BR141" s="1">
        <v>0</v>
      </c>
      <c r="BS141" s="1">
        <v>0</v>
      </c>
      <c r="BT141" s="1">
        <v>0</v>
      </c>
      <c r="BU141" s="1">
        <v>0</v>
      </c>
      <c r="BV141" s="1">
        <v>0</v>
      </c>
      <c r="BW141" s="1">
        <v>0</v>
      </c>
      <c r="BX141" s="1">
        <v>0</v>
      </c>
      <c r="BY141" s="1">
        <v>0</v>
      </c>
    </row>
    <row r="142" spans="1:77" x14ac:dyDescent="0.3">
      <c r="A142" s="2">
        <v>45525</v>
      </c>
      <c r="B142" s="1">
        <v>234</v>
      </c>
      <c r="C142" s="1" t="s">
        <v>210</v>
      </c>
      <c r="D142" s="1" t="s">
        <v>201</v>
      </c>
      <c r="E142" s="1">
        <v>0</v>
      </c>
      <c r="F142" s="1">
        <v>0</v>
      </c>
      <c r="G142" s="1">
        <v>0</v>
      </c>
      <c r="H142" s="1">
        <v>0</v>
      </c>
      <c r="I142" s="1">
        <v>0</v>
      </c>
      <c r="J142" s="1">
        <v>0</v>
      </c>
      <c r="K142" s="1">
        <v>0</v>
      </c>
      <c r="L142" s="1">
        <v>0</v>
      </c>
      <c r="M142" s="1">
        <v>0</v>
      </c>
      <c r="N142" s="1">
        <v>0</v>
      </c>
      <c r="O142" s="1">
        <v>0</v>
      </c>
      <c r="P142" s="1">
        <v>0</v>
      </c>
      <c r="Q142" s="1">
        <v>1</v>
      </c>
      <c r="R142" s="1">
        <v>0</v>
      </c>
      <c r="S142" s="1">
        <v>0</v>
      </c>
      <c r="T142" s="1">
        <v>0</v>
      </c>
      <c r="U142" s="1">
        <v>0</v>
      </c>
      <c r="V142" s="1">
        <v>0</v>
      </c>
      <c r="W142" s="1">
        <v>0</v>
      </c>
      <c r="X142" s="1">
        <v>0</v>
      </c>
      <c r="Y142" s="1">
        <v>0</v>
      </c>
      <c r="Z142" s="1">
        <v>0</v>
      </c>
      <c r="AA142" s="1">
        <v>0</v>
      </c>
      <c r="AB142" s="1">
        <v>0</v>
      </c>
      <c r="AC142" s="1">
        <v>0</v>
      </c>
      <c r="AD142" s="1">
        <v>0</v>
      </c>
      <c r="AE142" s="1">
        <v>0</v>
      </c>
      <c r="AF142" s="1">
        <v>0</v>
      </c>
      <c r="AG142" s="1">
        <v>0</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row>
    <row r="143" spans="1:77" x14ac:dyDescent="0.3">
      <c r="A143" s="2">
        <v>45483</v>
      </c>
      <c r="B143" s="1">
        <v>192</v>
      </c>
      <c r="C143" s="1" t="s">
        <v>155</v>
      </c>
      <c r="D143" s="1" t="s">
        <v>152</v>
      </c>
      <c r="E143" s="1">
        <v>0</v>
      </c>
      <c r="F143" s="1">
        <v>0</v>
      </c>
      <c r="G143" s="1">
        <v>0</v>
      </c>
      <c r="H143" s="1">
        <v>0</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c r="Z143" s="1">
        <v>0</v>
      </c>
      <c r="AA143" s="1">
        <v>3</v>
      </c>
      <c r="AB143" s="1">
        <v>0</v>
      </c>
      <c r="AC143" s="1">
        <v>0</v>
      </c>
      <c r="AD143" s="1">
        <v>0</v>
      </c>
      <c r="AE143" s="1">
        <v>0</v>
      </c>
      <c r="AF143" s="1">
        <v>0</v>
      </c>
      <c r="AG143" s="1">
        <v>0</v>
      </c>
      <c r="AH143" s="1">
        <v>3</v>
      </c>
      <c r="AI143" s="1">
        <v>0</v>
      </c>
      <c r="AJ143" s="1">
        <v>0</v>
      </c>
      <c r="AK143" s="1">
        <v>0</v>
      </c>
      <c r="AL143" s="1">
        <v>2</v>
      </c>
      <c r="AM143" s="1">
        <v>0</v>
      </c>
      <c r="AN143" s="1">
        <v>0</v>
      </c>
      <c r="AO143" s="1">
        <v>0</v>
      </c>
      <c r="AP143" s="1">
        <v>0</v>
      </c>
      <c r="AQ143" s="1">
        <v>0</v>
      </c>
      <c r="AR143" s="1">
        <v>0</v>
      </c>
      <c r="AS143" s="1">
        <v>0</v>
      </c>
      <c r="AT143" s="1">
        <v>0</v>
      </c>
      <c r="AU143" s="1">
        <v>0</v>
      </c>
      <c r="AV143" s="1">
        <v>0</v>
      </c>
      <c r="AW143" s="1">
        <v>0</v>
      </c>
      <c r="AX143" s="1">
        <v>0</v>
      </c>
      <c r="AY143" s="1">
        <v>0</v>
      </c>
      <c r="AZ143" s="1">
        <v>0</v>
      </c>
      <c r="BA143" s="1">
        <v>0</v>
      </c>
      <c r="BB143" s="1">
        <v>0</v>
      </c>
      <c r="BC143" s="1">
        <v>1</v>
      </c>
      <c r="BD143" s="1">
        <v>0</v>
      </c>
      <c r="BE143" s="1">
        <v>0</v>
      </c>
      <c r="BF143" s="1">
        <v>0</v>
      </c>
      <c r="BG143" s="1">
        <v>0</v>
      </c>
      <c r="BH143" s="1">
        <v>0</v>
      </c>
      <c r="BI143" s="1">
        <v>0</v>
      </c>
      <c r="BJ143" s="1">
        <v>0</v>
      </c>
      <c r="BK143" s="1">
        <v>7</v>
      </c>
      <c r="BL143" s="1">
        <v>5</v>
      </c>
      <c r="BM143" s="1">
        <v>0</v>
      </c>
      <c r="BN143" s="1">
        <v>0</v>
      </c>
      <c r="BO143" s="1">
        <v>0</v>
      </c>
      <c r="BP143" s="1">
        <v>0</v>
      </c>
      <c r="BQ143" s="1">
        <v>0</v>
      </c>
      <c r="BR143" s="1">
        <v>0</v>
      </c>
      <c r="BS143" s="1">
        <v>0</v>
      </c>
      <c r="BT143" s="1">
        <v>1</v>
      </c>
      <c r="BU143" s="1">
        <v>0</v>
      </c>
      <c r="BV143" s="1">
        <v>0</v>
      </c>
      <c r="BW143" s="1">
        <v>0</v>
      </c>
      <c r="BX143" s="1">
        <v>0</v>
      </c>
      <c r="BY143" s="1">
        <v>0</v>
      </c>
    </row>
    <row r="144" spans="1:77" x14ac:dyDescent="0.3">
      <c r="A144" s="2">
        <v>45495</v>
      </c>
      <c r="B144" s="1">
        <v>204</v>
      </c>
      <c r="C144" s="1" t="s">
        <v>155</v>
      </c>
      <c r="D144" s="1" t="s">
        <v>175</v>
      </c>
      <c r="E144" s="1">
        <v>0</v>
      </c>
      <c r="F144" s="1">
        <v>0</v>
      </c>
      <c r="G144" s="1">
        <v>0</v>
      </c>
      <c r="H144" s="1">
        <v>0</v>
      </c>
      <c r="I144" s="1">
        <v>0</v>
      </c>
      <c r="J144" s="1">
        <v>0</v>
      </c>
      <c r="K144" s="1">
        <v>0</v>
      </c>
      <c r="L144" s="1">
        <v>1</v>
      </c>
      <c r="M144" s="1">
        <v>0</v>
      </c>
      <c r="N144" s="1">
        <v>0</v>
      </c>
      <c r="O144" s="1">
        <v>0</v>
      </c>
      <c r="P144" s="1">
        <v>0</v>
      </c>
      <c r="Q144" s="1">
        <v>1</v>
      </c>
      <c r="R144" s="1">
        <v>0</v>
      </c>
      <c r="S144" s="1">
        <v>0</v>
      </c>
      <c r="T144" s="1">
        <v>0</v>
      </c>
      <c r="U144" s="1">
        <v>0</v>
      </c>
      <c r="V144" s="1">
        <v>1</v>
      </c>
      <c r="W144" s="1">
        <v>0</v>
      </c>
      <c r="X144" s="1">
        <v>0</v>
      </c>
      <c r="Y144" s="1">
        <v>1</v>
      </c>
      <c r="Z144" s="1">
        <v>0</v>
      </c>
      <c r="AA144" s="1">
        <v>1</v>
      </c>
      <c r="AB144" s="1">
        <v>0</v>
      </c>
      <c r="AC144" s="1">
        <v>0</v>
      </c>
      <c r="AD144" s="1">
        <v>0</v>
      </c>
      <c r="AE144" s="1">
        <v>0</v>
      </c>
      <c r="AF144" s="1">
        <v>0</v>
      </c>
      <c r="AG144" s="1">
        <v>1</v>
      </c>
      <c r="AH144" s="1">
        <v>0</v>
      </c>
      <c r="AI144" s="1">
        <v>0</v>
      </c>
      <c r="AJ144" s="1">
        <v>0</v>
      </c>
      <c r="AK144" s="1">
        <v>0</v>
      </c>
      <c r="AL144" s="1">
        <v>1</v>
      </c>
      <c r="AM144" s="1">
        <v>0</v>
      </c>
      <c r="AN144" s="1">
        <v>0</v>
      </c>
      <c r="AO144" s="1">
        <v>0</v>
      </c>
      <c r="AP144" s="1">
        <v>0</v>
      </c>
      <c r="AQ144" s="1">
        <v>0</v>
      </c>
      <c r="AR144" s="1">
        <v>0</v>
      </c>
      <c r="AS144" s="1">
        <v>0</v>
      </c>
      <c r="AT144" s="1">
        <v>0</v>
      </c>
      <c r="AU144" s="1">
        <v>0</v>
      </c>
      <c r="AV144" s="1">
        <v>0</v>
      </c>
      <c r="AW144" s="1">
        <v>0</v>
      </c>
      <c r="AX144" s="1">
        <v>1</v>
      </c>
      <c r="AY144" s="1">
        <v>0</v>
      </c>
      <c r="AZ144" s="1">
        <v>0</v>
      </c>
      <c r="BA144" s="1">
        <v>0</v>
      </c>
      <c r="BB144" s="1">
        <v>0</v>
      </c>
      <c r="BC144" s="1">
        <v>0</v>
      </c>
      <c r="BD144" s="1">
        <v>0</v>
      </c>
      <c r="BE144" s="1">
        <v>0</v>
      </c>
      <c r="BF144" s="1">
        <v>0</v>
      </c>
      <c r="BG144" s="1">
        <v>0</v>
      </c>
      <c r="BH144" s="1">
        <v>0</v>
      </c>
      <c r="BI144" s="1">
        <v>0</v>
      </c>
      <c r="BJ144" s="1">
        <v>0</v>
      </c>
      <c r="BK144" s="1">
        <v>0</v>
      </c>
      <c r="BL144" s="1">
        <v>0</v>
      </c>
      <c r="BM144" s="1">
        <v>0</v>
      </c>
      <c r="BN144" s="1">
        <v>0</v>
      </c>
      <c r="BO144" s="1">
        <v>0</v>
      </c>
      <c r="BP144" s="1">
        <v>0</v>
      </c>
      <c r="BQ144" s="1">
        <v>0</v>
      </c>
      <c r="BR144" s="1">
        <v>0</v>
      </c>
      <c r="BS144" s="1">
        <v>0</v>
      </c>
      <c r="BT144" s="1">
        <v>0</v>
      </c>
      <c r="BU144" s="1">
        <v>0</v>
      </c>
      <c r="BV144" s="1">
        <v>0</v>
      </c>
      <c r="BW144" s="1">
        <v>0</v>
      </c>
      <c r="BX144" s="1">
        <v>0</v>
      </c>
      <c r="BY144" s="1">
        <v>0</v>
      </c>
    </row>
    <row r="145" spans="1:77" x14ac:dyDescent="0.3">
      <c r="A145" s="2">
        <v>45505</v>
      </c>
      <c r="B145" s="1">
        <v>214</v>
      </c>
      <c r="C145" s="1" t="s">
        <v>155</v>
      </c>
      <c r="D145" s="1" t="s">
        <v>152</v>
      </c>
      <c r="E145" s="1">
        <v>0</v>
      </c>
      <c r="F145" s="1">
        <v>0</v>
      </c>
      <c r="G145" s="1">
        <v>0</v>
      </c>
      <c r="H145" s="1">
        <v>0</v>
      </c>
      <c r="I145" s="1">
        <v>0</v>
      </c>
      <c r="J145" s="1">
        <v>0</v>
      </c>
      <c r="K145" s="1">
        <v>0</v>
      </c>
      <c r="L145" s="1">
        <v>0</v>
      </c>
      <c r="M145" s="1">
        <v>0</v>
      </c>
      <c r="N145" s="1">
        <v>0</v>
      </c>
      <c r="O145" s="1">
        <v>0</v>
      </c>
      <c r="P145" s="1">
        <v>0</v>
      </c>
      <c r="Q145" s="1">
        <v>1</v>
      </c>
      <c r="R145" s="1">
        <v>0</v>
      </c>
      <c r="S145" s="1">
        <v>0</v>
      </c>
      <c r="T145" s="1">
        <v>0</v>
      </c>
      <c r="U145" s="1">
        <v>0</v>
      </c>
      <c r="V145" s="1">
        <v>0</v>
      </c>
      <c r="W145" s="1">
        <v>0</v>
      </c>
      <c r="X145" s="1">
        <v>0</v>
      </c>
      <c r="Y145" s="1">
        <v>0</v>
      </c>
      <c r="Z145" s="1">
        <v>0</v>
      </c>
      <c r="AA145" s="1">
        <v>0</v>
      </c>
      <c r="AB145" s="1">
        <v>0</v>
      </c>
      <c r="AC145" s="1">
        <v>0</v>
      </c>
      <c r="AD145" s="1">
        <v>0</v>
      </c>
      <c r="AE145" s="1">
        <v>0</v>
      </c>
      <c r="AF145" s="1">
        <v>0</v>
      </c>
      <c r="AG145" s="1">
        <v>0</v>
      </c>
      <c r="AH145" s="1">
        <v>0</v>
      </c>
      <c r="AI145" s="1">
        <v>0</v>
      </c>
      <c r="AJ145" s="1">
        <v>0</v>
      </c>
      <c r="AK145" s="1">
        <v>0</v>
      </c>
      <c r="AL145" s="1">
        <v>0</v>
      </c>
      <c r="AM145" s="1">
        <v>0</v>
      </c>
      <c r="AN145" s="1">
        <v>0</v>
      </c>
      <c r="AO145" s="1">
        <v>0</v>
      </c>
      <c r="AP145" s="1">
        <v>0</v>
      </c>
      <c r="AQ145" s="1">
        <v>0</v>
      </c>
      <c r="AR145" s="1">
        <v>0</v>
      </c>
      <c r="AS145" s="1">
        <v>0</v>
      </c>
      <c r="AT145" s="1">
        <v>0</v>
      </c>
      <c r="AU145" s="1">
        <v>0</v>
      </c>
      <c r="AV145" s="1">
        <v>0</v>
      </c>
      <c r="AW145" s="1">
        <v>0</v>
      </c>
      <c r="AX145" s="1">
        <v>0</v>
      </c>
      <c r="AY145" s="1">
        <v>0</v>
      </c>
      <c r="AZ145" s="1">
        <v>0</v>
      </c>
      <c r="BA145" s="1">
        <v>0</v>
      </c>
      <c r="BB145" s="1">
        <v>0</v>
      </c>
      <c r="BC145" s="1">
        <v>0</v>
      </c>
      <c r="BD145" s="1">
        <v>0</v>
      </c>
      <c r="BE145" s="1">
        <v>0</v>
      </c>
      <c r="BF145" s="1">
        <v>0</v>
      </c>
      <c r="BG145" s="1">
        <v>0</v>
      </c>
      <c r="BH145" s="1">
        <v>0</v>
      </c>
      <c r="BI145" s="1">
        <v>1</v>
      </c>
      <c r="BJ145" s="1">
        <v>0</v>
      </c>
      <c r="BK145" s="1">
        <v>0</v>
      </c>
      <c r="BL145" s="1">
        <v>2</v>
      </c>
      <c r="BM145" s="1">
        <v>0</v>
      </c>
      <c r="BN145" s="1">
        <v>0</v>
      </c>
      <c r="BO145" s="1">
        <v>0</v>
      </c>
      <c r="BP145" s="1">
        <v>0</v>
      </c>
      <c r="BQ145" s="1">
        <v>1</v>
      </c>
      <c r="BR145" s="1">
        <v>0</v>
      </c>
      <c r="BS145" s="1">
        <v>0</v>
      </c>
      <c r="BT145" s="1">
        <v>0</v>
      </c>
      <c r="BU145" s="1">
        <v>0</v>
      </c>
      <c r="BV145" s="1">
        <v>0</v>
      </c>
      <c r="BW145" s="1">
        <v>0</v>
      </c>
      <c r="BX145" s="1">
        <v>0</v>
      </c>
      <c r="BY145" s="1">
        <v>0</v>
      </c>
    </row>
    <row r="146" spans="1:77" x14ac:dyDescent="0.3">
      <c r="A146" s="2">
        <v>45499</v>
      </c>
      <c r="B146" s="1">
        <v>208</v>
      </c>
      <c r="C146" s="1" t="s">
        <v>194</v>
      </c>
      <c r="D146" s="1" t="s">
        <v>152</v>
      </c>
      <c r="E146" s="1">
        <v>0</v>
      </c>
      <c r="F146" s="1">
        <v>0</v>
      </c>
      <c r="G146" s="1">
        <v>0</v>
      </c>
      <c r="H146" s="1">
        <v>0</v>
      </c>
      <c r="I146" s="1">
        <v>0</v>
      </c>
      <c r="J146" s="1">
        <v>0</v>
      </c>
      <c r="K146" s="1">
        <v>0</v>
      </c>
      <c r="L146" s="1">
        <v>0</v>
      </c>
      <c r="M146" s="1">
        <v>0</v>
      </c>
      <c r="N146" s="1">
        <v>0</v>
      </c>
      <c r="O146" s="1">
        <v>0</v>
      </c>
      <c r="P146" s="1">
        <v>0</v>
      </c>
      <c r="Q146" s="1">
        <v>0</v>
      </c>
      <c r="R146" s="1">
        <v>1</v>
      </c>
      <c r="S146" s="1">
        <v>0</v>
      </c>
      <c r="T146" s="1">
        <v>0</v>
      </c>
      <c r="U146" s="1">
        <v>0</v>
      </c>
      <c r="V146" s="1">
        <v>1</v>
      </c>
      <c r="W146" s="1">
        <v>0</v>
      </c>
      <c r="X146" s="1">
        <v>0</v>
      </c>
      <c r="Y146" s="1">
        <v>0</v>
      </c>
      <c r="Z146" s="1">
        <v>0</v>
      </c>
      <c r="AA146" s="1">
        <v>0</v>
      </c>
      <c r="AB146" s="1">
        <v>0</v>
      </c>
      <c r="AC146" s="1">
        <v>0</v>
      </c>
      <c r="AD146" s="1">
        <v>0</v>
      </c>
      <c r="AE146" s="1">
        <v>0</v>
      </c>
      <c r="AF146" s="1">
        <v>0</v>
      </c>
      <c r="AG146" s="1">
        <v>0</v>
      </c>
      <c r="AH146" s="1">
        <v>0</v>
      </c>
      <c r="AI146" s="1">
        <v>0</v>
      </c>
      <c r="AJ146" s="1">
        <v>0</v>
      </c>
      <c r="AK146" s="1">
        <v>0</v>
      </c>
      <c r="AL146" s="1">
        <v>1</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1</v>
      </c>
      <c r="BH146" s="1">
        <v>0</v>
      </c>
      <c r="BI146" s="1">
        <v>1</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row>
    <row r="147" spans="1:77" x14ac:dyDescent="0.3">
      <c r="A147" s="2">
        <v>45505</v>
      </c>
      <c r="B147" s="1">
        <v>214</v>
      </c>
      <c r="C147" s="1" t="s">
        <v>194</v>
      </c>
      <c r="D147" s="1" t="s">
        <v>152</v>
      </c>
      <c r="E147" s="1">
        <v>0</v>
      </c>
      <c r="F147" s="1">
        <v>0</v>
      </c>
      <c r="G147" s="1">
        <v>0</v>
      </c>
      <c r="H147" s="1">
        <v>0</v>
      </c>
      <c r="I147" s="1">
        <v>0</v>
      </c>
      <c r="J147" s="1">
        <v>0</v>
      </c>
      <c r="K147" s="1">
        <v>0</v>
      </c>
      <c r="L147" s="1">
        <v>0</v>
      </c>
      <c r="M147" s="1">
        <v>0</v>
      </c>
      <c r="N147" s="1">
        <v>0</v>
      </c>
      <c r="O147" s="1">
        <v>0</v>
      </c>
      <c r="P147" s="1">
        <v>0</v>
      </c>
      <c r="Q147" s="1">
        <v>0</v>
      </c>
      <c r="R147" s="1">
        <v>1</v>
      </c>
      <c r="S147" s="1">
        <v>0</v>
      </c>
      <c r="T147" s="1">
        <v>0</v>
      </c>
      <c r="U147" s="1">
        <v>0</v>
      </c>
      <c r="V147" s="1">
        <v>1</v>
      </c>
      <c r="W147" s="1">
        <v>0</v>
      </c>
      <c r="X147" s="1">
        <v>0</v>
      </c>
      <c r="Y147" s="1">
        <v>0</v>
      </c>
      <c r="Z147" s="1">
        <v>0</v>
      </c>
      <c r="AA147" s="1">
        <v>0</v>
      </c>
      <c r="AB147" s="1">
        <v>0</v>
      </c>
      <c r="AC147" s="1">
        <v>0</v>
      </c>
      <c r="AD147" s="1">
        <v>0</v>
      </c>
      <c r="AE147" s="1">
        <v>0</v>
      </c>
      <c r="AF147" s="1">
        <v>0</v>
      </c>
      <c r="AG147" s="1">
        <v>0</v>
      </c>
      <c r="AH147" s="1">
        <v>0</v>
      </c>
      <c r="AI147" s="1">
        <v>0</v>
      </c>
      <c r="AJ147" s="1">
        <v>0</v>
      </c>
      <c r="AK147" s="1">
        <v>0</v>
      </c>
      <c r="AL147" s="1">
        <v>0</v>
      </c>
      <c r="AM147" s="1">
        <v>0</v>
      </c>
      <c r="AN147" s="1">
        <v>0</v>
      </c>
      <c r="AO147" s="1">
        <v>0</v>
      </c>
      <c r="AP147" s="1">
        <v>0</v>
      </c>
      <c r="AQ147" s="1">
        <v>0</v>
      </c>
      <c r="AR147" s="1">
        <v>0</v>
      </c>
      <c r="AS147" s="1">
        <v>0</v>
      </c>
      <c r="AT147" s="1">
        <v>0</v>
      </c>
      <c r="AU147" s="1">
        <v>0</v>
      </c>
      <c r="AV147" s="1">
        <v>0</v>
      </c>
      <c r="AW147" s="1">
        <v>0</v>
      </c>
      <c r="AX147" s="1">
        <v>0</v>
      </c>
      <c r="AY147" s="1">
        <v>0</v>
      </c>
      <c r="AZ147" s="1">
        <v>0</v>
      </c>
      <c r="BA147" s="1">
        <v>0</v>
      </c>
      <c r="BB147" s="1">
        <v>0</v>
      </c>
      <c r="BC147" s="1">
        <v>0</v>
      </c>
      <c r="BD147" s="1">
        <v>0</v>
      </c>
      <c r="BE147" s="1">
        <v>0</v>
      </c>
      <c r="BF147" s="1">
        <v>0</v>
      </c>
      <c r="BG147" s="1">
        <v>0</v>
      </c>
      <c r="BH147" s="1">
        <v>0</v>
      </c>
      <c r="BI147" s="1">
        <v>0</v>
      </c>
      <c r="BJ147" s="1">
        <v>0</v>
      </c>
      <c r="BK147" s="1">
        <v>0</v>
      </c>
      <c r="BL147" s="1">
        <v>2</v>
      </c>
      <c r="BM147" s="1">
        <v>0</v>
      </c>
      <c r="BN147" s="1">
        <v>0</v>
      </c>
      <c r="BO147" s="1">
        <v>0</v>
      </c>
      <c r="BP147" s="1">
        <v>0</v>
      </c>
      <c r="BQ147" s="1">
        <v>0</v>
      </c>
      <c r="BR147" s="1">
        <v>0</v>
      </c>
      <c r="BS147" s="1">
        <v>0</v>
      </c>
      <c r="BT147" s="1">
        <v>0</v>
      </c>
      <c r="BU147" s="1">
        <v>0</v>
      </c>
      <c r="BV147" s="1">
        <v>0</v>
      </c>
      <c r="BW147" s="1">
        <v>0</v>
      </c>
      <c r="BX147" s="1">
        <v>0</v>
      </c>
      <c r="BY147" s="1">
        <v>0</v>
      </c>
    </row>
    <row r="148" spans="1:77" x14ac:dyDescent="0.3">
      <c r="A148" s="2">
        <v>45513</v>
      </c>
      <c r="B148" s="1">
        <v>222</v>
      </c>
      <c r="C148" s="1" t="s">
        <v>194</v>
      </c>
      <c r="D148" s="1" t="s">
        <v>152</v>
      </c>
      <c r="E148" s="1">
        <v>0</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s="1">
        <v>0</v>
      </c>
      <c r="AH148" s="1">
        <v>0</v>
      </c>
      <c r="AI148" s="1">
        <v>0</v>
      </c>
      <c r="AJ148" s="1">
        <v>0</v>
      </c>
      <c r="AK148" s="1">
        <v>0</v>
      </c>
      <c r="AL148" s="1">
        <v>1</v>
      </c>
      <c r="AM148" s="1">
        <v>1</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row>
    <row r="149" spans="1:77" x14ac:dyDescent="0.3">
      <c r="A149" s="2">
        <v>45502</v>
      </c>
      <c r="B149" s="1">
        <v>211</v>
      </c>
      <c r="C149" s="1" t="s">
        <v>196</v>
      </c>
      <c r="D149" s="1" t="s">
        <v>152</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1</v>
      </c>
      <c r="V149" s="1">
        <v>0</v>
      </c>
      <c r="W149" s="1">
        <v>0</v>
      </c>
      <c r="X149" s="1">
        <v>0</v>
      </c>
      <c r="Y149" s="1">
        <v>0</v>
      </c>
      <c r="Z149" s="1">
        <v>0</v>
      </c>
      <c r="AA149" s="1">
        <v>1</v>
      </c>
      <c r="AB149" s="1">
        <v>0</v>
      </c>
      <c r="AC149" s="1">
        <v>0</v>
      </c>
      <c r="AD149" s="1">
        <v>0</v>
      </c>
      <c r="AE149" s="1">
        <v>0</v>
      </c>
      <c r="AF149" s="1">
        <v>0</v>
      </c>
      <c r="AG149" s="1">
        <v>0</v>
      </c>
      <c r="AH149" s="1">
        <v>0</v>
      </c>
      <c r="AI149" s="1">
        <v>0</v>
      </c>
      <c r="AJ149" s="1">
        <v>0</v>
      </c>
      <c r="AK149" s="1">
        <v>1</v>
      </c>
      <c r="AL149" s="1">
        <v>1</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row>
    <row r="150" spans="1:77" x14ac:dyDescent="0.3">
      <c r="A150" s="2">
        <v>45490</v>
      </c>
      <c r="B150" s="1">
        <v>199</v>
      </c>
      <c r="C150" s="1" t="s">
        <v>165</v>
      </c>
      <c r="D150" s="1" t="s">
        <v>152</v>
      </c>
      <c r="E150" s="1">
        <v>0</v>
      </c>
      <c r="F150" s="1">
        <v>0</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1</v>
      </c>
      <c r="Z150" s="1">
        <v>0</v>
      </c>
      <c r="AA150" s="1">
        <v>2</v>
      </c>
      <c r="AB150" s="1">
        <v>0</v>
      </c>
      <c r="AC150" s="1">
        <v>1</v>
      </c>
      <c r="AD150" s="1">
        <v>0</v>
      </c>
      <c r="AE150" s="1">
        <v>0</v>
      </c>
      <c r="AF150" s="1">
        <v>0</v>
      </c>
      <c r="AG150" s="1">
        <v>0</v>
      </c>
      <c r="AH150" s="1">
        <v>0</v>
      </c>
      <c r="AI150" s="1">
        <v>0</v>
      </c>
      <c r="AJ150" s="1">
        <v>0</v>
      </c>
      <c r="AK150" s="1">
        <v>1</v>
      </c>
      <c r="AL150" s="1">
        <v>0</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1</v>
      </c>
      <c r="BM150" s="1">
        <v>0</v>
      </c>
      <c r="BN150" s="1">
        <v>0</v>
      </c>
      <c r="BO150" s="1">
        <v>0</v>
      </c>
      <c r="BP150" s="1">
        <v>0</v>
      </c>
      <c r="BQ150" s="1">
        <v>0</v>
      </c>
      <c r="BR150" s="1">
        <v>0</v>
      </c>
      <c r="BS150" s="1">
        <v>0</v>
      </c>
      <c r="BT150" s="1">
        <v>0</v>
      </c>
      <c r="BU150" s="1">
        <v>0</v>
      </c>
      <c r="BV150" s="1">
        <v>0</v>
      </c>
      <c r="BW150" s="1">
        <v>0</v>
      </c>
      <c r="BX150" s="1">
        <v>0</v>
      </c>
      <c r="BY150" s="1">
        <v>0</v>
      </c>
    </row>
    <row r="151" spans="1:77" x14ac:dyDescent="0.3">
      <c r="A151" s="2">
        <v>45496</v>
      </c>
      <c r="B151" s="1">
        <v>205</v>
      </c>
      <c r="C151" s="1" t="s">
        <v>179</v>
      </c>
      <c r="D151" s="1" t="s">
        <v>175</v>
      </c>
      <c r="E151" s="1">
        <v>0</v>
      </c>
      <c r="F151" s="1">
        <v>2</v>
      </c>
      <c r="G151" s="1">
        <v>0</v>
      </c>
      <c r="H151" s="1">
        <v>0</v>
      </c>
      <c r="I151" s="1">
        <v>0</v>
      </c>
      <c r="J151" s="1">
        <v>0</v>
      </c>
      <c r="K151" s="1">
        <v>0</v>
      </c>
      <c r="L151" s="1">
        <v>0</v>
      </c>
      <c r="M151" s="1">
        <v>0</v>
      </c>
      <c r="N151" s="1">
        <v>0</v>
      </c>
      <c r="O151" s="1">
        <v>0</v>
      </c>
      <c r="P151" s="1">
        <v>0</v>
      </c>
      <c r="Q151" s="1">
        <v>0</v>
      </c>
      <c r="R151" s="1">
        <v>0</v>
      </c>
      <c r="S151" s="1">
        <v>0</v>
      </c>
      <c r="T151" s="1">
        <v>0</v>
      </c>
      <c r="U151" s="1">
        <v>0</v>
      </c>
      <c r="V151" s="1">
        <v>0</v>
      </c>
      <c r="W151" s="1">
        <v>0</v>
      </c>
      <c r="X151" s="1">
        <v>0</v>
      </c>
      <c r="Y151" s="1">
        <v>0</v>
      </c>
      <c r="Z151" s="1">
        <v>0</v>
      </c>
      <c r="AA151" s="1">
        <v>0</v>
      </c>
      <c r="AB151" s="1">
        <v>0</v>
      </c>
      <c r="AC151" s="1">
        <v>0</v>
      </c>
      <c r="AD151" s="1">
        <v>0</v>
      </c>
      <c r="AE151" s="1">
        <v>0</v>
      </c>
      <c r="AF151" s="1">
        <v>0</v>
      </c>
      <c r="AG151" s="1">
        <v>0</v>
      </c>
      <c r="AH151" s="1">
        <v>0</v>
      </c>
      <c r="AI151" s="1">
        <v>0</v>
      </c>
      <c r="AJ151" s="1">
        <v>0</v>
      </c>
      <c r="AK151" s="1">
        <v>0</v>
      </c>
      <c r="AL151" s="1">
        <v>1</v>
      </c>
      <c r="AM151" s="1">
        <v>0</v>
      </c>
      <c r="AN151" s="1">
        <v>0</v>
      </c>
      <c r="AO151" s="1">
        <v>0</v>
      </c>
      <c r="AP151" s="1">
        <v>0</v>
      </c>
      <c r="AQ151" s="1">
        <v>0</v>
      </c>
      <c r="AR151" s="1">
        <v>0</v>
      </c>
      <c r="AS151" s="1">
        <v>1</v>
      </c>
      <c r="AT151" s="1">
        <v>0</v>
      </c>
      <c r="AU151" s="1">
        <v>0</v>
      </c>
      <c r="AV151" s="1">
        <v>0</v>
      </c>
      <c r="AW151" s="1">
        <v>0</v>
      </c>
      <c r="AX151" s="1">
        <v>0</v>
      </c>
      <c r="AY151" s="1">
        <v>0</v>
      </c>
      <c r="AZ151" s="1">
        <v>0</v>
      </c>
      <c r="BA151" s="1">
        <v>0</v>
      </c>
      <c r="BB151" s="1">
        <v>0</v>
      </c>
      <c r="BC151" s="1">
        <v>1</v>
      </c>
      <c r="BD151" s="1">
        <v>0</v>
      </c>
      <c r="BE151" s="1">
        <v>0</v>
      </c>
      <c r="BF151" s="1">
        <v>0</v>
      </c>
      <c r="BG151" s="1">
        <v>0</v>
      </c>
      <c r="BH151" s="1">
        <v>0</v>
      </c>
      <c r="BI151" s="1">
        <v>0</v>
      </c>
      <c r="BJ151" s="1">
        <v>1</v>
      </c>
      <c r="BK151" s="1">
        <v>0</v>
      </c>
      <c r="BL151" s="1">
        <v>0</v>
      </c>
      <c r="BM151" s="1">
        <v>0</v>
      </c>
      <c r="BN151" s="1">
        <v>0</v>
      </c>
      <c r="BO151" s="1">
        <v>0</v>
      </c>
      <c r="BP151" s="1">
        <v>0</v>
      </c>
      <c r="BQ151" s="1">
        <v>0</v>
      </c>
      <c r="BR151" s="1">
        <v>0</v>
      </c>
      <c r="BS151" s="1">
        <v>0</v>
      </c>
      <c r="BT151" s="1">
        <v>0</v>
      </c>
      <c r="BU151" s="1">
        <v>0</v>
      </c>
      <c r="BV151" s="1">
        <v>0</v>
      </c>
      <c r="BW151" s="1">
        <v>0</v>
      </c>
      <c r="BX151" s="1">
        <v>0</v>
      </c>
      <c r="BY151" s="1">
        <v>0</v>
      </c>
    </row>
  </sheetData>
  <sortState xmlns:xlrd2="http://schemas.microsoft.com/office/spreadsheetml/2017/richdata2" ref="A2:BY151">
    <sortCondition ref="C2:C151"/>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73E35-D2F5-456C-A67B-BFFE527379FE}">
  <dimension ref="A1:E110"/>
  <sheetViews>
    <sheetView workbookViewId="0">
      <selection activeCell="C11" sqref="C11"/>
    </sheetView>
  </sheetViews>
  <sheetFormatPr defaultRowHeight="14.4" x14ac:dyDescent="0.3"/>
  <cols>
    <col min="3" max="3" width="26.33203125" customWidth="1"/>
  </cols>
  <sheetData>
    <row r="1" spans="1:5" x14ac:dyDescent="0.3">
      <c r="A1" t="s">
        <v>299</v>
      </c>
      <c r="B1" t="s">
        <v>300</v>
      </c>
      <c r="C1" t="s">
        <v>301</v>
      </c>
      <c r="D1" t="s">
        <v>302</v>
      </c>
    </row>
    <row r="2" spans="1:5" ht="27.6" customHeight="1" x14ac:dyDescent="0.3">
      <c r="A2" t="s">
        <v>303</v>
      </c>
      <c r="E2" t="s">
        <v>304</v>
      </c>
    </row>
    <row r="3" spans="1:5" x14ac:dyDescent="0.3">
      <c r="A3">
        <v>10</v>
      </c>
      <c r="B3" t="s">
        <v>156</v>
      </c>
      <c r="C3" t="s">
        <v>66</v>
      </c>
      <c r="D3" t="s">
        <v>305</v>
      </c>
      <c r="E3" t="s">
        <v>306</v>
      </c>
    </row>
    <row r="4" spans="1:5" x14ac:dyDescent="0.3">
      <c r="A4">
        <v>10</v>
      </c>
      <c r="B4" t="s">
        <v>198</v>
      </c>
      <c r="C4" t="s">
        <v>9</v>
      </c>
      <c r="D4">
        <v>16012</v>
      </c>
    </row>
    <row r="5" spans="1:5" x14ac:dyDescent="0.3">
      <c r="A5">
        <v>10</v>
      </c>
      <c r="B5" t="s">
        <v>185</v>
      </c>
      <c r="C5" t="s">
        <v>68</v>
      </c>
      <c r="D5">
        <v>12022</v>
      </c>
    </row>
    <row r="6" spans="1:5" x14ac:dyDescent="0.3">
      <c r="A6">
        <v>10</v>
      </c>
      <c r="B6" t="s">
        <v>160</v>
      </c>
      <c r="C6" t="s">
        <v>307</v>
      </c>
      <c r="D6">
        <v>11045</v>
      </c>
    </row>
    <row r="7" spans="1:5" x14ac:dyDescent="0.3">
      <c r="A7">
        <v>10</v>
      </c>
      <c r="B7" t="s">
        <v>159</v>
      </c>
      <c r="C7" t="s">
        <v>58</v>
      </c>
      <c r="D7">
        <v>5079</v>
      </c>
      <c r="E7" t="s">
        <v>306</v>
      </c>
    </row>
    <row r="8" spans="1:5" ht="17.399999999999999" x14ac:dyDescent="0.3">
      <c r="A8">
        <v>10</v>
      </c>
      <c r="B8" t="s">
        <v>181</v>
      </c>
      <c r="C8" t="s">
        <v>308</v>
      </c>
      <c r="D8">
        <v>11031</v>
      </c>
    </row>
    <row r="9" spans="1:5" x14ac:dyDescent="0.3">
      <c r="A9">
        <v>10</v>
      </c>
      <c r="B9" t="s">
        <v>199</v>
      </c>
      <c r="C9" t="s">
        <v>69</v>
      </c>
      <c r="D9">
        <v>11044</v>
      </c>
      <c r="E9" t="s">
        <v>306</v>
      </c>
    </row>
    <row r="10" spans="1:5" x14ac:dyDescent="0.3">
      <c r="A10">
        <v>10</v>
      </c>
      <c r="B10" t="s">
        <v>158</v>
      </c>
      <c r="C10" t="s">
        <v>49</v>
      </c>
      <c r="D10">
        <v>1128</v>
      </c>
      <c r="E10" t="s">
        <v>306</v>
      </c>
    </row>
    <row r="11" spans="1:5" x14ac:dyDescent="0.3">
      <c r="A11">
        <v>10</v>
      </c>
      <c r="B11" t="s">
        <v>155</v>
      </c>
      <c r="C11" t="s">
        <v>26</v>
      </c>
      <c r="D11">
        <v>12021</v>
      </c>
    </row>
    <row r="12" spans="1:5" s="6" customFormat="1" x14ac:dyDescent="0.3">
      <c r="A12" s="6">
        <v>10</v>
      </c>
      <c r="B12" s="6" t="s">
        <v>309</v>
      </c>
      <c r="C12" s="6" t="s">
        <v>310</v>
      </c>
      <c r="D12" s="6">
        <v>7045</v>
      </c>
      <c r="E12" s="6" t="s">
        <v>311</v>
      </c>
    </row>
    <row r="13" spans="1:5" s="6" customFormat="1" x14ac:dyDescent="0.3">
      <c r="A13" s="6">
        <v>10</v>
      </c>
      <c r="B13" s="6" t="s">
        <v>312</v>
      </c>
      <c r="C13" s="6" t="s">
        <v>23</v>
      </c>
      <c r="D13" s="6">
        <v>5026</v>
      </c>
      <c r="E13" s="6" t="s">
        <v>311</v>
      </c>
    </row>
    <row r="14" spans="1:5" x14ac:dyDescent="0.3">
      <c r="A14">
        <v>10</v>
      </c>
      <c r="B14" t="s">
        <v>182</v>
      </c>
      <c r="C14" t="s">
        <v>21</v>
      </c>
      <c r="D14">
        <v>20012</v>
      </c>
      <c r="E14" t="s">
        <v>306</v>
      </c>
    </row>
    <row r="16" spans="1:5" s="6" customFormat="1" x14ac:dyDescent="0.3">
      <c r="A16" s="6">
        <v>14</v>
      </c>
      <c r="B16" s="6" t="s">
        <v>313</v>
      </c>
      <c r="C16" s="6" t="s">
        <v>45</v>
      </c>
      <c r="D16" s="6">
        <v>4054</v>
      </c>
      <c r="E16" s="6" t="s">
        <v>314</v>
      </c>
    </row>
    <row r="17" spans="1:5" s="6" customFormat="1" x14ac:dyDescent="0.3">
      <c r="A17" s="6">
        <v>14</v>
      </c>
      <c r="B17" s="6" t="s">
        <v>315</v>
      </c>
      <c r="C17" s="6" t="s">
        <v>50</v>
      </c>
      <c r="D17" s="6">
        <v>1004</v>
      </c>
      <c r="E17" s="6" t="s">
        <v>316</v>
      </c>
    </row>
    <row r="18" spans="1:5" s="6" customFormat="1" x14ac:dyDescent="0.3">
      <c r="A18" s="6">
        <v>14</v>
      </c>
      <c r="B18" s="6" t="s">
        <v>317</v>
      </c>
      <c r="C18" s="6" t="s">
        <v>46</v>
      </c>
      <c r="D18" s="6">
        <v>10040</v>
      </c>
      <c r="E18" s="6" t="s">
        <v>316</v>
      </c>
    </row>
    <row r="19" spans="1:5" s="6" customFormat="1" x14ac:dyDescent="0.3">
      <c r="A19" s="6">
        <v>14</v>
      </c>
      <c r="B19" s="6" t="s">
        <v>318</v>
      </c>
      <c r="C19" s="6" t="s">
        <v>21</v>
      </c>
      <c r="D19" s="6">
        <v>17016</v>
      </c>
      <c r="E19" s="6" t="s">
        <v>319</v>
      </c>
    </row>
    <row r="20" spans="1:5" x14ac:dyDescent="0.3">
      <c r="A20">
        <v>14</v>
      </c>
      <c r="B20" t="s">
        <v>154</v>
      </c>
      <c r="C20" t="s">
        <v>23</v>
      </c>
      <c r="D20">
        <v>5026</v>
      </c>
      <c r="E20" t="s">
        <v>306</v>
      </c>
    </row>
    <row r="21" spans="1:5" s="6" customFormat="1" x14ac:dyDescent="0.3">
      <c r="A21" s="6">
        <v>14</v>
      </c>
      <c r="B21" s="6" t="s">
        <v>320</v>
      </c>
      <c r="C21" s="6" t="s">
        <v>49</v>
      </c>
      <c r="D21" s="6">
        <v>1128</v>
      </c>
      <c r="E21" s="6" t="s">
        <v>321</v>
      </c>
    </row>
    <row r="22" spans="1:5" x14ac:dyDescent="0.3">
      <c r="A22">
        <v>14</v>
      </c>
      <c r="B22" t="s">
        <v>322</v>
      </c>
      <c r="C22" t="s">
        <v>323</v>
      </c>
      <c r="D22">
        <v>98107</v>
      </c>
    </row>
    <row r="23" spans="1:5" s="6" customFormat="1" x14ac:dyDescent="0.3">
      <c r="A23" s="6">
        <v>14</v>
      </c>
      <c r="B23" s="6" t="s">
        <v>324</v>
      </c>
      <c r="C23" s="6" t="s">
        <v>58</v>
      </c>
      <c r="D23" s="6">
        <v>5079</v>
      </c>
      <c r="E23" s="6" t="s">
        <v>321</v>
      </c>
    </row>
    <row r="24" spans="1:5" x14ac:dyDescent="0.3">
      <c r="A24">
        <v>14</v>
      </c>
      <c r="B24" t="s">
        <v>194</v>
      </c>
      <c r="C24" t="s">
        <v>64</v>
      </c>
      <c r="D24">
        <v>1006</v>
      </c>
    </row>
    <row r="25" spans="1:5" s="6" customFormat="1" x14ac:dyDescent="0.3">
      <c r="A25" s="6">
        <v>14</v>
      </c>
      <c r="B25" s="6" t="s">
        <v>325</v>
      </c>
      <c r="C25" s="6" t="s">
        <v>53</v>
      </c>
      <c r="D25" s="6">
        <v>1005</v>
      </c>
      <c r="E25" s="6" t="s">
        <v>321</v>
      </c>
    </row>
    <row r="26" spans="1:5" s="6" customFormat="1" x14ac:dyDescent="0.3">
      <c r="A26" s="6">
        <v>14</v>
      </c>
      <c r="B26" s="6" t="s">
        <v>326</v>
      </c>
      <c r="C26" s="6" t="s">
        <v>67</v>
      </c>
      <c r="D26" s="6">
        <v>15012</v>
      </c>
      <c r="E26" s="6" t="s">
        <v>316</v>
      </c>
    </row>
    <row r="27" spans="1:5" s="6" customFormat="1" x14ac:dyDescent="0.3">
      <c r="A27" s="6">
        <v>14</v>
      </c>
      <c r="B27" s="6" t="s">
        <v>327</v>
      </c>
      <c r="C27" s="6" t="s">
        <v>70</v>
      </c>
      <c r="D27" s="6">
        <v>10063</v>
      </c>
      <c r="E27" s="6" t="s">
        <v>314</v>
      </c>
    </row>
    <row r="28" spans="1:5" x14ac:dyDescent="0.3">
      <c r="A28">
        <v>14</v>
      </c>
      <c r="B28" t="s">
        <v>183</v>
      </c>
      <c r="C28" t="s">
        <v>310</v>
      </c>
      <c r="D28">
        <v>7045</v>
      </c>
      <c r="E28" t="s">
        <v>306</v>
      </c>
    </row>
    <row r="29" spans="1:5" s="6" customFormat="1" x14ac:dyDescent="0.3">
      <c r="A29" s="6">
        <v>14</v>
      </c>
      <c r="B29" s="6" t="s">
        <v>328</v>
      </c>
      <c r="C29" s="6" t="s">
        <v>329</v>
      </c>
      <c r="D29" s="6">
        <v>14049</v>
      </c>
      <c r="E29" s="6" t="s">
        <v>314</v>
      </c>
    </row>
    <row r="30" spans="1:5" x14ac:dyDescent="0.3">
      <c r="A30">
        <v>14</v>
      </c>
      <c r="B30" t="s">
        <v>197</v>
      </c>
      <c r="C30" t="s">
        <v>73</v>
      </c>
      <c r="D30">
        <v>15049</v>
      </c>
    </row>
    <row r="31" spans="1:5" x14ac:dyDescent="0.3">
      <c r="A31">
        <v>14</v>
      </c>
      <c r="B31" t="s">
        <v>189</v>
      </c>
      <c r="C31" t="s">
        <v>24</v>
      </c>
      <c r="D31">
        <v>1127</v>
      </c>
    </row>
    <row r="33" spans="1:5" ht="27.6" customHeight="1" x14ac:dyDescent="0.3">
      <c r="A33" t="s">
        <v>303</v>
      </c>
    </row>
    <row r="34" spans="1:5" s="6" customFormat="1" x14ac:dyDescent="0.3">
      <c r="A34" s="6">
        <v>14</v>
      </c>
      <c r="B34" s="6" t="s">
        <v>330</v>
      </c>
      <c r="C34" s="6" t="s">
        <v>43</v>
      </c>
      <c r="D34" s="6">
        <v>1072</v>
      </c>
      <c r="E34" s="6" t="s">
        <v>314</v>
      </c>
    </row>
    <row r="35" spans="1:5" x14ac:dyDescent="0.3">
      <c r="A35">
        <v>14</v>
      </c>
      <c r="B35" t="s">
        <v>331</v>
      </c>
      <c r="C35" t="s">
        <v>17</v>
      </c>
      <c r="D35">
        <v>1126</v>
      </c>
    </row>
    <row r="36" spans="1:5" s="6" customFormat="1" x14ac:dyDescent="0.3">
      <c r="A36" s="6">
        <v>14</v>
      </c>
      <c r="B36" s="6" t="s">
        <v>332</v>
      </c>
      <c r="C36" s="6" t="s">
        <v>48</v>
      </c>
      <c r="D36" s="6">
        <v>14010</v>
      </c>
      <c r="E36" s="6" t="s">
        <v>316</v>
      </c>
    </row>
    <row r="37" spans="1:5" s="6" customFormat="1" x14ac:dyDescent="0.3">
      <c r="A37" s="6">
        <v>14</v>
      </c>
      <c r="B37" s="6" t="s">
        <v>333</v>
      </c>
      <c r="C37" s="6" t="s">
        <v>18</v>
      </c>
      <c r="D37" s="6">
        <v>12031</v>
      </c>
      <c r="E37" s="6" t="s">
        <v>314</v>
      </c>
    </row>
    <row r="38" spans="1:5" s="6" customFormat="1" ht="17.399999999999999" x14ac:dyDescent="0.3">
      <c r="A38" s="6">
        <v>14</v>
      </c>
      <c r="B38" s="6" t="s">
        <v>334</v>
      </c>
      <c r="C38" s="6" t="s">
        <v>335</v>
      </c>
      <c r="D38" s="6">
        <v>12020</v>
      </c>
      <c r="E38" s="6" t="s">
        <v>316</v>
      </c>
    </row>
    <row r="39" spans="1:5" x14ac:dyDescent="0.3">
      <c r="A39">
        <v>14</v>
      </c>
      <c r="B39" t="s">
        <v>193</v>
      </c>
      <c r="C39" t="s">
        <v>44</v>
      </c>
      <c r="D39">
        <v>21039</v>
      </c>
    </row>
    <row r="40" spans="1:5" s="6" customFormat="1" x14ac:dyDescent="0.3">
      <c r="A40" s="6">
        <v>14</v>
      </c>
      <c r="B40" s="6" t="s">
        <v>336</v>
      </c>
      <c r="C40" s="6" t="s">
        <v>59</v>
      </c>
      <c r="D40" s="6" t="s">
        <v>337</v>
      </c>
      <c r="E40" s="6" t="s">
        <v>321</v>
      </c>
    </row>
    <row r="41" spans="1:5" s="6" customFormat="1" x14ac:dyDescent="0.3">
      <c r="A41" s="6">
        <v>14</v>
      </c>
      <c r="B41" s="6" t="s">
        <v>338</v>
      </c>
      <c r="C41" s="6" t="s">
        <v>47</v>
      </c>
      <c r="D41" s="6">
        <v>21040</v>
      </c>
      <c r="E41" s="6" t="s">
        <v>316</v>
      </c>
    </row>
    <row r="42" spans="1:5" s="6" customFormat="1" x14ac:dyDescent="0.3">
      <c r="A42" s="6">
        <v>14</v>
      </c>
      <c r="B42" s="6" t="s">
        <v>339</v>
      </c>
      <c r="C42" s="6" t="s">
        <v>25</v>
      </c>
      <c r="D42" s="6" t="s">
        <v>340</v>
      </c>
      <c r="E42" s="6" t="s">
        <v>314</v>
      </c>
    </row>
    <row r="43" spans="1:5" x14ac:dyDescent="0.3">
      <c r="A43">
        <v>14</v>
      </c>
      <c r="B43" t="s">
        <v>192</v>
      </c>
      <c r="C43" t="s">
        <v>15</v>
      </c>
      <c r="D43">
        <v>21026</v>
      </c>
    </row>
    <row r="45" spans="1:5" x14ac:dyDescent="0.3">
      <c r="A45">
        <v>12</v>
      </c>
      <c r="B45" t="s">
        <v>195</v>
      </c>
      <c r="C45" t="s">
        <v>341</v>
      </c>
      <c r="D45">
        <v>98053</v>
      </c>
    </row>
    <row r="46" spans="1:5" s="6" customFormat="1" x14ac:dyDescent="0.3">
      <c r="A46" s="6">
        <v>38</v>
      </c>
      <c r="B46" s="6" t="s">
        <v>342</v>
      </c>
      <c r="C46" s="6" t="s">
        <v>310</v>
      </c>
      <c r="D46" s="6">
        <v>14022</v>
      </c>
      <c r="E46" s="6" t="s">
        <v>316</v>
      </c>
    </row>
    <row r="47" spans="1:5" s="6" customFormat="1" x14ac:dyDescent="0.3">
      <c r="A47" s="6">
        <v>38</v>
      </c>
      <c r="B47" s="6" t="s">
        <v>343</v>
      </c>
      <c r="C47" s="6" t="s">
        <v>58</v>
      </c>
      <c r="D47" s="6">
        <v>14011</v>
      </c>
      <c r="E47" s="6" t="s">
        <v>316</v>
      </c>
    </row>
    <row r="48" spans="1:5" x14ac:dyDescent="0.3">
      <c r="A48">
        <v>38</v>
      </c>
      <c r="B48" t="s">
        <v>168</v>
      </c>
      <c r="C48" t="s">
        <v>45</v>
      </c>
      <c r="D48">
        <v>4054</v>
      </c>
      <c r="E48" t="s">
        <v>306</v>
      </c>
    </row>
    <row r="49" spans="1:5" s="6" customFormat="1" x14ac:dyDescent="0.3">
      <c r="A49" s="6">
        <v>38</v>
      </c>
      <c r="B49" s="6" t="s">
        <v>344</v>
      </c>
      <c r="C49" s="6" t="s">
        <v>46</v>
      </c>
      <c r="D49" s="6">
        <v>10040</v>
      </c>
      <c r="E49" s="6" t="s">
        <v>314</v>
      </c>
    </row>
    <row r="50" spans="1:5" s="6" customFormat="1" x14ac:dyDescent="0.3">
      <c r="A50" s="6">
        <v>38</v>
      </c>
      <c r="B50" s="6" t="s">
        <v>345</v>
      </c>
      <c r="C50" s="6" t="s">
        <v>43</v>
      </c>
      <c r="D50" s="6">
        <v>14003</v>
      </c>
      <c r="E50" s="6" t="s">
        <v>314</v>
      </c>
    </row>
    <row r="51" spans="1:5" s="6" customFormat="1" x14ac:dyDescent="0.3">
      <c r="A51" s="6">
        <v>38</v>
      </c>
      <c r="B51" s="6" t="s">
        <v>346</v>
      </c>
      <c r="C51" s="6" t="s">
        <v>329</v>
      </c>
      <c r="D51" s="6">
        <v>14049</v>
      </c>
      <c r="E51" s="6" t="s">
        <v>314</v>
      </c>
    </row>
    <row r="52" spans="1:5" s="6" customFormat="1" x14ac:dyDescent="0.3">
      <c r="A52" s="6">
        <v>38</v>
      </c>
      <c r="B52" s="6" t="s">
        <v>347</v>
      </c>
      <c r="C52" s="6" t="s">
        <v>66</v>
      </c>
      <c r="D52" s="6" t="s">
        <v>348</v>
      </c>
      <c r="E52" s="6" t="s">
        <v>316</v>
      </c>
    </row>
    <row r="53" spans="1:5" x14ac:dyDescent="0.3">
      <c r="A53">
        <v>38</v>
      </c>
      <c r="B53" t="s">
        <v>196</v>
      </c>
      <c r="C53" t="s">
        <v>51</v>
      </c>
      <c r="D53">
        <v>14021</v>
      </c>
    </row>
    <row r="54" spans="1:5" x14ac:dyDescent="0.3">
      <c r="A54">
        <v>38</v>
      </c>
      <c r="B54" t="s">
        <v>167</v>
      </c>
      <c r="C54" t="s">
        <v>27</v>
      </c>
      <c r="D54">
        <v>14026</v>
      </c>
      <c r="E54" t="s">
        <v>306</v>
      </c>
    </row>
    <row r="55" spans="1:5" x14ac:dyDescent="0.3">
      <c r="A55">
        <v>38</v>
      </c>
      <c r="B55" t="s">
        <v>170</v>
      </c>
      <c r="C55" t="s">
        <v>48</v>
      </c>
      <c r="D55">
        <v>14010</v>
      </c>
      <c r="E55" t="s">
        <v>306</v>
      </c>
    </row>
    <row r="56" spans="1:5" x14ac:dyDescent="0.3">
      <c r="A56">
        <v>38</v>
      </c>
      <c r="B56" t="s">
        <v>187</v>
      </c>
      <c r="C56" t="s">
        <v>56</v>
      </c>
      <c r="D56">
        <v>13029</v>
      </c>
    </row>
    <row r="57" spans="1:5" s="6" customFormat="1" x14ac:dyDescent="0.3">
      <c r="A57" s="6">
        <v>38</v>
      </c>
      <c r="B57" s="6" t="s">
        <v>349</v>
      </c>
      <c r="C57" s="6" t="s">
        <v>28</v>
      </c>
      <c r="D57" s="6" t="s">
        <v>350</v>
      </c>
      <c r="E57" s="6" t="s">
        <v>314</v>
      </c>
    </row>
    <row r="58" spans="1:5" s="6" customFormat="1" x14ac:dyDescent="0.3">
      <c r="A58" s="6">
        <v>43</v>
      </c>
      <c r="B58" s="6" t="s">
        <v>162</v>
      </c>
      <c r="C58" s="6" t="s">
        <v>27</v>
      </c>
      <c r="D58" s="6" t="s">
        <v>351</v>
      </c>
      <c r="E58" s="6" t="s">
        <v>316</v>
      </c>
    </row>
    <row r="59" spans="1:5" s="6" customFormat="1" x14ac:dyDescent="0.3">
      <c r="A59" s="6">
        <v>46</v>
      </c>
      <c r="B59" s="6" t="s">
        <v>352</v>
      </c>
      <c r="C59" s="6" t="s">
        <v>27</v>
      </c>
      <c r="D59" s="6" t="s">
        <v>353</v>
      </c>
      <c r="E59" s="6" t="s">
        <v>316</v>
      </c>
    </row>
    <row r="60" spans="1:5" s="6" customFormat="1" x14ac:dyDescent="0.3">
      <c r="A60" s="6">
        <v>49</v>
      </c>
      <c r="B60" s="6" t="s">
        <v>354</v>
      </c>
      <c r="C60" s="6" t="s">
        <v>52</v>
      </c>
      <c r="D60" s="6">
        <v>96103</v>
      </c>
      <c r="E60" s="6" t="s">
        <v>314</v>
      </c>
    </row>
    <row r="61" spans="1:5" x14ac:dyDescent="0.3">
      <c r="A61">
        <v>51</v>
      </c>
      <c r="B61" t="s">
        <v>153</v>
      </c>
      <c r="C61" t="s">
        <v>58</v>
      </c>
      <c r="D61">
        <v>14001</v>
      </c>
    </row>
    <row r="63" spans="1:5" ht="27.6" customHeight="1" x14ac:dyDescent="0.3">
      <c r="A63" t="s">
        <v>303</v>
      </c>
    </row>
    <row r="64" spans="1:5" x14ac:dyDescent="0.3">
      <c r="A64" t="s">
        <v>355</v>
      </c>
      <c r="B64" t="s">
        <v>208</v>
      </c>
      <c r="C64" t="s">
        <v>28</v>
      </c>
      <c r="D64" t="s">
        <v>356</v>
      </c>
      <c r="E64" t="s">
        <v>306</v>
      </c>
    </row>
    <row r="65" spans="1:5" x14ac:dyDescent="0.3">
      <c r="A65" t="s">
        <v>355</v>
      </c>
      <c r="B65" t="s">
        <v>202</v>
      </c>
      <c r="C65" t="s">
        <v>46</v>
      </c>
      <c r="D65">
        <v>10040</v>
      </c>
      <c r="E65" t="s">
        <v>306</v>
      </c>
    </row>
    <row r="66" spans="1:5" x14ac:dyDescent="0.3">
      <c r="A66" t="s">
        <v>355</v>
      </c>
      <c r="B66" t="s">
        <v>188</v>
      </c>
      <c r="C66" t="s">
        <v>70</v>
      </c>
      <c r="D66">
        <v>10063</v>
      </c>
      <c r="E66" t="s">
        <v>306</v>
      </c>
    </row>
    <row r="67" spans="1:5" ht="17.399999999999999" x14ac:dyDescent="0.3">
      <c r="A67" t="s">
        <v>355</v>
      </c>
      <c r="B67" t="s">
        <v>209</v>
      </c>
      <c r="C67" t="s">
        <v>335</v>
      </c>
      <c r="D67">
        <v>12020</v>
      </c>
      <c r="E67" t="s">
        <v>306</v>
      </c>
    </row>
    <row r="68" spans="1:5" x14ac:dyDescent="0.3">
      <c r="A68" t="s">
        <v>355</v>
      </c>
      <c r="B68" t="s">
        <v>186</v>
      </c>
      <c r="C68" t="s">
        <v>20</v>
      </c>
      <c r="D68">
        <v>96102</v>
      </c>
    </row>
    <row r="69" spans="1:5" x14ac:dyDescent="0.3">
      <c r="A69" t="s">
        <v>355</v>
      </c>
      <c r="B69" t="s">
        <v>174</v>
      </c>
      <c r="C69" t="s">
        <v>67</v>
      </c>
      <c r="D69">
        <v>15055</v>
      </c>
      <c r="E69" t="s">
        <v>306</v>
      </c>
    </row>
    <row r="70" spans="1:5" x14ac:dyDescent="0.3">
      <c r="A70" t="s">
        <v>355</v>
      </c>
      <c r="B70" t="s">
        <v>206</v>
      </c>
      <c r="C70" t="s">
        <v>52</v>
      </c>
      <c r="D70">
        <v>97033</v>
      </c>
      <c r="E70" t="s">
        <v>306</v>
      </c>
    </row>
    <row r="71" spans="1:5" x14ac:dyDescent="0.3">
      <c r="A71" t="s">
        <v>355</v>
      </c>
      <c r="B71" t="s">
        <v>210</v>
      </c>
      <c r="C71" t="s">
        <v>357</v>
      </c>
      <c r="D71">
        <v>1072</v>
      </c>
    </row>
    <row r="72" spans="1:5" x14ac:dyDescent="0.3">
      <c r="A72" t="s">
        <v>355</v>
      </c>
      <c r="B72" t="s">
        <v>358</v>
      </c>
      <c r="C72" t="s">
        <v>359</v>
      </c>
      <c r="D72">
        <v>95056</v>
      </c>
    </row>
    <row r="73" spans="1:5" x14ac:dyDescent="0.3">
      <c r="A73" t="s">
        <v>360</v>
      </c>
      <c r="B73" t="s">
        <v>166</v>
      </c>
      <c r="C73" t="s">
        <v>22</v>
      </c>
      <c r="D73">
        <v>17047</v>
      </c>
    </row>
    <row r="74" spans="1:5" x14ac:dyDescent="0.3">
      <c r="A74" t="s">
        <v>355</v>
      </c>
      <c r="B74" t="s">
        <v>171</v>
      </c>
      <c r="C74" t="s">
        <v>41</v>
      </c>
      <c r="D74">
        <v>93021</v>
      </c>
    </row>
    <row r="75" spans="1:5" x14ac:dyDescent="0.3">
      <c r="A75" t="s">
        <v>355</v>
      </c>
      <c r="B75" t="s">
        <v>204</v>
      </c>
      <c r="C75" t="s">
        <v>50</v>
      </c>
      <c r="D75">
        <v>1004</v>
      </c>
      <c r="E75" t="s">
        <v>306</v>
      </c>
    </row>
    <row r="76" spans="1:5" x14ac:dyDescent="0.3">
      <c r="A76" t="s">
        <v>355</v>
      </c>
      <c r="B76" t="s">
        <v>205</v>
      </c>
      <c r="C76" t="s">
        <v>61</v>
      </c>
      <c r="D76">
        <v>98053</v>
      </c>
    </row>
    <row r="77" spans="1:5" x14ac:dyDescent="0.3">
      <c r="A77" t="s">
        <v>355</v>
      </c>
      <c r="B77" t="s">
        <v>361</v>
      </c>
      <c r="C77" t="s">
        <v>362</v>
      </c>
      <c r="D77" t="s">
        <v>363</v>
      </c>
    </row>
    <row r="78" spans="1:5" s="6" customFormat="1" x14ac:dyDescent="0.3">
      <c r="A78" s="6" t="s">
        <v>355</v>
      </c>
      <c r="B78" s="6" t="s">
        <v>364</v>
      </c>
      <c r="C78" s="6" t="s">
        <v>69</v>
      </c>
      <c r="D78" s="6">
        <v>11044</v>
      </c>
      <c r="E78" s="6" t="s">
        <v>316</v>
      </c>
    </row>
    <row r="79" spans="1:5" x14ac:dyDescent="0.3">
      <c r="A79" t="s">
        <v>355</v>
      </c>
      <c r="B79" t="s">
        <v>211</v>
      </c>
      <c r="C79" t="s">
        <v>31</v>
      </c>
      <c r="D79">
        <v>95054</v>
      </c>
    </row>
    <row r="80" spans="1:5" x14ac:dyDescent="0.3">
      <c r="A80" t="s">
        <v>355</v>
      </c>
      <c r="B80" t="s">
        <v>203</v>
      </c>
      <c r="C80" t="s">
        <v>53</v>
      </c>
      <c r="D80">
        <v>1005</v>
      </c>
      <c r="E80" t="s">
        <v>306</v>
      </c>
    </row>
    <row r="81" spans="1:5" x14ac:dyDescent="0.3">
      <c r="A81" t="s">
        <v>355</v>
      </c>
      <c r="B81" t="s">
        <v>164</v>
      </c>
      <c r="C81" t="s">
        <v>18</v>
      </c>
      <c r="D81" t="s">
        <v>365</v>
      </c>
      <c r="E81" t="s">
        <v>306</v>
      </c>
    </row>
    <row r="82" spans="1:5" x14ac:dyDescent="0.3">
      <c r="A82" t="s">
        <v>355</v>
      </c>
      <c r="B82" t="s">
        <v>173</v>
      </c>
      <c r="C82" t="s">
        <v>57</v>
      </c>
      <c r="D82" t="s">
        <v>366</v>
      </c>
    </row>
    <row r="83" spans="1:5" x14ac:dyDescent="0.3">
      <c r="A83" t="s">
        <v>355</v>
      </c>
      <c r="B83" t="s">
        <v>172</v>
      </c>
      <c r="C83" t="s">
        <v>25</v>
      </c>
      <c r="D83" t="s">
        <v>367</v>
      </c>
      <c r="E83" t="s">
        <v>306</v>
      </c>
    </row>
    <row r="84" spans="1:5" s="6" customFormat="1" x14ac:dyDescent="0.3">
      <c r="A84" s="6" t="s">
        <v>355</v>
      </c>
      <c r="B84" s="6" t="s">
        <v>368</v>
      </c>
      <c r="C84" s="6" t="s">
        <v>21</v>
      </c>
      <c r="D84" s="6" t="s">
        <v>369</v>
      </c>
      <c r="E84" s="6" t="s">
        <v>316</v>
      </c>
    </row>
    <row r="86" spans="1:5" ht="27.6" customHeight="1" x14ac:dyDescent="0.3">
      <c r="A86" t="s">
        <v>370</v>
      </c>
    </row>
    <row r="87" spans="1:5" s="6" customFormat="1" x14ac:dyDescent="0.3">
      <c r="A87" s="6">
        <v>10</v>
      </c>
      <c r="B87" s="6" t="s">
        <v>371</v>
      </c>
      <c r="C87" s="6" t="s">
        <v>372</v>
      </c>
      <c r="D87" s="6">
        <v>16027</v>
      </c>
      <c r="E87" s="6" t="s">
        <v>316</v>
      </c>
    </row>
    <row r="88" spans="1:5" x14ac:dyDescent="0.3">
      <c r="A88">
        <v>10</v>
      </c>
      <c r="B88" t="s">
        <v>177</v>
      </c>
      <c r="C88" t="s">
        <v>19</v>
      </c>
      <c r="D88">
        <v>12019</v>
      </c>
    </row>
    <row r="89" spans="1:5" x14ac:dyDescent="0.3">
      <c r="A89">
        <v>10</v>
      </c>
      <c r="B89" t="s">
        <v>180</v>
      </c>
      <c r="C89" t="s">
        <v>34</v>
      </c>
      <c r="D89">
        <v>7027</v>
      </c>
    </row>
    <row r="90" spans="1:5" x14ac:dyDescent="0.3">
      <c r="A90">
        <v>10</v>
      </c>
      <c r="B90" t="s">
        <v>178</v>
      </c>
      <c r="C90" t="s">
        <v>5</v>
      </c>
      <c r="D90">
        <v>65169</v>
      </c>
    </row>
    <row r="91" spans="1:5" x14ac:dyDescent="0.3">
      <c r="A91">
        <v>10</v>
      </c>
      <c r="B91" t="s">
        <v>176</v>
      </c>
      <c r="C91" t="s">
        <v>60</v>
      </c>
      <c r="D91">
        <v>8036</v>
      </c>
    </row>
    <row r="92" spans="1:5" x14ac:dyDescent="0.3">
      <c r="A92">
        <v>10</v>
      </c>
      <c r="B92" t="s">
        <v>373</v>
      </c>
      <c r="C92" t="s">
        <v>374</v>
      </c>
      <c r="D92">
        <v>17030</v>
      </c>
    </row>
    <row r="93" spans="1:5" x14ac:dyDescent="0.3">
      <c r="A93">
        <v>10</v>
      </c>
      <c r="B93" t="s">
        <v>375</v>
      </c>
      <c r="C93" t="s">
        <v>62</v>
      </c>
      <c r="D93">
        <v>9062</v>
      </c>
    </row>
    <row r="94" spans="1:5" s="6" customFormat="1" x14ac:dyDescent="0.3">
      <c r="A94" s="6">
        <v>10</v>
      </c>
      <c r="B94" s="6" t="s">
        <v>376</v>
      </c>
      <c r="C94" s="6" t="s">
        <v>377</v>
      </c>
      <c r="D94" s="6">
        <v>9090</v>
      </c>
      <c r="E94" s="6" t="s">
        <v>316</v>
      </c>
    </row>
    <row r="95" spans="1:5" s="6" customFormat="1" x14ac:dyDescent="0.3">
      <c r="A95" s="6">
        <v>11</v>
      </c>
      <c r="B95" s="6" t="s">
        <v>378</v>
      </c>
      <c r="C95" s="6" t="s">
        <v>377</v>
      </c>
      <c r="D95" s="6">
        <v>9050</v>
      </c>
      <c r="E95" s="6" t="s">
        <v>316</v>
      </c>
    </row>
    <row r="96" spans="1:5" x14ac:dyDescent="0.3">
      <c r="A96">
        <v>10</v>
      </c>
      <c r="B96" t="s">
        <v>157</v>
      </c>
      <c r="C96" t="s">
        <v>379</v>
      </c>
      <c r="D96" t="s">
        <v>380</v>
      </c>
    </row>
    <row r="97" spans="1:5" x14ac:dyDescent="0.3">
      <c r="A97">
        <v>10</v>
      </c>
      <c r="B97" t="s">
        <v>184</v>
      </c>
      <c r="C97" t="s">
        <v>381</v>
      </c>
      <c r="D97">
        <v>17031</v>
      </c>
    </row>
    <row r="98" spans="1:5" ht="27.6" customHeight="1" x14ac:dyDescent="0.3">
      <c r="A98" t="s">
        <v>370</v>
      </c>
    </row>
    <row r="100" spans="1:5" x14ac:dyDescent="0.3">
      <c r="A100">
        <v>37</v>
      </c>
      <c r="B100" t="s">
        <v>151</v>
      </c>
      <c r="C100" t="s">
        <v>65</v>
      </c>
      <c r="D100" t="s">
        <v>382</v>
      </c>
    </row>
    <row r="101" spans="1:5" x14ac:dyDescent="0.3">
      <c r="A101">
        <v>37</v>
      </c>
      <c r="B101" t="s">
        <v>383</v>
      </c>
      <c r="C101" t="s">
        <v>384</v>
      </c>
      <c r="D101">
        <v>14020</v>
      </c>
    </row>
    <row r="102" spans="1:5" x14ac:dyDescent="0.3">
      <c r="A102">
        <v>37</v>
      </c>
      <c r="B102" t="s">
        <v>169</v>
      </c>
      <c r="C102" t="s">
        <v>32</v>
      </c>
      <c r="D102">
        <v>18022</v>
      </c>
    </row>
    <row r="103" spans="1:5" x14ac:dyDescent="0.3">
      <c r="A103">
        <v>37</v>
      </c>
      <c r="B103" t="s">
        <v>163</v>
      </c>
      <c r="C103" t="s">
        <v>385</v>
      </c>
      <c r="D103">
        <v>10067</v>
      </c>
    </row>
    <row r="104" spans="1:5" x14ac:dyDescent="0.3">
      <c r="A104">
        <v>37</v>
      </c>
      <c r="B104" t="s">
        <v>200</v>
      </c>
      <c r="C104" t="s">
        <v>372</v>
      </c>
      <c r="D104">
        <v>16027</v>
      </c>
      <c r="E104" t="s">
        <v>306</v>
      </c>
    </row>
    <row r="105" spans="1:5" x14ac:dyDescent="0.3">
      <c r="A105">
        <v>37</v>
      </c>
      <c r="B105" t="s">
        <v>386</v>
      </c>
      <c r="C105" t="s">
        <v>65</v>
      </c>
      <c r="D105">
        <v>3094</v>
      </c>
    </row>
    <row r="106" spans="1:5" x14ac:dyDescent="0.3">
      <c r="A106">
        <v>37</v>
      </c>
      <c r="B106" t="s">
        <v>387</v>
      </c>
      <c r="C106" t="s">
        <v>54</v>
      </c>
      <c r="D106">
        <v>11029</v>
      </c>
    </row>
    <row r="107" spans="1:5" x14ac:dyDescent="0.3">
      <c r="A107">
        <v>38</v>
      </c>
      <c r="B107" t="s">
        <v>165</v>
      </c>
      <c r="C107" t="s">
        <v>377</v>
      </c>
      <c r="D107">
        <v>9050</v>
      </c>
      <c r="E107" t="s">
        <v>306</v>
      </c>
    </row>
    <row r="108" spans="1:5" x14ac:dyDescent="0.3">
      <c r="A108">
        <v>37</v>
      </c>
      <c r="B108" t="s">
        <v>388</v>
      </c>
      <c r="C108" t="s">
        <v>389</v>
      </c>
      <c r="D108">
        <v>16025</v>
      </c>
    </row>
    <row r="109" spans="1:5" x14ac:dyDescent="0.3">
      <c r="A109">
        <v>37</v>
      </c>
      <c r="B109" t="s">
        <v>191</v>
      </c>
      <c r="C109" t="s">
        <v>390</v>
      </c>
      <c r="D109">
        <v>16026</v>
      </c>
    </row>
    <row r="110" spans="1:5" x14ac:dyDescent="0.3">
      <c r="A110">
        <v>38</v>
      </c>
      <c r="B110" t="s">
        <v>161</v>
      </c>
      <c r="C110" t="s">
        <v>391</v>
      </c>
      <c r="D110">
        <v>2068</v>
      </c>
    </row>
  </sheetData>
  <conditionalFormatting sqref="C1:C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DAgg4B</vt:lpstr>
      <vt:lpstr>Vlookup</vt:lpstr>
      <vt:lpstr>Pivot table</vt:lpstr>
      <vt:lpstr>Pivot table values</vt:lpstr>
      <vt:lpstr>Raw Data duplicates removed</vt:lpstr>
      <vt:lpstr>Keeping track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dc:creator>
  <cp:lastModifiedBy>Elizabeth Braatz</cp:lastModifiedBy>
  <dcterms:created xsi:type="dcterms:W3CDTF">2025-09-01T19:30:49Z</dcterms:created>
  <dcterms:modified xsi:type="dcterms:W3CDTF">2025-09-01T19:30:49Z</dcterms:modified>
</cp:coreProperties>
</file>