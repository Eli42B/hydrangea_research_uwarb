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1_{C1BCDD3E-0F81-4300-A380-DF249AEFA226}" xr6:coauthVersionLast="47" xr6:coauthVersionMax="47" xr10:uidLastSave="{00000000-0000-0000-0000-000000000000}"/>
  <bookViews>
    <workbookView xWindow="3084" yWindow="1632" windowWidth="17280" windowHeight="9960" firstSheet="2" activeTab="4" xr2:uid="{34D1FD36-32CC-4BE7-AD1B-89146172A17A}"/>
  </bookViews>
  <sheets>
    <sheet name="FinalTable" sheetId="3" r:id="rId1"/>
    <sheet name="TopVarieties" sheetId="2" r:id="rId2"/>
    <sheet name="TopVarietiesforPCA" sheetId="4" r:id="rId3"/>
    <sheet name="AllVarieties" sheetId="1" r:id="rId4"/>
    <sheet name="StandardizedScores" sheetId="5" r:id="rId5"/>
    <sheet name="Star Score" sheetId="8" r:id="rId6"/>
    <sheet name="Quartiles1" sheetId="7" r:id="rId7"/>
    <sheet name="PCAWeights" sheetId="6" r:id="rId8"/>
    <sheet name="Table D1" sheetId="10" r:id="rId9"/>
  </sheets>
  <definedNames>
    <definedName name="_xlnm._FilterDatabase" localSheetId="4" hidden="1">StandardizedScores!$A$1:$AH$60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" i="5"/>
  <c r="Q29" i="5"/>
  <c r="Q30" i="5"/>
  <c r="C6" i="5"/>
  <c r="C9" i="5"/>
  <c r="C11" i="5"/>
  <c r="C12" i="5"/>
  <c r="C13" i="5"/>
  <c r="C15" i="5"/>
  <c r="C16" i="5"/>
  <c r="C17" i="5"/>
  <c r="C18" i="5"/>
  <c r="C19" i="5"/>
  <c r="C22" i="5"/>
  <c r="C28" i="5"/>
  <c r="C32" i="5"/>
  <c r="C33" i="5"/>
  <c r="C36" i="5"/>
  <c r="C37" i="5"/>
  <c r="C38" i="5"/>
  <c r="C39" i="5"/>
  <c r="C40" i="5"/>
  <c r="C42" i="5"/>
  <c r="C43" i="5"/>
  <c r="C45" i="5"/>
  <c r="C48" i="5"/>
  <c r="C51" i="5"/>
  <c r="C53" i="5"/>
  <c r="C54" i="5"/>
  <c r="C55" i="5"/>
  <c r="C56" i="5"/>
  <c r="C57" i="5"/>
  <c r="C58" i="5"/>
  <c r="P9" i="5"/>
  <c r="P45" i="5"/>
  <c r="P22" i="5"/>
  <c r="P19" i="5"/>
  <c r="P18" i="5"/>
  <c r="P42" i="5"/>
  <c r="P39" i="5"/>
  <c r="P58" i="5"/>
  <c r="P59" i="5"/>
  <c r="P48" i="5"/>
  <c r="P12" i="5"/>
  <c r="P6" i="5"/>
  <c r="P55" i="5"/>
  <c r="P17" i="5"/>
  <c r="P51" i="5"/>
  <c r="P35" i="5"/>
  <c r="P32" i="5"/>
  <c r="P54" i="5"/>
  <c r="P15" i="5"/>
  <c r="P52" i="5"/>
  <c r="P57" i="5"/>
  <c r="P44" i="5"/>
  <c r="P20" i="5"/>
  <c r="P10" i="5"/>
  <c r="P40" i="5"/>
  <c r="P7" i="5"/>
  <c r="P33" i="5"/>
  <c r="Q33" i="5" s="1"/>
  <c r="P46" i="5"/>
  <c r="P5" i="5"/>
  <c r="P47" i="5"/>
  <c r="P37" i="5"/>
  <c r="P16" i="5"/>
  <c r="P13" i="5"/>
  <c r="P23" i="5"/>
  <c r="P53" i="5"/>
  <c r="P11" i="5"/>
  <c r="P31" i="5"/>
  <c r="P43" i="5"/>
  <c r="P8" i="5"/>
  <c r="P60" i="5"/>
  <c r="P2" i="5"/>
  <c r="Q2" i="5" s="1"/>
  <c r="P24" i="5"/>
  <c r="P38" i="5"/>
  <c r="P30" i="5"/>
  <c r="P56" i="5"/>
  <c r="P14" i="5"/>
  <c r="Q14" i="5" s="1"/>
  <c r="P25" i="5"/>
  <c r="P50" i="5"/>
  <c r="P34" i="5"/>
  <c r="P4" i="5"/>
  <c r="P21" i="5"/>
  <c r="P41" i="5"/>
  <c r="P49" i="5"/>
  <c r="P3" i="5"/>
  <c r="P29" i="5"/>
  <c r="P26" i="5"/>
  <c r="Q26" i="5" s="1"/>
  <c r="P27" i="5"/>
  <c r="Q27" i="5" s="1"/>
  <c r="P28" i="5"/>
  <c r="Q28" i="5" s="1"/>
  <c r="O36" i="5"/>
  <c r="P36" i="5" s="1"/>
  <c r="L11" i="5"/>
  <c r="M11" i="5" s="1"/>
  <c r="L31" i="5"/>
  <c r="M31" i="5" s="1"/>
  <c r="L43" i="5"/>
  <c r="M43" i="5" s="1"/>
  <c r="L8" i="5"/>
  <c r="M8" i="5" s="1"/>
  <c r="L60" i="5"/>
  <c r="M60" i="5" s="1"/>
  <c r="L2" i="5"/>
  <c r="M2" i="5" s="1"/>
  <c r="L24" i="5"/>
  <c r="M24" i="5" s="1"/>
  <c r="L38" i="5"/>
  <c r="M38" i="5" s="1"/>
  <c r="L30" i="5"/>
  <c r="M30" i="5" s="1"/>
  <c r="L56" i="5"/>
  <c r="M56" i="5" s="1"/>
  <c r="L14" i="5"/>
  <c r="M14" i="5" s="1"/>
  <c r="L25" i="5"/>
  <c r="M25" i="5" s="1"/>
  <c r="L50" i="5"/>
  <c r="M50" i="5" s="1"/>
  <c r="L34" i="5"/>
  <c r="M34" i="5" s="1"/>
  <c r="L4" i="5"/>
  <c r="M4" i="5" s="1"/>
  <c r="L21" i="5"/>
  <c r="M21" i="5" s="1"/>
  <c r="L41" i="5"/>
  <c r="M41" i="5" s="1"/>
  <c r="L49" i="5"/>
  <c r="M49" i="5" s="1"/>
  <c r="L3" i="5"/>
  <c r="M3" i="5" s="1"/>
  <c r="L29" i="5"/>
  <c r="M29" i="5" s="1"/>
  <c r="L26" i="5"/>
  <c r="M26" i="5" s="1"/>
  <c r="L27" i="5"/>
  <c r="M27" i="5" s="1"/>
  <c r="L9" i="5"/>
  <c r="M9" i="5" s="1"/>
  <c r="L45" i="5"/>
  <c r="M45" i="5" s="1"/>
  <c r="L22" i="5"/>
  <c r="M22" i="5" s="1"/>
  <c r="L19" i="5"/>
  <c r="M19" i="5" s="1"/>
  <c r="L18" i="5"/>
  <c r="M18" i="5" s="1"/>
  <c r="L42" i="5"/>
  <c r="M42" i="5" s="1"/>
  <c r="L39" i="5"/>
  <c r="M39" i="5" s="1"/>
  <c r="L36" i="5"/>
  <c r="M36" i="5" s="1"/>
  <c r="L58" i="5"/>
  <c r="M58" i="5" s="1"/>
  <c r="L59" i="5"/>
  <c r="M59" i="5" s="1"/>
  <c r="L48" i="5"/>
  <c r="M48" i="5" s="1"/>
  <c r="L12" i="5"/>
  <c r="M12" i="5" s="1"/>
  <c r="L6" i="5"/>
  <c r="M6" i="5" s="1"/>
  <c r="L55" i="5"/>
  <c r="M55" i="5" s="1"/>
  <c r="L17" i="5"/>
  <c r="M17" i="5" s="1"/>
  <c r="L51" i="5"/>
  <c r="M51" i="5" s="1"/>
  <c r="L35" i="5"/>
  <c r="M35" i="5" s="1"/>
  <c r="L32" i="5"/>
  <c r="M32" i="5" s="1"/>
  <c r="L54" i="5"/>
  <c r="M54" i="5" s="1"/>
  <c r="L15" i="5"/>
  <c r="M15" i="5" s="1"/>
  <c r="L52" i="5"/>
  <c r="M52" i="5" s="1"/>
  <c r="L57" i="5"/>
  <c r="M57" i="5" s="1"/>
  <c r="L44" i="5"/>
  <c r="M44" i="5" s="1"/>
  <c r="L20" i="5"/>
  <c r="M20" i="5" s="1"/>
  <c r="L10" i="5"/>
  <c r="M10" i="5" s="1"/>
  <c r="L40" i="5"/>
  <c r="M40" i="5" s="1"/>
  <c r="L7" i="5"/>
  <c r="M7" i="5" s="1"/>
  <c r="L33" i="5"/>
  <c r="M33" i="5" s="1"/>
  <c r="L46" i="5"/>
  <c r="M46" i="5" s="1"/>
  <c r="L5" i="5"/>
  <c r="M5" i="5" s="1"/>
  <c r="L47" i="5"/>
  <c r="M47" i="5" s="1"/>
  <c r="L37" i="5"/>
  <c r="M37" i="5" s="1"/>
  <c r="L16" i="5"/>
  <c r="M16" i="5" s="1"/>
  <c r="L13" i="5"/>
  <c r="M13" i="5" s="1"/>
  <c r="L23" i="5"/>
  <c r="M23" i="5" s="1"/>
  <c r="L53" i="5"/>
  <c r="M53" i="5" s="1"/>
  <c r="L28" i="5"/>
  <c r="M28" i="5" s="1"/>
  <c r="F9" i="5"/>
  <c r="G9" i="5" s="1"/>
  <c r="Q9" i="5" s="1"/>
  <c r="F45" i="5"/>
  <c r="G45" i="5" s="1"/>
  <c r="F22" i="5"/>
  <c r="G22" i="5" s="1"/>
  <c r="F19" i="5"/>
  <c r="G19" i="5" s="1"/>
  <c r="F18" i="5"/>
  <c r="G18" i="5" s="1"/>
  <c r="Q18" i="5" s="1"/>
  <c r="F42" i="5"/>
  <c r="G42" i="5" s="1"/>
  <c r="F39" i="5"/>
  <c r="G39" i="5" s="1"/>
  <c r="F36" i="5"/>
  <c r="G36" i="5" s="1"/>
  <c r="F58" i="5"/>
  <c r="G58" i="5" s="1"/>
  <c r="F59" i="5"/>
  <c r="G59" i="5" s="1"/>
  <c r="Q59" i="5" s="1"/>
  <c r="F48" i="5"/>
  <c r="G48" i="5" s="1"/>
  <c r="F12" i="5"/>
  <c r="G12" i="5" s="1"/>
  <c r="Q12" i="5" s="1"/>
  <c r="F6" i="5"/>
  <c r="G6" i="5" s="1"/>
  <c r="F55" i="5"/>
  <c r="G55" i="5" s="1"/>
  <c r="F17" i="5"/>
  <c r="G17" i="5" s="1"/>
  <c r="F51" i="5"/>
  <c r="G51" i="5" s="1"/>
  <c r="F35" i="5"/>
  <c r="G35" i="5" s="1"/>
  <c r="Q35" i="5" s="1"/>
  <c r="F32" i="5"/>
  <c r="G32" i="5" s="1"/>
  <c r="F54" i="5"/>
  <c r="G54" i="5" s="1"/>
  <c r="F15" i="5"/>
  <c r="G15" i="5" s="1"/>
  <c r="F52" i="5"/>
  <c r="G52" i="5" s="1"/>
  <c r="Q52" i="5" s="1"/>
  <c r="F57" i="5"/>
  <c r="G57" i="5" s="1"/>
  <c r="F44" i="5"/>
  <c r="G44" i="5" s="1"/>
  <c r="F20" i="5"/>
  <c r="G20" i="5" s="1"/>
  <c r="Q20" i="5" s="1"/>
  <c r="F10" i="5"/>
  <c r="G10" i="5" s="1"/>
  <c r="Q10" i="5" s="1"/>
  <c r="F40" i="5"/>
  <c r="G40" i="5" s="1"/>
  <c r="F7" i="5"/>
  <c r="G7" i="5" s="1"/>
  <c r="Q7" i="5" s="1"/>
  <c r="F33" i="5"/>
  <c r="G33" i="5" s="1"/>
  <c r="F46" i="5"/>
  <c r="G46" i="5" s="1"/>
  <c r="Q46" i="5" s="1"/>
  <c r="F5" i="5"/>
  <c r="G5" i="5" s="1"/>
  <c r="Q5" i="5" s="1"/>
  <c r="F47" i="5"/>
  <c r="G47" i="5" s="1"/>
  <c r="F37" i="5"/>
  <c r="G37" i="5" s="1"/>
  <c r="F16" i="5"/>
  <c r="G16" i="5" s="1"/>
  <c r="F13" i="5"/>
  <c r="G13" i="5" s="1"/>
  <c r="F23" i="5"/>
  <c r="G23" i="5" s="1"/>
  <c r="Q23" i="5" s="1"/>
  <c r="F53" i="5"/>
  <c r="G53" i="5" s="1"/>
  <c r="F11" i="5"/>
  <c r="G11" i="5" s="1"/>
  <c r="Q11" i="5" s="1"/>
  <c r="F31" i="5"/>
  <c r="G31" i="5" s="1"/>
  <c r="Q31" i="5" s="1"/>
  <c r="F43" i="5"/>
  <c r="G43" i="5" s="1"/>
  <c r="Q43" i="5" s="1"/>
  <c r="F8" i="5"/>
  <c r="G8" i="5" s="1"/>
  <c r="Q8" i="5" s="1"/>
  <c r="F60" i="5"/>
  <c r="G60" i="5" s="1"/>
  <c r="F2" i="5"/>
  <c r="G2" i="5" s="1"/>
  <c r="F24" i="5"/>
  <c r="G24" i="5" s="1"/>
  <c r="Q24" i="5" s="1"/>
  <c r="F38" i="5"/>
  <c r="G38" i="5" s="1"/>
  <c r="Q38" i="5" s="1"/>
  <c r="F30" i="5"/>
  <c r="G30" i="5" s="1"/>
  <c r="F56" i="5"/>
  <c r="G56" i="5" s="1"/>
  <c r="F14" i="5"/>
  <c r="G14" i="5" s="1"/>
  <c r="F25" i="5"/>
  <c r="G25" i="5" s="1"/>
  <c r="F50" i="5"/>
  <c r="G50" i="5" s="1"/>
  <c r="Q50" i="5" s="1"/>
  <c r="F34" i="5"/>
  <c r="G34" i="5" s="1"/>
  <c r="Q34" i="5" s="1"/>
  <c r="F4" i="5"/>
  <c r="G4" i="5" s="1"/>
  <c r="Q4" i="5" s="1"/>
  <c r="F21" i="5"/>
  <c r="G21" i="5" s="1"/>
  <c r="Q21" i="5" s="1"/>
  <c r="F41" i="5"/>
  <c r="G41" i="5" s="1"/>
  <c r="Q41" i="5" s="1"/>
  <c r="F49" i="5"/>
  <c r="G49" i="5" s="1"/>
  <c r="Q49" i="5" s="1"/>
  <c r="F3" i="5"/>
  <c r="G3" i="5" s="1"/>
  <c r="F29" i="5"/>
  <c r="G29" i="5" s="1"/>
  <c r="F26" i="5"/>
  <c r="G26" i="5" s="1"/>
  <c r="F27" i="5"/>
  <c r="G27" i="5" s="1"/>
  <c r="F28" i="5"/>
  <c r="G28" i="5" s="1"/>
  <c r="I9" i="5"/>
  <c r="J9" i="5" s="1"/>
  <c r="I45" i="5"/>
  <c r="J45" i="5" s="1"/>
  <c r="I22" i="5"/>
  <c r="J22" i="5" s="1"/>
  <c r="Q22" i="5" s="1"/>
  <c r="I19" i="5"/>
  <c r="J19" i="5" s="1"/>
  <c r="Q19" i="5" s="1"/>
  <c r="I18" i="5"/>
  <c r="J18" i="5" s="1"/>
  <c r="I42" i="5"/>
  <c r="J42" i="5" s="1"/>
  <c r="I39" i="5"/>
  <c r="J39" i="5" s="1"/>
  <c r="I36" i="5"/>
  <c r="J36" i="5" s="1"/>
  <c r="I58" i="5"/>
  <c r="J58" i="5" s="1"/>
  <c r="I59" i="5"/>
  <c r="J59" i="5" s="1"/>
  <c r="I48" i="5"/>
  <c r="J48" i="5" s="1"/>
  <c r="I12" i="5"/>
  <c r="J12" i="5" s="1"/>
  <c r="I6" i="5"/>
  <c r="J6" i="5" s="1"/>
  <c r="I55" i="5"/>
  <c r="J55" i="5" s="1"/>
  <c r="I17" i="5"/>
  <c r="J17" i="5" s="1"/>
  <c r="I51" i="5"/>
  <c r="J51" i="5" s="1"/>
  <c r="I35" i="5"/>
  <c r="J35" i="5" s="1"/>
  <c r="I32" i="5"/>
  <c r="J32" i="5" s="1"/>
  <c r="I54" i="5"/>
  <c r="J54" i="5" s="1"/>
  <c r="I15" i="5"/>
  <c r="J15" i="5" s="1"/>
  <c r="I52" i="5"/>
  <c r="J52" i="5" s="1"/>
  <c r="I57" i="5"/>
  <c r="J57" i="5" s="1"/>
  <c r="I44" i="5"/>
  <c r="J44" i="5" s="1"/>
  <c r="Q44" i="5" s="1"/>
  <c r="I20" i="5"/>
  <c r="J20" i="5" s="1"/>
  <c r="I10" i="5"/>
  <c r="J10" i="5" s="1"/>
  <c r="I40" i="5"/>
  <c r="J40" i="5" s="1"/>
  <c r="I7" i="5"/>
  <c r="J7" i="5" s="1"/>
  <c r="I33" i="5"/>
  <c r="J33" i="5" s="1"/>
  <c r="I46" i="5"/>
  <c r="J46" i="5" s="1"/>
  <c r="I5" i="5"/>
  <c r="J5" i="5" s="1"/>
  <c r="I47" i="5"/>
  <c r="J47" i="5" s="1"/>
  <c r="Q47" i="5" s="1"/>
  <c r="I37" i="5"/>
  <c r="J37" i="5" s="1"/>
  <c r="I16" i="5"/>
  <c r="J16" i="5" s="1"/>
  <c r="I13" i="5"/>
  <c r="J13" i="5" s="1"/>
  <c r="I23" i="5"/>
  <c r="J23" i="5" s="1"/>
  <c r="I53" i="5"/>
  <c r="J53" i="5" s="1"/>
  <c r="I11" i="5"/>
  <c r="J11" i="5" s="1"/>
  <c r="I31" i="5"/>
  <c r="J31" i="5" s="1"/>
  <c r="I43" i="5"/>
  <c r="J43" i="5" s="1"/>
  <c r="I8" i="5"/>
  <c r="J8" i="5" s="1"/>
  <c r="I60" i="5"/>
  <c r="J60" i="5" s="1"/>
  <c r="Q60" i="5" s="1"/>
  <c r="I2" i="5"/>
  <c r="J2" i="5" s="1"/>
  <c r="I24" i="5"/>
  <c r="J24" i="5" s="1"/>
  <c r="I38" i="5"/>
  <c r="J38" i="5" s="1"/>
  <c r="I30" i="5"/>
  <c r="J30" i="5" s="1"/>
  <c r="I56" i="5"/>
  <c r="J56" i="5" s="1"/>
  <c r="I14" i="5"/>
  <c r="J14" i="5" s="1"/>
  <c r="I25" i="5"/>
  <c r="J25" i="5" s="1"/>
  <c r="Q25" i="5" s="1"/>
  <c r="I50" i="5"/>
  <c r="J50" i="5" s="1"/>
  <c r="I34" i="5"/>
  <c r="J34" i="5" s="1"/>
  <c r="I4" i="5"/>
  <c r="J4" i="5" s="1"/>
  <c r="I21" i="5"/>
  <c r="J21" i="5" s="1"/>
  <c r="I41" i="5"/>
  <c r="J41" i="5" s="1"/>
  <c r="I49" i="5"/>
  <c r="J49" i="5" s="1"/>
  <c r="I3" i="5"/>
  <c r="J3" i="5" s="1"/>
  <c r="I29" i="5"/>
  <c r="J29" i="5" s="1"/>
  <c r="I26" i="5"/>
  <c r="J26" i="5" s="1"/>
  <c r="I27" i="5"/>
  <c r="J27" i="5" s="1"/>
  <c r="I28" i="5"/>
  <c r="J28" i="5" s="1"/>
  <c r="E24" i="6"/>
  <c r="E22" i="6"/>
  <c r="E23" i="6"/>
  <c r="E21" i="6"/>
  <c r="D22" i="6"/>
  <c r="D23" i="6"/>
  <c r="D24" i="6"/>
  <c r="D21" i="6"/>
  <c r="C22" i="6"/>
  <c r="C23" i="6"/>
  <c r="C24" i="6"/>
  <c r="C21" i="6"/>
  <c r="B24" i="6"/>
  <c r="B23" i="6"/>
  <c r="B22" i="6"/>
  <c r="B21" i="6"/>
  <c r="H13" i="6"/>
  <c r="H14" i="6"/>
  <c r="H15" i="6"/>
  <c r="H12" i="6"/>
  <c r="G13" i="6"/>
  <c r="G14" i="6"/>
  <c r="G15" i="6"/>
  <c r="G12" i="6"/>
  <c r="F13" i="6"/>
  <c r="F14" i="6"/>
  <c r="F15" i="6"/>
  <c r="F12" i="6"/>
  <c r="C4" i="6"/>
  <c r="C5" i="6"/>
  <c r="C6" i="6"/>
  <c r="C3" i="6"/>
  <c r="E61" i="1"/>
  <c r="J61" i="5" l="1"/>
  <c r="C61" i="1"/>
  <c r="K26" i="2"/>
  <c r="L26" i="2"/>
  <c r="M26" i="2"/>
  <c r="N26" i="2"/>
  <c r="J26" i="2"/>
  <c r="F2" i="4"/>
  <c r="B6" i="4"/>
  <c r="B23" i="2"/>
  <c r="B12" i="2"/>
  <c r="B9" i="2"/>
  <c r="B22" i="2"/>
  <c r="B6" i="2"/>
  <c r="B7" i="2"/>
  <c r="B8" i="2"/>
  <c r="B5" i="2"/>
  <c r="B4" i="2"/>
  <c r="B19" i="2"/>
  <c r="B20" i="2"/>
  <c r="B15" i="2"/>
  <c r="B14" i="2"/>
  <c r="B3" i="2"/>
  <c r="B13" i="2"/>
  <c r="B18" i="2"/>
  <c r="B2" i="2"/>
  <c r="B16" i="2"/>
  <c r="B11" i="2"/>
  <c r="B17" i="2"/>
  <c r="B21" i="2"/>
  <c r="B10" i="2"/>
  <c r="B25" i="2"/>
  <c r="B24" i="2"/>
  <c r="J10" i="2"/>
  <c r="N24" i="2"/>
  <c r="D39" i="5" l="1"/>
  <c r="Q39" i="5" s="1"/>
  <c r="D37" i="5"/>
  <c r="Q37" i="5" s="1"/>
  <c r="D36" i="5"/>
  <c r="Q36" i="5" s="1"/>
  <c r="D58" i="5"/>
  <c r="Q58" i="5" s="1"/>
  <c r="D32" i="5"/>
  <c r="Q32" i="5" s="1"/>
  <c r="D45" i="5"/>
  <c r="Q45" i="5" s="1"/>
  <c r="D57" i="5"/>
  <c r="Q57" i="5" s="1"/>
  <c r="D17" i="5"/>
  <c r="Q17" i="5" s="1"/>
  <c r="D56" i="5"/>
  <c r="Q56" i="5" s="1"/>
  <c r="D16" i="5"/>
  <c r="Q16" i="5" s="1"/>
  <c r="D55" i="5"/>
  <c r="Q55" i="5" s="1"/>
  <c r="D15" i="5"/>
  <c r="Q15" i="5" s="1"/>
  <c r="D54" i="5"/>
  <c r="Q54" i="5" s="1"/>
  <c r="D53" i="5"/>
  <c r="Q53" i="5" s="1"/>
  <c r="D51" i="5"/>
  <c r="Q51" i="5" s="1"/>
  <c r="D48" i="5"/>
  <c r="Q48" i="5" s="1"/>
  <c r="D42" i="5"/>
  <c r="Q42" i="5" s="1"/>
  <c r="D40" i="5"/>
  <c r="Q40" i="5" s="1"/>
  <c r="D13" i="5"/>
  <c r="Q13" i="5" s="1"/>
  <c r="D6" i="5"/>
  <c r="Q6" i="5" s="1"/>
  <c r="D3" i="5"/>
  <c r="Q3" i="5" s="1"/>
</calcChain>
</file>

<file path=xl/sharedStrings.xml><?xml version="1.0" encoding="utf-8"?>
<sst xmlns="http://schemas.openxmlformats.org/spreadsheetml/2006/main" count="2247" uniqueCount="304">
  <si>
    <t>Trademark.Cultivar</t>
  </si>
  <si>
    <t>Species</t>
  </si>
  <si>
    <t>Flower type</t>
  </si>
  <si>
    <t>Color</t>
  </si>
  <si>
    <t>Note</t>
  </si>
  <si>
    <t>Source</t>
  </si>
  <si>
    <t>Annabelle</t>
  </si>
  <si>
    <t>Hydrangea arborescens</t>
  </si>
  <si>
    <t>Mop</t>
  </si>
  <si>
    <t>Baby Lace</t>
  </si>
  <si>
    <t>Hydrangea paniculata</t>
  </si>
  <si>
    <t>Lacy panicle</t>
  </si>
  <si>
    <t>White</t>
  </si>
  <si>
    <t>Bella Anna</t>
  </si>
  <si>
    <t>Berry White</t>
  </si>
  <si>
    <t>Big Ben</t>
  </si>
  <si>
    <t>Bobo</t>
  </si>
  <si>
    <t>Mop-like panicle</t>
  </si>
  <si>
    <t>Bounty</t>
  </si>
  <si>
    <t>Brussels Lace</t>
  </si>
  <si>
    <t>Candy Apple</t>
  </si>
  <si>
    <t>Daimond Rogue</t>
  </si>
  <si>
    <t>Pink-white</t>
  </si>
  <si>
    <t>Dharuma</t>
  </si>
  <si>
    <t>Dolly</t>
  </si>
  <si>
    <t xml:space="preserve">Early Evolution </t>
  </si>
  <si>
    <t>Fire &amp; Ice</t>
  </si>
  <si>
    <t>Fire Light</t>
  </si>
  <si>
    <t>Pink</t>
  </si>
  <si>
    <t>Floribunda</t>
  </si>
  <si>
    <t>Great Star</t>
  </si>
  <si>
    <t>Green Spire</t>
  </si>
  <si>
    <t>Green-white</t>
  </si>
  <si>
    <t>Haas Halo</t>
  </si>
  <si>
    <t>Lacy</t>
  </si>
  <si>
    <t>Hayes Starburst</t>
  </si>
  <si>
    <t>Honey Comb</t>
  </si>
  <si>
    <t>Incrediball</t>
  </si>
  <si>
    <t>Invincibelle Spirit</t>
  </si>
  <si>
    <t>Kyushu</t>
  </si>
  <si>
    <t>Limelight</t>
  </si>
  <si>
    <t>Limelight Prime</t>
  </si>
  <si>
    <t>Little Lamb</t>
  </si>
  <si>
    <t>Little Lime</t>
  </si>
  <si>
    <t>Little Lime Punch</t>
  </si>
  <si>
    <t>Little Quick Fire</t>
  </si>
  <si>
    <t>Mega Mindy</t>
  </si>
  <si>
    <t>Mega Pearl</t>
  </si>
  <si>
    <t>Phantom</t>
  </si>
  <si>
    <t>Pillow Talk</t>
  </si>
  <si>
    <t>Pink Diamond</t>
  </si>
  <si>
    <t>Pink Lady</t>
  </si>
  <si>
    <t xml:space="preserve">Pink Pincushion </t>
  </si>
  <si>
    <t>Pinky Winky</t>
  </si>
  <si>
    <t>Polar Ball</t>
  </si>
  <si>
    <t>Puffer Fish</t>
  </si>
  <si>
    <t>Quick Fire</t>
  </si>
  <si>
    <t>Quick Fire Fabulous</t>
  </si>
  <si>
    <t>Riven Lace</t>
  </si>
  <si>
    <t>Ryan Gainey</t>
  </si>
  <si>
    <t>Seaside Serenade Bar Harbor</t>
  </si>
  <si>
    <t>Silver Dollar</t>
  </si>
  <si>
    <t>Silver Leaf</t>
  </si>
  <si>
    <t>Strawberry Shake</t>
  </si>
  <si>
    <t>Strawberry Sundae</t>
  </si>
  <si>
    <t>Sweet Summer</t>
  </si>
  <si>
    <t>Tickled Pink</t>
  </si>
  <si>
    <t>Unique</t>
  </si>
  <si>
    <t>Vanilla Strawberry</t>
  </si>
  <si>
    <t>White Diamonds</t>
  </si>
  <si>
    <t>White Moth</t>
  </si>
  <si>
    <t>Zinfin Doll</t>
  </si>
  <si>
    <t>BloomStart</t>
  </si>
  <si>
    <t>BloomEnd</t>
  </si>
  <si>
    <t xml:space="preserve">Sun </t>
  </si>
  <si>
    <t>Water</t>
  </si>
  <si>
    <t>Height (ft)</t>
  </si>
  <si>
    <t>3 to 5</t>
  </si>
  <si>
    <t>4 to 6</t>
  </si>
  <si>
    <t>Spread (ft)</t>
  </si>
  <si>
    <t>Part shade</t>
  </si>
  <si>
    <t>Maintenance</t>
  </si>
  <si>
    <t>Low</t>
  </si>
  <si>
    <t>White Dome</t>
  </si>
  <si>
    <t xml:space="preserve">6 to 8 </t>
  </si>
  <si>
    <t>5 to 6</t>
  </si>
  <si>
    <t>Full sun to part shade</t>
  </si>
  <si>
    <t>Medium</t>
  </si>
  <si>
    <t xml:space="preserve">Medium </t>
  </si>
  <si>
    <t>https://www.missouribotanicalgarden.org</t>
  </si>
  <si>
    <t>8 to 15</t>
  </si>
  <si>
    <t xml:space="preserve">Full sun to part sun </t>
  </si>
  <si>
    <t>https://hydrangea.com/products/little-quick-fire-panicle-hydrangea?srsltid=AfmBOooNVO-RW1s19arvwHK3wJkCyUnjN03YejaKTVPZG5GIOhFAuDJd</t>
  </si>
  <si>
    <t>N/A</t>
  </si>
  <si>
    <t>3 to 4</t>
  </si>
  <si>
    <t xml:space="preserve">Full sun to part shade </t>
  </si>
  <si>
    <t>http://plants.beechwood-gardens.com/12130013/Plant/11837/Big_Ben_Hydrangea/</t>
  </si>
  <si>
    <t>Full sun to full shade</t>
  </si>
  <si>
    <t>Medium high</t>
  </si>
  <si>
    <t>https://www.chicagobotanic.org/plantcollections/plantfinder/hydrangea_paniculata_brussels_lace--brussels_lace_panicle_hydrangea</t>
  </si>
  <si>
    <t>https://www.gertens.com/candy-apple-hydrangea</t>
  </si>
  <si>
    <t>https://www.northshoreplantclub.com/plant?id=7267</t>
  </si>
  <si>
    <t>6 to 8</t>
  </si>
  <si>
    <t>Sun to part shade</t>
  </si>
  <si>
    <t>https://www.whiteflowerfarm.com/63163-product.html</t>
  </si>
  <si>
    <t xml:space="preserve">Could not find a bloom time so used our own data for it </t>
  </si>
  <si>
    <t>8 to 13</t>
  </si>
  <si>
    <t>5 to 8</t>
  </si>
  <si>
    <t>Moist but well-drained</t>
  </si>
  <si>
    <t>https://www.rhs.org.uk/plants/98580/hydrangea-paniculata-floribunda/details</t>
  </si>
  <si>
    <t>6 to 7</t>
  </si>
  <si>
    <t xml:space="preserve">7 to 8 </t>
  </si>
  <si>
    <t xml:space="preserve">6 to 10 </t>
  </si>
  <si>
    <t xml:space="preserve">Low </t>
  </si>
  <si>
    <t xml:space="preserve">Could not find exact date so used our data </t>
  </si>
  <si>
    <t>https://naturehills.com/products/hydrangea-mega-pearl?srsltid=AfmBOoqtkNbCaP9iB6-2A1Kswx4540onK_3L41O7YiUTRkcuVu7YItxr</t>
  </si>
  <si>
    <t xml:space="preserve">Full sun </t>
  </si>
  <si>
    <t>https://www.chicagobotanic.org/plantcollections/plantfinder/hydrangea_paniculata_phantom--phantom_panicle_hydrangea</t>
  </si>
  <si>
    <t xml:space="preserve">End bloom time wasn't available online; used our data for that </t>
  </si>
  <si>
    <t>https://www.petittigardencenter.com/quick-fire-a-panicle-hydrangea-variety-spotlight/</t>
  </si>
  <si>
    <t>Ruby / Angel's Blush</t>
  </si>
  <si>
    <t xml:space="preserve">Exact dates weren't available so used our data </t>
  </si>
  <si>
    <t>https://www.monrovia.com/angels-blush-hydrangea.html?srsltid=AfmBOorQcKnkdvItwFKmF1ruxmKdZTR2EsF7335iSOcWRE1LpMs9XAxD</t>
  </si>
  <si>
    <t xml:space="preserve">8 to 12 </t>
  </si>
  <si>
    <t>4 to 5</t>
  </si>
  <si>
    <t>https://www.monrovia.com/strawberry-shake-hydrangea.html?srsltid=AfmBOorS12CObULKHM2qOzTYRexOuJVz_6ejDoI829IMDzQKGfBb2NOQ</t>
  </si>
  <si>
    <t>https://www.southernliving.com/garden/flowers/strawberry-sundae-hydrangea</t>
  </si>
  <si>
    <t>https://www.missouribotanicalgarden.org/PlantFinder/PlantFinderDetails.aspx?taxonid=264083&amp;isprofile=0&amp;</t>
  </si>
  <si>
    <t xml:space="preserve">Could not find exact bloom time, used our data </t>
  </si>
  <si>
    <t>http://plants.beechwood-gardens.com/12130013/Plant/16553/Honeycomb_Hydrangea/</t>
  </si>
  <si>
    <t>https://www.thespruce.com/description-of-incrediball-hydrangeas-2132707</t>
  </si>
  <si>
    <t>Late / Tardiva</t>
  </si>
  <si>
    <t xml:space="preserve">7 to 10 </t>
  </si>
  <si>
    <t>https://www.missouribotanicalgarden.org/PlantFinder/PlantFinderDetails.aspx?kempercode=d360</t>
  </si>
  <si>
    <t xml:space="preserve">Full sun to full shade </t>
  </si>
  <si>
    <t>https://mtcubacenter.org/trials/wild-hydrangea-for-the-mid-atlantic-region/hydrangea-arborescens-haas-halo/</t>
  </si>
  <si>
    <t>Total Spp. Insect richness / season</t>
  </si>
  <si>
    <t xml:space="preserve">Avg Insect Spp Abundance / plant / season </t>
  </si>
  <si>
    <t>2019_to_2021_AvgSppRichness</t>
  </si>
  <si>
    <t>2019_to_2021_TotalDays_w_Insects</t>
  </si>
  <si>
    <t>AvgInsectSppAbundanceRank</t>
  </si>
  <si>
    <t>TotalSppRichness/SeasonRank</t>
  </si>
  <si>
    <t>2019_to_2021_AvgSppRichnessRank</t>
  </si>
  <si>
    <t>2019_to_2021_TotalDayswInsectsRank</t>
  </si>
  <si>
    <t>Rank (1 is best)</t>
  </si>
  <si>
    <t>Top 10 H. paniculata</t>
  </si>
  <si>
    <t>Bloom Range</t>
  </si>
  <si>
    <t>Jul - Sept</t>
  </si>
  <si>
    <t>Jul - Oct</t>
  </si>
  <si>
    <t>Aug - Oct</t>
  </si>
  <si>
    <t>May - Oct</t>
  </si>
  <si>
    <t>https://www.chicagobotanic.org/plantcollections/plantfinder/hydrangea_paniculata_kyushu--kyushu_panicle_hydrangea and https://hydrangeasplus.com/products/hydrangea-paniculata-kyushu?srsltid=AfmBOoppDF-Qk1uw-TcabnNQSop8sVqaT7Z2uEnE51IyVpV1DF6uhEKi</t>
  </si>
  <si>
    <t>https://www.gardenia.net/plant/hydrangea-paniculata-greenspire</t>
  </si>
  <si>
    <t>Top 3 H. arborescens</t>
  </si>
  <si>
    <t>Jun - July</t>
  </si>
  <si>
    <t>Jul - Aug</t>
  </si>
  <si>
    <t>Jun - Aug</t>
  </si>
  <si>
    <t>NA</t>
  </si>
  <si>
    <t>AvgTotal(LowerIsBetter)</t>
  </si>
  <si>
    <t>Rank</t>
  </si>
  <si>
    <t>shannon_index</t>
  </si>
  <si>
    <t>shannon_index (larger is better)</t>
  </si>
  <si>
    <t>AVERAGE</t>
  </si>
  <si>
    <t>BloomTime</t>
  </si>
  <si>
    <t>July - Sept</t>
  </si>
  <si>
    <t>2 to 3</t>
  </si>
  <si>
    <t>Part sun</t>
  </si>
  <si>
    <t>https://www.missouribotanicalgarden.org/PlantFinder/PlantFinderDetails.aspx?taxonid=274487&amp;isprofile=0&amp;gen=Hydrangea%25&amp;z=6</t>
  </si>
  <si>
    <t>July - Oct</t>
  </si>
  <si>
    <t>June - Aug</t>
  </si>
  <si>
    <t>June - July</t>
  </si>
  <si>
    <t>July - Aug</t>
  </si>
  <si>
    <t>June - Sept</t>
  </si>
  <si>
    <t>Sun to part sun</t>
  </si>
  <si>
    <t>2.5 - 3</t>
  </si>
  <si>
    <t>Easy</t>
  </si>
  <si>
    <t>https://www.provenwinners.com/plants/hydrangea/bobo-panicle-hydrangea-hydrangea-paniculata</t>
  </si>
  <si>
    <t>Days blooming 2019 data not available; used median</t>
  </si>
  <si>
    <t>Bloom time a guess; they just said midsummer to fall/ Days blooming 2019 data not available; used median</t>
  </si>
  <si>
    <r>
      <t xml:space="preserve">Could not find exact bloom time, used our data/ </t>
    </r>
    <r>
      <rPr>
        <b/>
        <sz val="11"/>
        <color theme="1"/>
        <rFont val="Calibri"/>
        <family val="2"/>
        <scheme val="minor"/>
      </rPr>
      <t>Days blooming 2019 data not available; used median</t>
    </r>
  </si>
  <si>
    <t>Invincibelle Mini Mauvette</t>
  </si>
  <si>
    <t>Invincibelle Wee White</t>
  </si>
  <si>
    <t>Lime Rickey</t>
  </si>
  <si>
    <t xml:space="preserve">June -  July </t>
  </si>
  <si>
    <t xml:space="preserve">Sun to shade </t>
  </si>
  <si>
    <t>https://mtcubacenter.org/trials/wild-hydrangea-for-the-mid-atlantic-region/hydrangea-arborescens-bounty/</t>
  </si>
  <si>
    <t>June - Oct</t>
  </si>
  <si>
    <t>https://firsteditionsplants.com/product/diamond-rouge-panicle-hydrangea/; https://www.gardenia.net/plant/hydrangea-paniculata-diamond-rouge</t>
  </si>
  <si>
    <t xml:space="preserve">5 to 8 </t>
  </si>
  <si>
    <t>Full sun to partial shade</t>
  </si>
  <si>
    <t>https://www.rhs.org.uk/plants/177811/hydrangea-paniculata-dolly/details</t>
  </si>
  <si>
    <t>Full sun to partial sun</t>
  </si>
  <si>
    <t>June - Nov</t>
  </si>
  <si>
    <t>https://www.waysidegardens.com/hydrangea-early-evolution-panicle-hydrangea-29895.html?srsltid=AfmBOoplMCVMM8O1mXoJVVWgNctuiqsXnHFi1Uw9h6XKAItY9-yi0uix</t>
  </si>
  <si>
    <t xml:space="preserve">3 to 4 </t>
  </si>
  <si>
    <t xml:space="preserve">Partial sun </t>
  </si>
  <si>
    <t>https://www.ballseed.com/PlantInfo/?phid=034001085020985</t>
  </si>
  <si>
    <t>https://www.provenwinners.com/plants/hydrangea/incrediball-smooth-hydrangea-hydrangea-arborescens</t>
  </si>
  <si>
    <t>Part sun to sun</t>
  </si>
  <si>
    <t>https://www.provenwinners.com/plants/hydrangea/invincibelle-mini-mauvette-smooth-hydrangea-hydrangea-arborescens</t>
  </si>
  <si>
    <t>3.5 - 4</t>
  </si>
  <si>
    <t>https://www.provenwinners.com/plants/hydrangea/invincibelle-spirit-ii-smooth-hydrangea-hydrangea-arborescens</t>
  </si>
  <si>
    <t>1 - 2.5</t>
  </si>
  <si>
    <t>1-2.5</t>
  </si>
  <si>
    <t>https://www.provenwinners.com/plants/hydrangea/invincibelle-wee-white-smooth-hydrangea-hydrangea-arborescens</t>
  </si>
  <si>
    <t>Average</t>
  </si>
  <si>
    <t xml:space="preserve">Estimated days blooming based on 'summer to fall' </t>
  </si>
  <si>
    <t xml:space="preserve">2 to 4 </t>
  </si>
  <si>
    <t>2 to 4</t>
  </si>
  <si>
    <t xml:space="preserve">June - Sept </t>
  </si>
  <si>
    <t>https://www.missouribotanicalgarden.org/PlantFinder/PlantFinderDetails.aspx?taxonid=299175&amp;isprofile=0&amp;</t>
  </si>
  <si>
    <t>Green</t>
  </si>
  <si>
    <t>https://www.provenwinners.com/plants/hydrangea/lime-rickey-smooth-hydrangea-hydrangea-arborescens</t>
  </si>
  <si>
    <t>https://www.provenwinners.com/plants/hydrangea/limelight-panicle-hydrangea-hydrangea-paniculata</t>
  </si>
  <si>
    <t xml:space="preserve">Days estimated by season </t>
  </si>
  <si>
    <t xml:space="preserve">4 to 6 </t>
  </si>
  <si>
    <t xml:space="preserve">4 to 5 </t>
  </si>
  <si>
    <t>https://www.provenwinners.com/plants/hydrangea/limelight-prime-panicle-hydrangea-hydrangea-paniculata</t>
  </si>
  <si>
    <t xml:space="preserve">Green </t>
  </si>
  <si>
    <t>https://www.provenwinners.com/plants/hydrangea/little-lamb-panicle-hydrangea-hydrangea-paniculata</t>
  </si>
  <si>
    <t xml:space="preserve">3 to 5 </t>
  </si>
  <si>
    <t>Moderate</t>
  </si>
  <si>
    <t xml:space="preserve">Based on actual days blooming data </t>
  </si>
  <si>
    <t>https://www.missouribotanicalgarden.org/PlantFinder/PlantFinderDetails.aspx?taxonid=359120&amp;isprofile=0&amp;</t>
  </si>
  <si>
    <t>https://www.chicagobotanic.org/plantcollections/plantfinder/hydrangea_paniculata_phantom--phantom_panicle_hydrangea; https://www.whiteflowerfarm.com/hydrangea-paniculata-phantom?srsltid=AfmBOoqN-6A_rH-qscaxYDmDo3F1gWv86VJUmwzuu6xPmHCuVASD09b9</t>
  </si>
  <si>
    <t>https://www.bluestoneperennials.com/HYPT.html?srsltid=AfmBOopYXn8coQlzKXiXbK0TBf2_gvYPUJKAD4PVaOm2cjzKmRdmForX</t>
  </si>
  <si>
    <t>https://www.rhs.org.uk/plants/177821/hydrangea-paniculata-pink-lady/details</t>
  </si>
  <si>
    <t xml:space="preserve">June - July </t>
  </si>
  <si>
    <t>5 - 7.5</t>
  </si>
  <si>
    <t>https://mtcubacenter.org/trials/wild-hydrangea-for-the-mid-atlantic-region/hydrangea-arborescens-pink-pincushion/</t>
  </si>
  <si>
    <t>https://springmeadownursery.com/plantfinder/polar-ball-39350</t>
  </si>
  <si>
    <t xml:space="preserve">Days blooming 2019 data not available; used median. Estimated bloom time from season. </t>
  </si>
  <si>
    <t>https://www.provenwinners.com/plants/hydrangea/puffer-fish-panicle-hydrangea-hydrangea-paniculata</t>
  </si>
  <si>
    <t>https://www.provenwinners.com/plants/hydrangea/quick-fire-fab-panicle-hydrangea-hydrangea-paniculata</t>
  </si>
  <si>
    <t>Shade</t>
  </si>
  <si>
    <t>https://mtcubacenter.org/trials/wild-hydrangea-for-the-mid-atlantic-region/hydrangea-arborescens-riven-lace/</t>
  </si>
  <si>
    <t>1 to 4</t>
  </si>
  <si>
    <t>https://www.missouribotanicalgarden.org/PlantFinder/PlantFinderDetails.aspx?taxonid=268004</t>
  </si>
  <si>
    <t>https://www.monrovia.com/seaside-serenade-bar-harbor-hydrangea.html?srsltid=AfmBOorjBX-ngGMpj2IOO3P2LnuwKPaRge1cPpSIp-Hx4VDT74lDMd2k</t>
  </si>
  <si>
    <t xml:space="preserve">July - Sept </t>
  </si>
  <si>
    <t>https://naturehills.com/products/hydrangea-silver-dollar?srsltid=AfmBOopLf5psua3fxLU4EFq0-ltAXmMKxxJq4vxrsaQsQz3hhXkFV_Pz</t>
  </si>
  <si>
    <t xml:space="preserve">4 to 7 </t>
  </si>
  <si>
    <t>June</t>
  </si>
  <si>
    <t>Average to moiste</t>
  </si>
  <si>
    <t>https://mtcubacenter.org/plants/silver-leaf-hydrangea/</t>
  </si>
  <si>
    <t>https://shop.arborday.org/sweet-summer-panicle-hydrangea?srsltid=AfmBOoprQWA9nywKj_aCmrC0nY_dBzRMZ_nbRs_UhYo5UPnkLO5vObQU; https://www.missouribotanicalgarden.org/PlantFinder/PlantFinderDetails.aspx?taxonid=274640&amp;isprofile=0&amp;pt=4</t>
  </si>
  <si>
    <t xml:space="preserve">Estimated bloom time based on season </t>
  </si>
  <si>
    <t>https://naturehills.com/products/tickled-pink-hydrangea?srsltid=AfmBOooyK4vUvBE_2EEg8atN8iMZ6X7qVCQwk_aP7t0Axlrhzbc_97SE</t>
  </si>
  <si>
    <t>https://www.finegardening.com/plant/panicle-hydrangea-hydrangea-paniculata-unique?srsltid=AfmBOoqoYqgvONqbBq_B7RXYxw4DMlQIpM6_VO2zNRrTH4f6a451Mdt8</t>
  </si>
  <si>
    <t xml:space="preserve">5 to 6 </t>
  </si>
  <si>
    <t>https://www.whiteflowerfarm.com/63149-product.html?srsltid=AfmBOorZw8M_zv92mAumxoOuQzlA9bX9M5jvDs7JhNiUl_TZYJXjr4_j</t>
  </si>
  <si>
    <t xml:space="preserve">Bloom time estimated from season </t>
  </si>
  <si>
    <t>https://firsteditionsplants.com/product/white-diamonds-panicle-hydrangea/</t>
  </si>
  <si>
    <t>https://www.missouribotanicalgarden.org/PlantFinder/PlantFinderDetails.aspx?taxonid=299176&amp;isprofile=0&amp;pt=4</t>
  </si>
  <si>
    <t xml:space="preserve">July </t>
  </si>
  <si>
    <t>https://www.provenwinners.com/plants/hydrangea/zinfin-doll-panicle-hydrangea-hydrangea-paniculata</t>
  </si>
  <si>
    <t>Median or Avg</t>
  </si>
  <si>
    <t>2019_TotalDays_w_Insects</t>
  </si>
  <si>
    <t>Incredibelle Ruby</t>
  </si>
  <si>
    <t xml:space="preserve">Removed due to insufficient data </t>
  </si>
  <si>
    <t>Could not find exact bloom time, used our data/ Days blooming 2019 data not available; used median</t>
  </si>
  <si>
    <t>StandardizedAbundance</t>
  </si>
  <si>
    <t>StandardizedRichness</t>
  </si>
  <si>
    <t>StandardizedDays</t>
  </si>
  <si>
    <t>Dim.1</t>
  </si>
  <si>
    <t>Standardizedshannon</t>
  </si>
  <si>
    <t xml:space="preserve">Dim 2 </t>
  </si>
  <si>
    <t>Dim 3</t>
  </si>
  <si>
    <t>Dim 4</t>
  </si>
  <si>
    <t>Dimension</t>
  </si>
  <si>
    <t xml:space="preserve">Variance percent (from eigenvalues) </t>
  </si>
  <si>
    <t xml:space="preserve">Principal Component Analysis Results for Variables; contributions of the variables </t>
  </si>
  <si>
    <t xml:space="preserve">Don't care </t>
  </si>
  <si>
    <t xml:space="preserve">Dimension importance (from scree plot) </t>
  </si>
  <si>
    <t xml:space="preserve">Weighted Importance of Each component (across dimensions 1-3) </t>
  </si>
  <si>
    <t>Quartile Shannon score</t>
  </si>
  <si>
    <t>Percent</t>
  </si>
  <si>
    <t xml:space="preserve">Dimensions 1-3 account for +89.8% of variability so we will only consider those dimensions </t>
  </si>
  <si>
    <t>Dim 1%</t>
  </si>
  <si>
    <t>Dim2 %</t>
  </si>
  <si>
    <t>Dim3 %</t>
  </si>
  <si>
    <t>Dim4 %</t>
  </si>
  <si>
    <t xml:space="preserve">Weighted Dim1 </t>
  </si>
  <si>
    <t>Weighted Dim2</t>
  </si>
  <si>
    <t>Weighted Dim3</t>
  </si>
  <si>
    <t xml:space="preserve">Sum </t>
  </si>
  <si>
    <t>Weighted Quantile</t>
  </si>
  <si>
    <t>Weighted richness</t>
  </si>
  <si>
    <t>Quantile Richness</t>
  </si>
  <si>
    <t>Weighted Richness</t>
  </si>
  <si>
    <t>Quantile Days</t>
  </si>
  <si>
    <t>Total</t>
  </si>
  <si>
    <t>2019-2021 photo insect count</t>
  </si>
  <si>
    <t xml:space="preserve">Adjustment weight (+/- 12.5% of insect abundance weight per rank difference) </t>
  </si>
  <si>
    <t xml:space="preserve">Star Score (percentiles by 20% increments) </t>
  </si>
  <si>
    <t>Star Score</t>
  </si>
  <si>
    <t>Total score</t>
  </si>
  <si>
    <t>Shannon diversity</t>
  </si>
  <si>
    <t xml:space="preserve">2024 Avg Insect Spp Abundance / plant / season </t>
  </si>
  <si>
    <t>2019-2021 Insect Photo Count</t>
  </si>
  <si>
    <t>Insect spp. richness / season</t>
  </si>
  <si>
    <t>2019 Days w Insects</t>
  </si>
  <si>
    <t>Quantile photo data</t>
  </si>
  <si>
    <t>Quantile Abundance 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</si>
</sst>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Lucida Console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1" fillId="0" borderId="0" xfId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0" borderId="0" xfId="0" applyNumberFormat="1"/>
    <xf numFmtId="16" fontId="0" fillId="0" borderId="0" xfId="0" applyNumberFormat="1"/>
    <xf numFmtId="0" fontId="1" fillId="0" borderId="0" xfId="1" applyFill="1"/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/>
    </xf>
    <xf numFmtId="0" fontId="4" fillId="0" borderId="0" xfId="0" applyFont="1"/>
    <xf numFmtId="0" fontId="4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5" borderId="0" xfId="0" applyFont="1" applyFill="1" applyAlignment="1">
      <alignment horizontal="right" vertical="center"/>
    </xf>
    <xf numFmtId="165" fontId="2" fillId="0" borderId="0" xfId="0" applyNumberFormat="1" applyFont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0" fillId="6" borderId="0" xfId="0" applyFill="1" applyAlignment="1">
      <alignment wrapText="1"/>
    </xf>
    <xf numFmtId="0" fontId="2" fillId="6" borderId="0" xfId="0" applyFont="1" applyFill="1"/>
    <xf numFmtId="0" fontId="2" fillId="4" borderId="0" xfId="0" applyFont="1" applyFill="1"/>
    <xf numFmtId="0" fontId="2" fillId="7" borderId="0" xfId="0" applyFont="1" applyFill="1"/>
    <xf numFmtId="2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cagobotanic.org/plantcollections/plantfinder/hydrangea_paniculata_kyushu--kyushu_panicle_hydrange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icagobotanic.org/plantcollections/plantfinder/hydrangea_paniculata_kyushu--kyushu_panicle_hydrange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icagobotanic.org/plantcollections/plantfinder/hydrangea_paniculata_kyushu--kyushu_panicle_hydrange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ssouribotanicalgarden.org/" TargetMode="External"/><Relationship Id="rId2" Type="http://schemas.openxmlformats.org/officeDocument/2006/relationships/hyperlink" Target="https://www.chicagobotanic.org/plantcollections/plantfinder/hydrangea_paniculata_kyushu--kyushu_panicle_hydrangea" TargetMode="External"/><Relationship Id="rId1" Type="http://schemas.openxmlformats.org/officeDocument/2006/relationships/hyperlink" Target="https://www.missouribotanicalgarden.org/PlantFinder/PlantFinderDetails.aspx?taxonid=274487&amp;isprofile=0&amp;gen=Hydrangea%25&amp;z=6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gertens.com/candy-apple-hydrangea" TargetMode="External"/><Relationship Id="rId4" Type="http://schemas.openxmlformats.org/officeDocument/2006/relationships/hyperlink" Target="http://plants.beechwood-gardens.com/12130013/Plant/11837/Big_Ben_Hydrang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F7AC-63BB-4C8E-A24B-23D1C6479B8E}">
  <dimension ref="A1:I18"/>
  <sheetViews>
    <sheetView workbookViewId="0">
      <selection activeCell="C9" sqref="C9"/>
    </sheetView>
  </sheetViews>
  <sheetFormatPr defaultRowHeight="14.4" x14ac:dyDescent="0.3"/>
  <cols>
    <col min="1" max="1" width="19.109375" bestFit="1" customWidth="1"/>
    <col min="7" max="7" width="18.88671875" bestFit="1" customWidth="1"/>
  </cols>
  <sheetData>
    <row r="1" spans="1:9" s="1" customFormat="1" x14ac:dyDescent="0.3">
      <c r="A1" s="1" t="s">
        <v>145</v>
      </c>
    </row>
    <row r="2" spans="1:9" x14ac:dyDescent="0.3">
      <c r="A2" t="s">
        <v>144</v>
      </c>
      <c r="B2" t="s">
        <v>0</v>
      </c>
      <c r="C2" t="s">
        <v>3</v>
      </c>
      <c r="D2" t="s">
        <v>146</v>
      </c>
      <c r="E2" t="s">
        <v>76</v>
      </c>
      <c r="F2" t="s">
        <v>79</v>
      </c>
      <c r="G2" t="s">
        <v>74</v>
      </c>
      <c r="H2" t="s">
        <v>5</v>
      </c>
      <c r="I2" t="s">
        <v>4</v>
      </c>
    </row>
    <row r="3" spans="1:9" x14ac:dyDescent="0.3">
      <c r="A3">
        <v>1</v>
      </c>
      <c r="B3" t="s">
        <v>53</v>
      </c>
      <c r="C3" t="s">
        <v>22</v>
      </c>
      <c r="D3" t="s">
        <v>147</v>
      </c>
      <c r="E3" t="s">
        <v>84</v>
      </c>
      <c r="F3" t="s">
        <v>85</v>
      </c>
      <c r="G3" t="s">
        <v>86</v>
      </c>
      <c r="H3" t="s">
        <v>89</v>
      </c>
    </row>
    <row r="4" spans="1:9" x14ac:dyDescent="0.3">
      <c r="A4">
        <v>2</v>
      </c>
      <c r="B4" t="s">
        <v>56</v>
      </c>
      <c r="C4" t="s">
        <v>28</v>
      </c>
      <c r="D4" t="s">
        <v>148</v>
      </c>
      <c r="E4" t="s">
        <v>84</v>
      </c>
      <c r="F4" t="s">
        <v>84</v>
      </c>
      <c r="G4" t="s">
        <v>103</v>
      </c>
      <c r="H4" t="s">
        <v>119</v>
      </c>
      <c r="I4" t="s">
        <v>118</v>
      </c>
    </row>
    <row r="5" spans="1:9" x14ac:dyDescent="0.3">
      <c r="A5">
        <v>3</v>
      </c>
      <c r="B5" t="s">
        <v>23</v>
      </c>
      <c r="C5" t="s">
        <v>12</v>
      </c>
      <c r="D5" t="s">
        <v>147</v>
      </c>
      <c r="E5" t="s">
        <v>94</v>
      </c>
      <c r="F5" t="s">
        <v>94</v>
      </c>
      <c r="G5" t="s">
        <v>86</v>
      </c>
      <c r="H5" t="s">
        <v>101</v>
      </c>
    </row>
    <row r="6" spans="1:9" x14ac:dyDescent="0.3">
      <c r="A6">
        <v>4</v>
      </c>
      <c r="B6" t="s">
        <v>31</v>
      </c>
      <c r="C6" t="s">
        <v>32</v>
      </c>
      <c r="D6" t="s">
        <v>149</v>
      </c>
      <c r="E6" t="s">
        <v>112</v>
      </c>
      <c r="F6" t="s">
        <v>112</v>
      </c>
      <c r="G6" t="s">
        <v>91</v>
      </c>
      <c r="H6" t="s">
        <v>152</v>
      </c>
      <c r="I6" t="s">
        <v>105</v>
      </c>
    </row>
    <row r="7" spans="1:9" x14ac:dyDescent="0.3">
      <c r="A7">
        <v>5</v>
      </c>
      <c r="B7" t="s">
        <v>39</v>
      </c>
      <c r="C7" t="s">
        <v>12</v>
      </c>
      <c r="D7" t="s">
        <v>150</v>
      </c>
      <c r="E7" t="s">
        <v>102</v>
      </c>
      <c r="F7" t="s">
        <v>84</v>
      </c>
      <c r="G7" t="s">
        <v>86</v>
      </c>
      <c r="H7" s="4" t="s">
        <v>151</v>
      </c>
    </row>
    <row r="8" spans="1:9" x14ac:dyDescent="0.3">
      <c r="A8">
        <v>6</v>
      </c>
      <c r="B8" t="s">
        <v>36</v>
      </c>
      <c r="C8" t="s">
        <v>12</v>
      </c>
      <c r="D8" t="s">
        <v>148</v>
      </c>
      <c r="E8">
        <v>15</v>
      </c>
      <c r="F8">
        <v>7</v>
      </c>
      <c r="G8" t="s">
        <v>97</v>
      </c>
      <c r="H8" t="s">
        <v>129</v>
      </c>
      <c r="I8" t="s">
        <v>128</v>
      </c>
    </row>
    <row r="9" spans="1:9" x14ac:dyDescent="0.3">
      <c r="A9">
        <v>7</v>
      </c>
      <c r="B9" t="s">
        <v>19</v>
      </c>
      <c r="C9" t="s">
        <v>12</v>
      </c>
      <c r="D9" t="s">
        <v>148</v>
      </c>
      <c r="E9">
        <v>5</v>
      </c>
      <c r="F9">
        <v>6</v>
      </c>
      <c r="G9" t="s">
        <v>86</v>
      </c>
      <c r="H9" t="s">
        <v>99</v>
      </c>
    </row>
    <row r="10" spans="1:9" x14ac:dyDescent="0.3">
      <c r="A10">
        <v>8</v>
      </c>
      <c r="B10" t="s">
        <v>50</v>
      </c>
      <c r="C10" t="s">
        <v>28</v>
      </c>
      <c r="D10" t="s">
        <v>147</v>
      </c>
      <c r="E10" t="s">
        <v>90</v>
      </c>
      <c r="F10" t="s">
        <v>90</v>
      </c>
      <c r="G10" t="s">
        <v>86</v>
      </c>
      <c r="H10" t="s">
        <v>89</v>
      </c>
    </row>
    <row r="11" spans="1:9" x14ac:dyDescent="0.3">
      <c r="A11">
        <v>9</v>
      </c>
      <c r="B11" t="s">
        <v>30</v>
      </c>
      <c r="C11" t="s">
        <v>12</v>
      </c>
      <c r="D11" t="s">
        <v>147</v>
      </c>
      <c r="E11" t="s">
        <v>110</v>
      </c>
      <c r="F11" t="s">
        <v>111</v>
      </c>
      <c r="G11" t="s">
        <v>86</v>
      </c>
      <c r="H11" t="s">
        <v>89</v>
      </c>
    </row>
    <row r="12" spans="1:9" x14ac:dyDescent="0.3">
      <c r="A12">
        <v>10</v>
      </c>
      <c r="B12" t="s">
        <v>47</v>
      </c>
      <c r="C12" t="s">
        <v>22</v>
      </c>
      <c r="D12" t="s">
        <v>148</v>
      </c>
      <c r="E12" t="s">
        <v>84</v>
      </c>
      <c r="F12" t="s">
        <v>84</v>
      </c>
      <c r="G12" t="s">
        <v>116</v>
      </c>
      <c r="H12" t="s">
        <v>115</v>
      </c>
      <c r="I12" t="s">
        <v>114</v>
      </c>
    </row>
    <row r="14" spans="1:9" s="1" customFormat="1" x14ac:dyDescent="0.3">
      <c r="A14" s="1" t="s">
        <v>153</v>
      </c>
    </row>
    <row r="15" spans="1:9" x14ac:dyDescent="0.3">
      <c r="A15" t="s">
        <v>144</v>
      </c>
      <c r="B15" t="s">
        <v>0</v>
      </c>
      <c r="C15" t="s">
        <v>3</v>
      </c>
      <c r="D15" t="s">
        <v>146</v>
      </c>
      <c r="E15" t="s">
        <v>76</v>
      </c>
      <c r="F15" t="s">
        <v>79</v>
      </c>
      <c r="G15" t="s">
        <v>74</v>
      </c>
      <c r="H15" t="s">
        <v>5</v>
      </c>
      <c r="I15" t="s">
        <v>4</v>
      </c>
    </row>
    <row r="16" spans="1:9" x14ac:dyDescent="0.3">
      <c r="A16">
        <v>1</v>
      </c>
      <c r="B16" t="s">
        <v>33</v>
      </c>
      <c r="C16" t="s">
        <v>12</v>
      </c>
      <c r="D16" t="s">
        <v>154</v>
      </c>
      <c r="E16">
        <v>7</v>
      </c>
      <c r="F16">
        <v>7</v>
      </c>
      <c r="G16" t="s">
        <v>134</v>
      </c>
      <c r="H16" t="s">
        <v>135</v>
      </c>
    </row>
    <row r="17" spans="1:9" x14ac:dyDescent="0.3">
      <c r="A17">
        <v>2</v>
      </c>
      <c r="B17" t="s">
        <v>83</v>
      </c>
      <c r="C17" t="s">
        <v>12</v>
      </c>
      <c r="D17" t="s">
        <v>156</v>
      </c>
      <c r="E17" t="s">
        <v>77</v>
      </c>
      <c r="F17" t="s">
        <v>94</v>
      </c>
      <c r="G17" t="s">
        <v>80</v>
      </c>
      <c r="H17" t="s">
        <v>127</v>
      </c>
    </row>
    <row r="18" spans="1:9" x14ac:dyDescent="0.3">
      <c r="A18">
        <v>3</v>
      </c>
      <c r="B18" t="s">
        <v>37</v>
      </c>
      <c r="C18" t="s">
        <v>12</v>
      </c>
      <c r="D18" t="s">
        <v>155</v>
      </c>
      <c r="E18" t="s">
        <v>124</v>
      </c>
      <c r="F18" t="s">
        <v>124</v>
      </c>
      <c r="G18" t="s">
        <v>91</v>
      </c>
      <c r="H18" t="s">
        <v>130</v>
      </c>
      <c r="I18" t="s">
        <v>128</v>
      </c>
    </row>
  </sheetData>
  <hyperlinks>
    <hyperlink ref="H7" r:id="rId1" display="https://www.chicagobotanic.org/plantcollections/plantfinder/hydrangea_paniculata_kyushu--kyushu_panicle_hydrangea" xr:uid="{DE827676-E63D-47B9-9AB0-C97E5215FA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9618-893F-45CA-A6AD-3D3D5D3EF3B4}">
  <dimension ref="A1:Y26"/>
  <sheetViews>
    <sheetView topLeftCell="M1" workbookViewId="0">
      <selection activeCell="S6" sqref="S6"/>
    </sheetView>
  </sheetViews>
  <sheetFormatPr defaultRowHeight="14.4" x14ac:dyDescent="0.3"/>
  <cols>
    <col min="8" max="8" width="25.33203125" bestFit="1" customWidth="1"/>
    <col min="9" max="9" width="20.6640625" bestFit="1" customWidth="1"/>
    <col min="10" max="14" width="20.6640625" customWidth="1"/>
    <col min="15" max="15" width="14.6640625" bestFit="1" customWidth="1"/>
    <col min="17" max="18" width="10.109375" style="2" bestFit="1" customWidth="1"/>
  </cols>
  <sheetData>
    <row r="1" spans="1:25" x14ac:dyDescent="0.3">
      <c r="A1" t="s">
        <v>159</v>
      </c>
      <c r="B1" t="s">
        <v>158</v>
      </c>
      <c r="C1" t="s">
        <v>143</v>
      </c>
      <c r="D1" t="s">
        <v>142</v>
      </c>
      <c r="E1" t="s">
        <v>141</v>
      </c>
      <c r="F1" t="s">
        <v>140</v>
      </c>
      <c r="G1" t="s">
        <v>160</v>
      </c>
      <c r="H1" t="s">
        <v>0</v>
      </c>
      <c r="I1" t="s">
        <v>1</v>
      </c>
      <c r="J1" t="s">
        <v>161</v>
      </c>
      <c r="K1" t="s">
        <v>137</v>
      </c>
      <c r="L1" t="s">
        <v>136</v>
      </c>
      <c r="M1" t="s">
        <v>138</v>
      </c>
      <c r="N1" t="s">
        <v>139</v>
      </c>
      <c r="O1" t="s">
        <v>2</v>
      </c>
      <c r="P1" t="s">
        <v>3</v>
      </c>
      <c r="Q1" s="2" t="s">
        <v>72</v>
      </c>
      <c r="R1" s="2" t="s">
        <v>73</v>
      </c>
      <c r="S1" t="s">
        <v>76</v>
      </c>
      <c r="T1" t="s">
        <v>79</v>
      </c>
      <c r="U1" t="s">
        <v>74</v>
      </c>
      <c r="V1" t="s">
        <v>75</v>
      </c>
      <c r="W1" t="s">
        <v>81</v>
      </c>
      <c r="X1" t="s">
        <v>5</v>
      </c>
      <c r="Y1" t="s">
        <v>4</v>
      </c>
    </row>
    <row r="2" spans="1:25" x14ac:dyDescent="0.3">
      <c r="A2">
        <v>1</v>
      </c>
      <c r="B2">
        <f>SUM(C2:G2)/5</f>
        <v>3.2</v>
      </c>
      <c r="C2">
        <v>2</v>
      </c>
      <c r="D2">
        <v>3</v>
      </c>
      <c r="E2">
        <v>3</v>
      </c>
      <c r="F2">
        <v>6</v>
      </c>
      <c r="G2">
        <v>2</v>
      </c>
      <c r="H2" t="s">
        <v>53</v>
      </c>
      <c r="I2" t="s">
        <v>10</v>
      </c>
      <c r="J2">
        <v>1.1120000000000001</v>
      </c>
      <c r="K2">
        <v>40</v>
      </c>
      <c r="L2">
        <v>9</v>
      </c>
      <c r="M2">
        <v>3.7</v>
      </c>
      <c r="N2">
        <v>25</v>
      </c>
      <c r="O2" t="s">
        <v>11</v>
      </c>
      <c r="P2" t="s">
        <v>22</v>
      </c>
      <c r="Q2" s="2">
        <v>44013</v>
      </c>
      <c r="R2" s="2">
        <v>44075</v>
      </c>
      <c r="S2" t="s">
        <v>84</v>
      </c>
      <c r="T2" t="s">
        <v>85</v>
      </c>
      <c r="U2" t="s">
        <v>86</v>
      </c>
      <c r="V2" t="s">
        <v>87</v>
      </c>
      <c r="W2" t="s">
        <v>88</v>
      </c>
      <c r="X2" t="s">
        <v>89</v>
      </c>
    </row>
    <row r="3" spans="1:25" x14ac:dyDescent="0.3">
      <c r="A3">
        <v>2</v>
      </c>
      <c r="B3">
        <f>SUM(C3:G3)/5</f>
        <v>3.4</v>
      </c>
      <c r="C3">
        <v>3</v>
      </c>
      <c r="D3">
        <v>3</v>
      </c>
      <c r="E3">
        <v>8</v>
      </c>
      <c r="F3">
        <v>1</v>
      </c>
      <c r="G3">
        <v>2</v>
      </c>
      <c r="H3" t="s">
        <v>31</v>
      </c>
      <c r="I3" t="s">
        <v>10</v>
      </c>
      <c r="J3">
        <v>1.1499999999999999</v>
      </c>
      <c r="K3">
        <v>80</v>
      </c>
      <c r="L3">
        <v>4</v>
      </c>
      <c r="M3">
        <v>3.52</v>
      </c>
      <c r="N3">
        <v>23</v>
      </c>
      <c r="O3" t="s">
        <v>11</v>
      </c>
      <c r="P3" t="s">
        <v>32</v>
      </c>
      <c r="Q3" s="2">
        <v>44044</v>
      </c>
      <c r="R3" s="2">
        <v>44105</v>
      </c>
      <c r="S3" t="s">
        <v>112</v>
      </c>
      <c r="T3" t="s">
        <v>112</v>
      </c>
      <c r="U3" t="s">
        <v>91</v>
      </c>
      <c r="V3" t="s">
        <v>88</v>
      </c>
      <c r="W3" t="s">
        <v>113</v>
      </c>
      <c r="X3" t="s">
        <v>152</v>
      </c>
      <c r="Y3" t="s">
        <v>105</v>
      </c>
    </row>
    <row r="4" spans="1:25" x14ac:dyDescent="0.3">
      <c r="A4">
        <v>3</v>
      </c>
      <c r="B4">
        <f>SUM(C4:G4)/5</f>
        <v>4</v>
      </c>
      <c r="C4">
        <v>1</v>
      </c>
      <c r="D4">
        <v>3</v>
      </c>
      <c r="E4">
        <v>3</v>
      </c>
      <c r="F4">
        <v>11</v>
      </c>
      <c r="G4">
        <v>2</v>
      </c>
      <c r="H4" t="s">
        <v>56</v>
      </c>
      <c r="I4" t="s">
        <v>10</v>
      </c>
      <c r="J4">
        <v>1.423</v>
      </c>
      <c r="K4">
        <v>26</v>
      </c>
      <c r="L4">
        <v>9</v>
      </c>
      <c r="M4">
        <v>3.75</v>
      </c>
      <c r="N4">
        <v>33</v>
      </c>
      <c r="O4" t="s">
        <v>11</v>
      </c>
      <c r="P4" t="s">
        <v>28</v>
      </c>
      <c r="Q4" s="2">
        <v>44013</v>
      </c>
      <c r="R4" s="2">
        <v>44105</v>
      </c>
      <c r="S4" t="s">
        <v>84</v>
      </c>
      <c r="T4" t="s">
        <v>84</v>
      </c>
      <c r="U4" t="s">
        <v>103</v>
      </c>
      <c r="W4" t="s">
        <v>93</v>
      </c>
      <c r="X4" t="s">
        <v>119</v>
      </c>
      <c r="Y4" t="s">
        <v>118</v>
      </c>
    </row>
    <row r="5" spans="1:25" x14ac:dyDescent="0.3">
      <c r="A5">
        <v>4</v>
      </c>
      <c r="B5">
        <f>SUM(C5:G5)/5</f>
        <v>4.2</v>
      </c>
      <c r="C5">
        <v>6</v>
      </c>
      <c r="D5">
        <v>3</v>
      </c>
      <c r="E5">
        <v>7</v>
      </c>
      <c r="F5">
        <v>3</v>
      </c>
      <c r="G5">
        <v>2</v>
      </c>
      <c r="H5" t="s">
        <v>39</v>
      </c>
      <c r="I5" t="s">
        <v>10</v>
      </c>
      <c r="J5">
        <v>1.4410000000000001</v>
      </c>
      <c r="K5">
        <v>54</v>
      </c>
      <c r="L5">
        <v>5</v>
      </c>
      <c r="M5">
        <v>3.52</v>
      </c>
      <c r="N5">
        <v>19</v>
      </c>
      <c r="O5" t="s">
        <v>11</v>
      </c>
      <c r="P5" t="s">
        <v>12</v>
      </c>
      <c r="Q5" s="2">
        <v>43952</v>
      </c>
      <c r="R5" s="2">
        <v>44105</v>
      </c>
      <c r="S5" t="s">
        <v>84</v>
      </c>
      <c r="T5" t="s">
        <v>84</v>
      </c>
      <c r="U5" t="s">
        <v>86</v>
      </c>
      <c r="V5" t="s">
        <v>87</v>
      </c>
      <c r="W5" t="s">
        <v>93</v>
      </c>
      <c r="X5" t="s">
        <v>151</v>
      </c>
    </row>
    <row r="6" spans="1:25" x14ac:dyDescent="0.3">
      <c r="A6">
        <v>5</v>
      </c>
      <c r="B6">
        <f>SUM(C6:G6)/2</f>
        <v>4.5</v>
      </c>
      <c r="C6">
        <v>6</v>
      </c>
      <c r="D6">
        <v>3</v>
      </c>
      <c r="E6" t="s">
        <v>157</v>
      </c>
      <c r="F6" t="s">
        <v>157</v>
      </c>
      <c r="G6" t="s">
        <v>157</v>
      </c>
      <c r="H6" t="s">
        <v>131</v>
      </c>
      <c r="I6" t="s">
        <v>10</v>
      </c>
      <c r="J6" t="s">
        <v>157</v>
      </c>
      <c r="M6">
        <v>3.56</v>
      </c>
      <c r="N6">
        <v>19</v>
      </c>
      <c r="O6" t="s">
        <v>11</v>
      </c>
      <c r="P6" t="s">
        <v>12</v>
      </c>
      <c r="Q6" s="2">
        <v>44013</v>
      </c>
      <c r="R6" s="2">
        <v>44075</v>
      </c>
      <c r="S6" t="s">
        <v>123</v>
      </c>
      <c r="T6" t="s">
        <v>132</v>
      </c>
      <c r="U6" t="s">
        <v>86</v>
      </c>
      <c r="V6" t="s">
        <v>87</v>
      </c>
      <c r="W6" t="s">
        <v>88</v>
      </c>
      <c r="X6" t="s">
        <v>133</v>
      </c>
    </row>
    <row r="7" spans="1:25" x14ac:dyDescent="0.3">
      <c r="A7">
        <v>6</v>
      </c>
      <c r="B7">
        <f>SUM(C7:G7)/5</f>
        <v>4.5999999999999996</v>
      </c>
      <c r="C7">
        <v>6</v>
      </c>
      <c r="D7">
        <v>4</v>
      </c>
      <c r="E7">
        <v>7</v>
      </c>
      <c r="F7">
        <v>5</v>
      </c>
      <c r="G7">
        <v>1</v>
      </c>
      <c r="H7" t="s">
        <v>19</v>
      </c>
      <c r="I7" t="s">
        <v>10</v>
      </c>
      <c r="J7">
        <v>1.58</v>
      </c>
      <c r="K7">
        <v>43</v>
      </c>
      <c r="L7">
        <v>5</v>
      </c>
      <c r="M7">
        <v>3.46</v>
      </c>
      <c r="N7">
        <v>19</v>
      </c>
      <c r="O7" t="s">
        <v>11</v>
      </c>
      <c r="P7" t="s">
        <v>12</v>
      </c>
      <c r="Q7" s="2">
        <v>44013</v>
      </c>
      <c r="R7" s="2">
        <v>44105</v>
      </c>
      <c r="S7">
        <v>5</v>
      </c>
      <c r="T7">
        <v>6</v>
      </c>
      <c r="U7" t="s">
        <v>86</v>
      </c>
      <c r="V7" t="s">
        <v>98</v>
      </c>
      <c r="W7" t="s">
        <v>93</v>
      </c>
      <c r="X7" t="s">
        <v>99</v>
      </c>
    </row>
    <row r="8" spans="1:25" x14ac:dyDescent="0.3">
      <c r="A8">
        <v>6</v>
      </c>
      <c r="B8">
        <f>SUM(C8:G8)/5</f>
        <v>4.5999999999999996</v>
      </c>
      <c r="C8">
        <v>7</v>
      </c>
      <c r="D8">
        <v>5</v>
      </c>
      <c r="E8">
        <v>8</v>
      </c>
      <c r="F8">
        <v>2</v>
      </c>
      <c r="G8">
        <v>1</v>
      </c>
      <c r="H8" t="s">
        <v>50</v>
      </c>
      <c r="I8" t="s">
        <v>10</v>
      </c>
      <c r="J8">
        <v>1.5609999999999999</v>
      </c>
      <c r="K8">
        <v>66</v>
      </c>
      <c r="L8">
        <v>4</v>
      </c>
      <c r="M8">
        <v>2.9</v>
      </c>
      <c r="N8">
        <v>17</v>
      </c>
      <c r="O8" t="s">
        <v>11</v>
      </c>
      <c r="P8" t="s">
        <v>28</v>
      </c>
      <c r="Q8" s="2">
        <v>44013</v>
      </c>
      <c r="R8" s="2">
        <v>44075</v>
      </c>
      <c r="S8" t="s">
        <v>90</v>
      </c>
      <c r="T8" t="s">
        <v>90</v>
      </c>
      <c r="U8" t="s">
        <v>86</v>
      </c>
      <c r="V8" t="s">
        <v>87</v>
      </c>
      <c r="W8" t="s">
        <v>88</v>
      </c>
      <c r="X8" t="s">
        <v>89</v>
      </c>
    </row>
    <row r="9" spans="1:25" x14ac:dyDescent="0.3">
      <c r="A9" s="5">
        <v>6</v>
      </c>
      <c r="B9">
        <f>SUM(C9:G9)/3</f>
        <v>4.666666666666667</v>
      </c>
      <c r="C9" s="5" t="s">
        <v>157</v>
      </c>
      <c r="D9" s="5" t="s">
        <v>157</v>
      </c>
      <c r="E9" s="5">
        <v>8</v>
      </c>
      <c r="F9" s="5">
        <v>3</v>
      </c>
      <c r="G9" s="5">
        <v>3</v>
      </c>
      <c r="H9" s="5" t="s">
        <v>83</v>
      </c>
      <c r="I9" s="5" t="s">
        <v>7</v>
      </c>
      <c r="J9" s="5">
        <v>0.753</v>
      </c>
      <c r="K9" s="5">
        <v>54</v>
      </c>
      <c r="L9" s="5">
        <v>4</v>
      </c>
      <c r="M9" s="5"/>
      <c r="N9" s="5"/>
      <c r="O9" s="5" t="s">
        <v>34</v>
      </c>
      <c r="P9" s="5" t="s">
        <v>12</v>
      </c>
      <c r="Q9" s="6">
        <v>43983</v>
      </c>
      <c r="R9" s="6">
        <v>44044</v>
      </c>
      <c r="S9" s="5" t="s">
        <v>77</v>
      </c>
      <c r="T9" s="5" t="s">
        <v>94</v>
      </c>
      <c r="U9" s="5" t="s">
        <v>80</v>
      </c>
      <c r="V9" s="5" t="s">
        <v>87</v>
      </c>
      <c r="W9" s="5" t="s">
        <v>82</v>
      </c>
      <c r="X9" s="5" t="s">
        <v>127</v>
      </c>
      <c r="Y9" s="5"/>
    </row>
    <row r="10" spans="1:25" s="5" customFormat="1" x14ac:dyDescent="0.3">
      <c r="A10">
        <v>7</v>
      </c>
      <c r="B10">
        <f>SUM(C10:G10)/5</f>
        <v>4.8</v>
      </c>
      <c r="C10">
        <v>11</v>
      </c>
      <c r="D10">
        <v>1</v>
      </c>
      <c r="E10">
        <v>4</v>
      </c>
      <c r="F10">
        <v>5</v>
      </c>
      <c r="G10">
        <v>3</v>
      </c>
      <c r="H10" t="s">
        <v>23</v>
      </c>
      <c r="I10" t="s">
        <v>10</v>
      </c>
      <c r="J10">
        <f>0.807</f>
        <v>0.80700000000000005</v>
      </c>
      <c r="K10">
        <v>43</v>
      </c>
      <c r="L10">
        <v>8</v>
      </c>
      <c r="M10">
        <v>7.17</v>
      </c>
      <c r="N10">
        <v>12</v>
      </c>
      <c r="O10" t="s">
        <v>11</v>
      </c>
      <c r="P10" t="s">
        <v>12</v>
      </c>
      <c r="Q10" s="2">
        <v>44013</v>
      </c>
      <c r="R10" s="2">
        <v>44075</v>
      </c>
      <c r="S10" t="s">
        <v>94</v>
      </c>
      <c r="T10" t="s">
        <v>94</v>
      </c>
      <c r="U10" t="s">
        <v>86</v>
      </c>
      <c r="V10" t="s">
        <v>87</v>
      </c>
      <c r="W10" t="s">
        <v>93</v>
      </c>
      <c r="X10" t="s">
        <v>101</v>
      </c>
      <c r="Y10"/>
    </row>
    <row r="11" spans="1:25" x14ac:dyDescent="0.3">
      <c r="A11">
        <v>8</v>
      </c>
      <c r="B11">
        <f>SUM(C11:G11)/5</f>
        <v>5.2</v>
      </c>
      <c r="C11">
        <v>8</v>
      </c>
      <c r="D11">
        <v>3</v>
      </c>
      <c r="E11">
        <v>8</v>
      </c>
      <c r="F11">
        <v>4</v>
      </c>
      <c r="G11">
        <v>3</v>
      </c>
      <c r="H11" t="s">
        <v>36</v>
      </c>
      <c r="I11" t="s">
        <v>10</v>
      </c>
      <c r="J11">
        <v>0.97899999999999998</v>
      </c>
      <c r="K11">
        <v>50</v>
      </c>
      <c r="L11">
        <v>4</v>
      </c>
      <c r="M11">
        <v>3.76</v>
      </c>
      <c r="N11">
        <v>16</v>
      </c>
      <c r="O11" t="s">
        <v>11</v>
      </c>
      <c r="P11" t="s">
        <v>12</v>
      </c>
      <c r="Q11" s="2">
        <v>44013</v>
      </c>
      <c r="R11" s="2">
        <v>44105</v>
      </c>
      <c r="S11">
        <v>15</v>
      </c>
      <c r="T11">
        <v>7</v>
      </c>
      <c r="U11" t="s">
        <v>97</v>
      </c>
      <c r="V11" t="s">
        <v>93</v>
      </c>
      <c r="W11" t="s">
        <v>88</v>
      </c>
      <c r="X11" t="s">
        <v>129</v>
      </c>
      <c r="Y11" t="s">
        <v>128</v>
      </c>
    </row>
    <row r="12" spans="1:25" x14ac:dyDescent="0.3">
      <c r="A12" s="5">
        <v>9</v>
      </c>
      <c r="B12">
        <f>SUM(C12:G12)/3</f>
        <v>5.333333333333333</v>
      </c>
      <c r="C12" s="5" t="s">
        <v>157</v>
      </c>
      <c r="D12" s="5" t="s">
        <v>157</v>
      </c>
      <c r="E12" s="5">
        <v>5</v>
      </c>
      <c r="F12" s="5">
        <v>8</v>
      </c>
      <c r="G12" s="5">
        <v>3</v>
      </c>
      <c r="H12" s="5" t="s">
        <v>33</v>
      </c>
      <c r="I12" s="5" t="s">
        <v>7</v>
      </c>
      <c r="J12" s="5">
        <v>0.59599999999999997</v>
      </c>
      <c r="K12" s="5">
        <v>36</v>
      </c>
      <c r="L12" s="5">
        <v>7</v>
      </c>
      <c r="M12" s="5"/>
      <c r="N12" s="5"/>
      <c r="O12" s="5" t="s">
        <v>34</v>
      </c>
      <c r="P12" s="5" t="s">
        <v>12</v>
      </c>
      <c r="Q12" s="6">
        <v>43983</v>
      </c>
      <c r="R12" s="6">
        <v>44013</v>
      </c>
      <c r="S12" s="5">
        <v>7</v>
      </c>
      <c r="T12" s="5">
        <v>7</v>
      </c>
      <c r="U12" s="5" t="s">
        <v>134</v>
      </c>
      <c r="V12" s="5" t="s">
        <v>93</v>
      </c>
      <c r="W12" s="5" t="s">
        <v>93</v>
      </c>
      <c r="X12" s="5" t="s">
        <v>135</v>
      </c>
      <c r="Y12" s="5"/>
    </row>
    <row r="13" spans="1:25" s="5" customFormat="1" x14ac:dyDescent="0.3">
      <c r="A13">
        <v>10</v>
      </c>
      <c r="B13">
        <f t="shared" ref="B13:B21" si="0">SUM(C13:G13)/5</f>
        <v>5.6</v>
      </c>
      <c r="C13">
        <v>5</v>
      </c>
      <c r="D13">
        <v>4</v>
      </c>
      <c r="E13">
        <v>5</v>
      </c>
      <c r="F13">
        <v>12</v>
      </c>
      <c r="G13">
        <v>2</v>
      </c>
      <c r="H13" t="s">
        <v>30</v>
      </c>
      <c r="I13" t="s">
        <v>10</v>
      </c>
      <c r="J13">
        <v>1.1499999999999999</v>
      </c>
      <c r="K13">
        <v>25.5</v>
      </c>
      <c r="L13">
        <v>7</v>
      </c>
      <c r="M13">
        <v>3.08</v>
      </c>
      <c r="N13">
        <v>20</v>
      </c>
      <c r="O13" t="s">
        <v>11</v>
      </c>
      <c r="P13" t="s">
        <v>12</v>
      </c>
      <c r="Q13" s="2">
        <v>44013</v>
      </c>
      <c r="R13" s="2">
        <v>44075</v>
      </c>
      <c r="S13" t="s">
        <v>110</v>
      </c>
      <c r="T13" t="s">
        <v>111</v>
      </c>
      <c r="U13" t="s">
        <v>86</v>
      </c>
      <c r="V13" t="s">
        <v>87</v>
      </c>
      <c r="W13" t="s">
        <v>88</v>
      </c>
      <c r="X13" t="s">
        <v>89</v>
      </c>
      <c r="Y13"/>
    </row>
    <row r="14" spans="1:25" x14ac:dyDescent="0.3">
      <c r="A14">
        <v>11</v>
      </c>
      <c r="B14">
        <f t="shared" si="0"/>
        <v>5.8</v>
      </c>
      <c r="C14">
        <v>9</v>
      </c>
      <c r="D14">
        <v>5</v>
      </c>
      <c r="E14">
        <v>4</v>
      </c>
      <c r="F14">
        <v>9</v>
      </c>
      <c r="G14">
        <v>2</v>
      </c>
      <c r="H14" t="s">
        <v>47</v>
      </c>
      <c r="I14" t="s">
        <v>10</v>
      </c>
      <c r="J14">
        <v>1.1559999999999999</v>
      </c>
      <c r="K14">
        <v>35</v>
      </c>
      <c r="L14">
        <v>8</v>
      </c>
      <c r="M14">
        <v>2.0499999999999998</v>
      </c>
      <c r="N14">
        <v>14</v>
      </c>
      <c r="O14" t="s">
        <v>17</v>
      </c>
      <c r="P14" t="s">
        <v>22</v>
      </c>
      <c r="Q14" s="2">
        <v>44013</v>
      </c>
      <c r="R14" s="2">
        <v>44105</v>
      </c>
      <c r="S14" t="s">
        <v>84</v>
      </c>
      <c r="T14" t="s">
        <v>84</v>
      </c>
      <c r="U14" t="s">
        <v>116</v>
      </c>
      <c r="V14" t="s">
        <v>87</v>
      </c>
      <c r="W14" t="s">
        <v>93</v>
      </c>
      <c r="X14" t="s">
        <v>115</v>
      </c>
      <c r="Y14" t="s">
        <v>114</v>
      </c>
    </row>
    <row r="15" spans="1:25" s="7" customFormat="1" x14ac:dyDescent="0.3">
      <c r="A15" s="7">
        <v>12</v>
      </c>
      <c r="B15">
        <f t="shared" si="0"/>
        <v>6.4</v>
      </c>
      <c r="C15" s="7">
        <v>15</v>
      </c>
      <c r="D15" s="7">
        <v>6</v>
      </c>
      <c r="E15" s="7">
        <v>2</v>
      </c>
      <c r="F15" s="7">
        <v>7</v>
      </c>
      <c r="G15" s="7">
        <v>2</v>
      </c>
      <c r="H15" s="7" t="s">
        <v>64</v>
      </c>
      <c r="I15" s="7" t="s">
        <v>10</v>
      </c>
      <c r="J15" s="7">
        <v>1.17</v>
      </c>
      <c r="K15" s="7">
        <v>37</v>
      </c>
      <c r="L15" s="7">
        <v>11</v>
      </c>
      <c r="M15" s="7">
        <v>1</v>
      </c>
      <c r="N15" s="7">
        <v>2</v>
      </c>
      <c r="O15" s="7" t="s">
        <v>17</v>
      </c>
      <c r="P15" s="7" t="s">
        <v>22</v>
      </c>
      <c r="Q15" s="8">
        <v>44013</v>
      </c>
      <c r="R15" s="8">
        <v>44075</v>
      </c>
      <c r="S15" s="7" t="s">
        <v>124</v>
      </c>
      <c r="T15" s="7" t="s">
        <v>94</v>
      </c>
      <c r="U15" s="7" t="s">
        <v>91</v>
      </c>
      <c r="V15" s="7" t="s">
        <v>87</v>
      </c>
      <c r="W15" s="7" t="s">
        <v>93</v>
      </c>
      <c r="X15" s="7" t="s">
        <v>126</v>
      </c>
    </row>
    <row r="16" spans="1:25" x14ac:dyDescent="0.3">
      <c r="A16">
        <v>13</v>
      </c>
      <c r="B16">
        <f t="shared" si="0"/>
        <v>6.6</v>
      </c>
      <c r="C16">
        <v>6</v>
      </c>
      <c r="D16">
        <v>3</v>
      </c>
      <c r="E16">
        <v>8</v>
      </c>
      <c r="F16">
        <v>14</v>
      </c>
      <c r="G16">
        <v>2</v>
      </c>
      <c r="H16" t="s">
        <v>29</v>
      </c>
      <c r="I16" t="s">
        <v>10</v>
      </c>
      <c r="J16">
        <v>1.03</v>
      </c>
      <c r="K16">
        <v>19</v>
      </c>
      <c r="L16">
        <v>4</v>
      </c>
      <c r="M16">
        <v>4</v>
      </c>
      <c r="N16">
        <v>19</v>
      </c>
      <c r="O16" t="s">
        <v>11</v>
      </c>
      <c r="P16" t="s">
        <v>12</v>
      </c>
      <c r="Q16" s="2">
        <v>44044</v>
      </c>
      <c r="R16" s="2">
        <v>44105</v>
      </c>
      <c r="S16" t="s">
        <v>106</v>
      </c>
      <c r="T16" t="s">
        <v>107</v>
      </c>
      <c r="U16" t="s">
        <v>86</v>
      </c>
      <c r="V16" t="s">
        <v>108</v>
      </c>
      <c r="W16" t="s">
        <v>93</v>
      </c>
      <c r="X16" t="s">
        <v>109</v>
      </c>
      <c r="Y16" t="s">
        <v>105</v>
      </c>
    </row>
    <row r="17" spans="1:25" x14ac:dyDescent="0.3">
      <c r="A17">
        <v>14</v>
      </c>
      <c r="B17">
        <f t="shared" si="0"/>
        <v>6.8</v>
      </c>
      <c r="C17">
        <v>4</v>
      </c>
      <c r="D17">
        <v>2</v>
      </c>
      <c r="E17">
        <v>9</v>
      </c>
      <c r="F17">
        <v>16</v>
      </c>
      <c r="G17">
        <v>3</v>
      </c>
      <c r="H17" t="s">
        <v>15</v>
      </c>
      <c r="I17" t="s">
        <v>10</v>
      </c>
      <c r="J17">
        <v>0.92800000000000005</v>
      </c>
      <c r="K17">
        <v>15</v>
      </c>
      <c r="L17">
        <v>1</v>
      </c>
      <c r="M17">
        <v>5.34</v>
      </c>
      <c r="N17">
        <v>22</v>
      </c>
      <c r="O17" t="s">
        <v>11</v>
      </c>
      <c r="P17" t="s">
        <v>12</v>
      </c>
      <c r="Q17" s="2">
        <v>44044</v>
      </c>
      <c r="R17" s="2">
        <v>44136</v>
      </c>
      <c r="S17">
        <v>19</v>
      </c>
      <c r="T17">
        <v>10</v>
      </c>
      <c r="U17" t="s">
        <v>97</v>
      </c>
      <c r="V17" t="s">
        <v>87</v>
      </c>
      <c r="W17" t="s">
        <v>88</v>
      </c>
      <c r="X17" t="s">
        <v>96</v>
      </c>
    </row>
    <row r="18" spans="1:25" x14ac:dyDescent="0.3">
      <c r="A18">
        <v>15</v>
      </c>
      <c r="B18">
        <f t="shared" si="0"/>
        <v>7</v>
      </c>
      <c r="C18">
        <v>14</v>
      </c>
      <c r="D18">
        <v>6</v>
      </c>
      <c r="E18">
        <v>1</v>
      </c>
      <c r="F18">
        <v>12</v>
      </c>
      <c r="G18">
        <v>2</v>
      </c>
      <c r="H18" t="s">
        <v>27</v>
      </c>
      <c r="I18" t="s">
        <v>10</v>
      </c>
      <c r="J18">
        <v>1.113</v>
      </c>
      <c r="K18">
        <v>25</v>
      </c>
      <c r="L18">
        <v>15</v>
      </c>
      <c r="M18">
        <v>1.33</v>
      </c>
      <c r="N18">
        <v>4</v>
      </c>
      <c r="O18" t="s">
        <v>17</v>
      </c>
      <c r="P18" t="s">
        <v>28</v>
      </c>
      <c r="Q18" s="2">
        <v>44014</v>
      </c>
      <c r="R18" s="2">
        <v>44075</v>
      </c>
      <c r="S18" t="s">
        <v>84</v>
      </c>
      <c r="T18" t="s">
        <v>102</v>
      </c>
      <c r="U18" t="s">
        <v>103</v>
      </c>
      <c r="V18" t="s">
        <v>93</v>
      </c>
      <c r="W18" t="s">
        <v>93</v>
      </c>
      <c r="X18" t="s">
        <v>104</v>
      </c>
    </row>
    <row r="19" spans="1:25" x14ac:dyDescent="0.3">
      <c r="A19">
        <v>15</v>
      </c>
      <c r="B19">
        <f t="shared" si="0"/>
        <v>7</v>
      </c>
      <c r="C19">
        <v>12</v>
      </c>
      <c r="D19">
        <v>5</v>
      </c>
      <c r="E19">
        <v>6</v>
      </c>
      <c r="F19">
        <v>10</v>
      </c>
      <c r="G19">
        <v>2</v>
      </c>
      <c r="H19" t="s">
        <v>120</v>
      </c>
      <c r="I19" t="s">
        <v>10</v>
      </c>
      <c r="J19">
        <v>1.214</v>
      </c>
      <c r="K19">
        <v>31.5</v>
      </c>
      <c r="L19">
        <v>6</v>
      </c>
      <c r="M19">
        <v>2.27</v>
      </c>
      <c r="N19">
        <v>11</v>
      </c>
      <c r="O19" t="s">
        <v>17</v>
      </c>
      <c r="P19" t="s">
        <v>28</v>
      </c>
      <c r="Q19" s="2">
        <v>44013</v>
      </c>
      <c r="R19" s="2">
        <v>44105</v>
      </c>
      <c r="S19" t="s">
        <v>123</v>
      </c>
      <c r="T19" t="s">
        <v>112</v>
      </c>
      <c r="U19" t="s">
        <v>91</v>
      </c>
      <c r="V19" t="s">
        <v>93</v>
      </c>
      <c r="W19" t="s">
        <v>93</v>
      </c>
      <c r="X19" t="s">
        <v>122</v>
      </c>
      <c r="Y19" t="s">
        <v>121</v>
      </c>
    </row>
    <row r="20" spans="1:25" x14ac:dyDescent="0.3">
      <c r="A20">
        <v>16</v>
      </c>
      <c r="B20">
        <f t="shared" si="0"/>
        <v>7.2</v>
      </c>
      <c r="C20">
        <v>11</v>
      </c>
      <c r="D20">
        <v>4</v>
      </c>
      <c r="E20">
        <v>6</v>
      </c>
      <c r="F20">
        <v>13</v>
      </c>
      <c r="G20">
        <v>2</v>
      </c>
      <c r="H20" t="s">
        <v>45</v>
      </c>
      <c r="I20" t="s">
        <v>10</v>
      </c>
      <c r="J20">
        <v>1.202</v>
      </c>
      <c r="K20">
        <v>20.5</v>
      </c>
      <c r="L20">
        <v>6</v>
      </c>
      <c r="M20">
        <v>3.39</v>
      </c>
      <c r="N20">
        <v>12</v>
      </c>
      <c r="O20" t="s">
        <v>11</v>
      </c>
      <c r="P20" t="s">
        <v>28</v>
      </c>
      <c r="Q20" s="2">
        <v>44013</v>
      </c>
      <c r="R20" s="2">
        <v>44105</v>
      </c>
      <c r="S20" t="s">
        <v>77</v>
      </c>
      <c r="T20" t="s">
        <v>77</v>
      </c>
      <c r="U20" t="s">
        <v>91</v>
      </c>
      <c r="V20" t="s">
        <v>87</v>
      </c>
      <c r="W20" t="s">
        <v>93</v>
      </c>
      <c r="X20" t="s">
        <v>92</v>
      </c>
    </row>
    <row r="21" spans="1:25" x14ac:dyDescent="0.3">
      <c r="A21">
        <v>16</v>
      </c>
      <c r="B21">
        <f t="shared" si="0"/>
        <v>7.2</v>
      </c>
      <c r="C21">
        <v>13</v>
      </c>
      <c r="D21">
        <v>5</v>
      </c>
      <c r="E21">
        <v>4</v>
      </c>
      <c r="F21">
        <v>11</v>
      </c>
      <c r="G21">
        <v>3</v>
      </c>
      <c r="H21" t="s">
        <v>48</v>
      </c>
      <c r="I21" t="s">
        <v>10</v>
      </c>
      <c r="J21">
        <v>0.9</v>
      </c>
      <c r="K21">
        <v>26.5</v>
      </c>
      <c r="L21">
        <v>8</v>
      </c>
      <c r="M21">
        <v>2</v>
      </c>
      <c r="N21">
        <v>8</v>
      </c>
      <c r="O21" t="s">
        <v>17</v>
      </c>
      <c r="P21" t="s">
        <v>12</v>
      </c>
      <c r="Q21" s="2">
        <v>44013</v>
      </c>
      <c r="R21" s="2">
        <v>44105</v>
      </c>
      <c r="S21">
        <v>6</v>
      </c>
      <c r="T21">
        <v>6</v>
      </c>
      <c r="U21" t="s">
        <v>86</v>
      </c>
      <c r="V21" t="s">
        <v>87</v>
      </c>
      <c r="W21" t="s">
        <v>93</v>
      </c>
      <c r="X21" t="s">
        <v>117</v>
      </c>
    </row>
    <row r="22" spans="1:25" x14ac:dyDescent="0.3">
      <c r="A22">
        <v>17</v>
      </c>
      <c r="B22">
        <f>SUM(C22:G22)/3</f>
        <v>7.333333333333333</v>
      </c>
      <c r="C22" t="s">
        <v>157</v>
      </c>
      <c r="D22" t="s">
        <v>157</v>
      </c>
      <c r="E22">
        <v>4</v>
      </c>
      <c r="F22">
        <v>15</v>
      </c>
      <c r="G22">
        <v>3</v>
      </c>
      <c r="H22" t="s">
        <v>20</v>
      </c>
      <c r="I22" t="s">
        <v>10</v>
      </c>
      <c r="J22">
        <v>0.98</v>
      </c>
      <c r="K22">
        <v>16</v>
      </c>
      <c r="L22">
        <v>8</v>
      </c>
      <c r="O22" t="s">
        <v>17</v>
      </c>
      <c r="P22" t="s">
        <v>12</v>
      </c>
      <c r="Q22" s="2">
        <v>43983</v>
      </c>
      <c r="R22" s="2">
        <v>44136</v>
      </c>
      <c r="S22">
        <v>5</v>
      </c>
      <c r="T22">
        <v>5</v>
      </c>
      <c r="U22" t="s">
        <v>97</v>
      </c>
      <c r="W22" t="s">
        <v>93</v>
      </c>
      <c r="X22" t="s">
        <v>100</v>
      </c>
    </row>
    <row r="23" spans="1:25" x14ac:dyDescent="0.3">
      <c r="A23">
        <v>18</v>
      </c>
      <c r="B23">
        <f>SUM(C23:G23)/3</f>
        <v>8.6666666666666661</v>
      </c>
      <c r="C23" t="s">
        <v>157</v>
      </c>
      <c r="D23" t="s">
        <v>157</v>
      </c>
      <c r="E23">
        <v>4</v>
      </c>
      <c r="F23">
        <v>18</v>
      </c>
      <c r="G23">
        <v>4</v>
      </c>
      <c r="H23" t="s">
        <v>37</v>
      </c>
      <c r="I23" t="s">
        <v>7</v>
      </c>
      <c r="J23">
        <v>0.41899999999999998</v>
      </c>
      <c r="K23">
        <v>4</v>
      </c>
      <c r="L23">
        <v>8</v>
      </c>
      <c r="O23" t="s">
        <v>8</v>
      </c>
      <c r="P23" t="s">
        <v>12</v>
      </c>
      <c r="Q23" s="2">
        <v>44013</v>
      </c>
      <c r="R23" s="2">
        <v>44044</v>
      </c>
      <c r="S23" t="s">
        <v>124</v>
      </c>
      <c r="T23" t="s">
        <v>124</v>
      </c>
      <c r="U23" t="s">
        <v>91</v>
      </c>
      <c r="V23" t="s">
        <v>93</v>
      </c>
      <c r="W23" t="s">
        <v>93</v>
      </c>
      <c r="X23" t="s">
        <v>130</v>
      </c>
      <c r="Y23" t="s">
        <v>128</v>
      </c>
    </row>
    <row r="24" spans="1:25" x14ac:dyDescent="0.3">
      <c r="A24">
        <v>19</v>
      </c>
      <c r="B24">
        <f>SUM(C24:G24)/5</f>
        <v>8.8000000000000007</v>
      </c>
      <c r="C24">
        <v>10</v>
      </c>
      <c r="D24">
        <v>5</v>
      </c>
      <c r="E24">
        <v>8</v>
      </c>
      <c r="F24">
        <v>17</v>
      </c>
      <c r="G24" s="5">
        <v>4</v>
      </c>
      <c r="H24" t="s">
        <v>9</v>
      </c>
      <c r="I24" t="s">
        <v>10</v>
      </c>
      <c r="J24">
        <v>0.33300000000000002</v>
      </c>
      <c r="K24">
        <v>14</v>
      </c>
      <c r="L24">
        <v>4</v>
      </c>
      <c r="M24">
        <v>2.2000000000000002</v>
      </c>
      <c r="N24">
        <f>13</f>
        <v>13</v>
      </c>
      <c r="O24" t="s">
        <v>11</v>
      </c>
      <c r="P24" t="s">
        <v>12</v>
      </c>
      <c r="Q24" s="2">
        <v>44013</v>
      </c>
      <c r="R24" s="2">
        <v>44075</v>
      </c>
      <c r="S24" t="s">
        <v>94</v>
      </c>
      <c r="T24" t="s">
        <v>94</v>
      </c>
      <c r="U24" t="s">
        <v>95</v>
      </c>
      <c r="V24" t="s">
        <v>87</v>
      </c>
      <c r="W24" t="s">
        <v>88</v>
      </c>
      <c r="X24" t="s">
        <v>89</v>
      </c>
    </row>
    <row r="25" spans="1:25" x14ac:dyDescent="0.3">
      <c r="A25">
        <v>19</v>
      </c>
      <c r="B25">
        <f>SUM(C25:G25)/5</f>
        <v>8.8000000000000007</v>
      </c>
      <c r="C25">
        <v>16</v>
      </c>
      <c r="D25">
        <v>6</v>
      </c>
      <c r="E25">
        <v>3</v>
      </c>
      <c r="F25">
        <v>16</v>
      </c>
      <c r="G25">
        <v>3</v>
      </c>
      <c r="H25" t="s">
        <v>63</v>
      </c>
      <c r="I25" t="s">
        <v>10</v>
      </c>
      <c r="J25">
        <v>0.63200000000000001</v>
      </c>
      <c r="K25">
        <v>15</v>
      </c>
      <c r="L25">
        <v>9</v>
      </c>
      <c r="M25">
        <v>1</v>
      </c>
      <c r="N25">
        <v>1</v>
      </c>
      <c r="O25" t="s">
        <v>17</v>
      </c>
      <c r="P25" t="s">
        <v>22</v>
      </c>
      <c r="Q25" s="2">
        <v>44013</v>
      </c>
      <c r="R25" s="2">
        <v>44044</v>
      </c>
      <c r="S25" t="s">
        <v>124</v>
      </c>
      <c r="T25">
        <v>4</v>
      </c>
      <c r="U25" t="s">
        <v>86</v>
      </c>
      <c r="V25" t="s">
        <v>93</v>
      </c>
      <c r="W25" t="s">
        <v>93</v>
      </c>
      <c r="X25" t="s">
        <v>125</v>
      </c>
      <c r="Y25" t="s">
        <v>121</v>
      </c>
    </row>
    <row r="26" spans="1:25" s="1" customFormat="1" x14ac:dyDescent="0.3">
      <c r="I26" s="1" t="s">
        <v>162</v>
      </c>
      <c r="J26" s="1">
        <f>AVERAGE(J2:J25)</f>
        <v>1.0273478260869562</v>
      </c>
      <c r="K26" s="1">
        <f t="shared" ref="K26:N26" si="1">AVERAGE(K2:K25)</f>
        <v>33.739130434782609</v>
      </c>
      <c r="L26" s="1">
        <f t="shared" si="1"/>
        <v>6.6956521739130439</v>
      </c>
      <c r="M26" s="1">
        <f t="shared" si="1"/>
        <v>3.1499999999999995</v>
      </c>
      <c r="N26" s="1">
        <f t="shared" si="1"/>
        <v>15.45</v>
      </c>
      <c r="Q26" s="3"/>
      <c r="R26" s="3"/>
    </row>
  </sheetData>
  <sortState xmlns:xlrd2="http://schemas.microsoft.com/office/spreadsheetml/2017/richdata2" ref="A2:Y26">
    <sortCondition ref="B2:B26"/>
  </sortState>
  <conditionalFormatting sqref="C1:G1048576">
    <cfRule type="containsText" dxfId="19" priority="1" operator="containsText" text="NA">
      <formula>NOT(ISERROR(SEARCH("NA",C1)))</formula>
    </cfRule>
  </conditionalFormatting>
  <hyperlinks>
    <hyperlink ref="X5" r:id="rId1" display="https://www.chicagobotanic.org/plantcollections/plantfinder/hydrangea_paniculata_kyushu--kyushu_panicle_hydrangea" xr:uid="{715D9EBD-512C-4138-A987-34FD2BC564C8}"/>
  </hyperlinks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AAF5-BFAF-414E-A508-FD0067E94290}">
  <dimension ref="A1:Q25"/>
  <sheetViews>
    <sheetView workbookViewId="0">
      <selection activeCell="C5" sqref="C5"/>
    </sheetView>
  </sheetViews>
  <sheetFormatPr defaultRowHeight="14.4" x14ac:dyDescent="0.3"/>
  <cols>
    <col min="1" max="1" width="25.33203125" bestFit="1" customWidth="1"/>
    <col min="2" max="2" width="20.6640625" style="9" customWidth="1"/>
    <col min="3" max="6" width="20.6640625" customWidth="1"/>
    <col min="7" max="7" width="14.6640625" bestFit="1" customWidth="1"/>
    <col min="9" max="10" width="10.109375" style="2" bestFit="1" customWidth="1"/>
  </cols>
  <sheetData>
    <row r="1" spans="1:17" x14ac:dyDescent="0.3">
      <c r="A1" t="s">
        <v>0</v>
      </c>
      <c r="B1" s="9" t="s">
        <v>161</v>
      </c>
      <c r="C1" t="s">
        <v>137</v>
      </c>
      <c r="D1" t="s">
        <v>136</v>
      </c>
      <c r="E1" t="s">
        <v>138</v>
      </c>
      <c r="F1" t="s">
        <v>139</v>
      </c>
      <c r="G1" t="s">
        <v>2</v>
      </c>
      <c r="H1" t="s">
        <v>3</v>
      </c>
      <c r="I1" s="2" t="s">
        <v>72</v>
      </c>
      <c r="J1" s="2" t="s">
        <v>73</v>
      </c>
      <c r="K1" t="s">
        <v>76</v>
      </c>
      <c r="L1" t="s">
        <v>79</v>
      </c>
      <c r="M1" t="s">
        <v>74</v>
      </c>
      <c r="N1" t="s">
        <v>75</v>
      </c>
      <c r="O1" t="s">
        <v>81</v>
      </c>
      <c r="P1" t="s">
        <v>5</v>
      </c>
      <c r="Q1" t="s">
        <v>4</v>
      </c>
    </row>
    <row r="2" spans="1:17" x14ac:dyDescent="0.3">
      <c r="A2" t="s">
        <v>9</v>
      </c>
      <c r="B2" s="9">
        <v>0.33300000000000002</v>
      </c>
      <c r="C2">
        <v>14</v>
      </c>
      <c r="D2">
        <v>4</v>
      </c>
      <c r="E2">
        <v>2.2000000000000002</v>
      </c>
      <c r="F2">
        <f>13</f>
        <v>13</v>
      </c>
      <c r="G2" t="s">
        <v>11</v>
      </c>
      <c r="H2" t="s">
        <v>12</v>
      </c>
      <c r="I2" s="2">
        <v>44013</v>
      </c>
      <c r="J2" s="2">
        <v>44075</v>
      </c>
      <c r="K2" t="s">
        <v>94</v>
      </c>
      <c r="L2" t="s">
        <v>94</v>
      </c>
      <c r="M2" t="s">
        <v>95</v>
      </c>
      <c r="N2" t="s">
        <v>87</v>
      </c>
      <c r="O2" t="s">
        <v>88</v>
      </c>
      <c r="P2" t="s">
        <v>89</v>
      </c>
    </row>
    <row r="3" spans="1:17" x14ac:dyDescent="0.3">
      <c r="A3" t="s">
        <v>15</v>
      </c>
      <c r="B3" s="9">
        <v>0.92800000000000005</v>
      </c>
      <c r="C3">
        <v>15</v>
      </c>
      <c r="D3">
        <v>1</v>
      </c>
      <c r="E3">
        <v>5.34</v>
      </c>
      <c r="F3">
        <v>22</v>
      </c>
      <c r="G3" t="s">
        <v>11</v>
      </c>
      <c r="H3" t="s">
        <v>12</v>
      </c>
      <c r="I3" s="2">
        <v>44044</v>
      </c>
      <c r="J3" s="2">
        <v>44136</v>
      </c>
      <c r="K3">
        <v>19</v>
      </c>
      <c r="L3">
        <v>10</v>
      </c>
      <c r="M3" t="s">
        <v>97</v>
      </c>
      <c r="N3" t="s">
        <v>87</v>
      </c>
      <c r="O3" t="s">
        <v>88</v>
      </c>
      <c r="P3" t="s">
        <v>96</v>
      </c>
    </row>
    <row r="4" spans="1:17" x14ac:dyDescent="0.3">
      <c r="A4" t="s">
        <v>19</v>
      </c>
      <c r="B4" s="9">
        <v>1.58</v>
      </c>
      <c r="C4">
        <v>43</v>
      </c>
      <c r="D4">
        <v>5</v>
      </c>
      <c r="E4">
        <v>3.46</v>
      </c>
      <c r="F4">
        <v>19</v>
      </c>
      <c r="G4" t="s">
        <v>11</v>
      </c>
      <c r="H4" t="s">
        <v>12</v>
      </c>
      <c r="I4" s="2">
        <v>44013</v>
      </c>
      <c r="J4" s="2">
        <v>44105</v>
      </c>
      <c r="K4">
        <v>5</v>
      </c>
      <c r="L4">
        <v>6</v>
      </c>
      <c r="M4" t="s">
        <v>86</v>
      </c>
      <c r="N4" t="s">
        <v>98</v>
      </c>
      <c r="O4" t="s">
        <v>93</v>
      </c>
      <c r="P4" t="s">
        <v>99</v>
      </c>
    </row>
    <row r="5" spans="1:17" x14ac:dyDescent="0.3">
      <c r="A5" t="s">
        <v>20</v>
      </c>
      <c r="B5" s="9">
        <v>0.98</v>
      </c>
      <c r="C5">
        <v>16</v>
      </c>
      <c r="D5">
        <v>8</v>
      </c>
      <c r="E5">
        <v>3.4249999999999998</v>
      </c>
      <c r="F5">
        <v>16.5</v>
      </c>
      <c r="G5" t="s">
        <v>17</v>
      </c>
      <c r="H5" t="s">
        <v>12</v>
      </c>
      <c r="I5" s="2">
        <v>43983</v>
      </c>
      <c r="J5" s="2">
        <v>44136</v>
      </c>
      <c r="K5">
        <v>5</v>
      </c>
      <c r="L5">
        <v>5</v>
      </c>
      <c r="M5" t="s">
        <v>97</v>
      </c>
      <c r="O5" t="s">
        <v>93</v>
      </c>
      <c r="P5" t="s">
        <v>100</v>
      </c>
    </row>
    <row r="6" spans="1:17" x14ac:dyDescent="0.3">
      <c r="A6" t="s">
        <v>23</v>
      </c>
      <c r="B6" s="9">
        <f>0.807</f>
        <v>0.80700000000000005</v>
      </c>
      <c r="C6">
        <v>43</v>
      </c>
      <c r="D6">
        <v>8</v>
      </c>
      <c r="E6">
        <v>7.17</v>
      </c>
      <c r="F6">
        <v>12</v>
      </c>
      <c r="G6" t="s">
        <v>11</v>
      </c>
      <c r="H6" t="s">
        <v>12</v>
      </c>
      <c r="I6" s="2">
        <v>44013</v>
      </c>
      <c r="J6" s="2">
        <v>44075</v>
      </c>
      <c r="K6" t="s">
        <v>94</v>
      </c>
      <c r="L6" t="s">
        <v>94</v>
      </c>
      <c r="M6" t="s">
        <v>86</v>
      </c>
      <c r="N6" t="s">
        <v>87</v>
      </c>
      <c r="O6" t="s">
        <v>93</v>
      </c>
      <c r="P6" t="s">
        <v>101</v>
      </c>
    </row>
    <row r="7" spans="1:17" x14ac:dyDescent="0.3">
      <c r="A7" t="s">
        <v>27</v>
      </c>
      <c r="B7" s="9">
        <v>1.113</v>
      </c>
      <c r="C7">
        <v>25</v>
      </c>
      <c r="D7">
        <v>15</v>
      </c>
      <c r="E7">
        <v>1.33</v>
      </c>
      <c r="F7">
        <v>4</v>
      </c>
      <c r="G7" t="s">
        <v>17</v>
      </c>
      <c r="H7" t="s">
        <v>28</v>
      </c>
      <c r="I7" s="2">
        <v>44014</v>
      </c>
      <c r="J7" s="2">
        <v>44075</v>
      </c>
      <c r="K7" t="s">
        <v>84</v>
      </c>
      <c r="L7" t="s">
        <v>102</v>
      </c>
      <c r="M7" t="s">
        <v>103</v>
      </c>
      <c r="N7" t="s">
        <v>93</v>
      </c>
      <c r="O7" t="s">
        <v>93</v>
      </c>
      <c r="P7" t="s">
        <v>104</v>
      </c>
    </row>
    <row r="8" spans="1:17" x14ac:dyDescent="0.3">
      <c r="A8" t="s">
        <v>29</v>
      </c>
      <c r="B8" s="9">
        <v>1.03</v>
      </c>
      <c r="C8">
        <v>19</v>
      </c>
      <c r="D8">
        <v>4</v>
      </c>
      <c r="E8">
        <v>4</v>
      </c>
      <c r="F8">
        <v>19</v>
      </c>
      <c r="G8" t="s">
        <v>11</v>
      </c>
      <c r="H8" t="s">
        <v>12</v>
      </c>
      <c r="I8" s="2">
        <v>44044</v>
      </c>
      <c r="J8" s="2">
        <v>44105</v>
      </c>
      <c r="K8" t="s">
        <v>106</v>
      </c>
      <c r="L8" t="s">
        <v>107</v>
      </c>
      <c r="M8" t="s">
        <v>86</v>
      </c>
      <c r="N8" t="s">
        <v>108</v>
      </c>
      <c r="O8" t="s">
        <v>93</v>
      </c>
      <c r="P8" t="s">
        <v>109</v>
      </c>
      <c r="Q8" t="s">
        <v>105</v>
      </c>
    </row>
    <row r="9" spans="1:17" x14ac:dyDescent="0.3">
      <c r="A9" t="s">
        <v>30</v>
      </c>
      <c r="B9" s="9">
        <v>1.1499999999999999</v>
      </c>
      <c r="C9">
        <v>25.5</v>
      </c>
      <c r="D9">
        <v>7</v>
      </c>
      <c r="E9">
        <v>3.08</v>
      </c>
      <c r="F9">
        <v>20</v>
      </c>
      <c r="G9" t="s">
        <v>11</v>
      </c>
      <c r="H9" t="s">
        <v>12</v>
      </c>
      <c r="I9" s="2">
        <v>44013</v>
      </c>
      <c r="J9" s="2">
        <v>44075</v>
      </c>
      <c r="K9" t="s">
        <v>110</v>
      </c>
      <c r="L9" t="s">
        <v>111</v>
      </c>
      <c r="M9" t="s">
        <v>86</v>
      </c>
      <c r="N9" t="s">
        <v>87</v>
      </c>
      <c r="O9" t="s">
        <v>88</v>
      </c>
      <c r="P9" t="s">
        <v>89</v>
      </c>
    </row>
    <row r="10" spans="1:17" x14ac:dyDescent="0.3">
      <c r="A10" t="s">
        <v>31</v>
      </c>
      <c r="B10" s="9">
        <v>1.1499999999999999</v>
      </c>
      <c r="C10">
        <v>80</v>
      </c>
      <c r="D10">
        <v>4</v>
      </c>
      <c r="E10">
        <v>3.52</v>
      </c>
      <c r="F10">
        <v>23</v>
      </c>
      <c r="G10" t="s">
        <v>11</v>
      </c>
      <c r="H10" t="s">
        <v>32</v>
      </c>
      <c r="I10" s="2">
        <v>44044</v>
      </c>
      <c r="J10" s="2">
        <v>44105</v>
      </c>
      <c r="K10" t="s">
        <v>112</v>
      </c>
      <c r="L10" t="s">
        <v>112</v>
      </c>
      <c r="M10" t="s">
        <v>91</v>
      </c>
      <c r="N10" t="s">
        <v>88</v>
      </c>
      <c r="O10" t="s">
        <v>113</v>
      </c>
      <c r="P10" t="s">
        <v>152</v>
      </c>
      <c r="Q10" t="s">
        <v>105</v>
      </c>
    </row>
    <row r="11" spans="1:17" x14ac:dyDescent="0.3">
      <c r="A11" t="s">
        <v>33</v>
      </c>
      <c r="B11" s="9">
        <v>0.59599999999999997</v>
      </c>
      <c r="C11">
        <v>36</v>
      </c>
      <c r="D11">
        <v>7</v>
      </c>
      <c r="E11">
        <v>3.4249999999999998</v>
      </c>
      <c r="F11">
        <v>16.5</v>
      </c>
      <c r="G11" t="s">
        <v>34</v>
      </c>
      <c r="H11" t="s">
        <v>12</v>
      </c>
      <c r="I11" s="2">
        <v>43983</v>
      </c>
      <c r="J11" s="2">
        <v>44013</v>
      </c>
      <c r="K11">
        <v>7</v>
      </c>
      <c r="L11">
        <v>7</v>
      </c>
      <c r="M11" t="s">
        <v>134</v>
      </c>
      <c r="N11" t="s">
        <v>93</v>
      </c>
      <c r="O11" t="s">
        <v>93</v>
      </c>
      <c r="P11" t="s">
        <v>135</v>
      </c>
    </row>
    <row r="12" spans="1:17" x14ac:dyDescent="0.3">
      <c r="A12" t="s">
        <v>36</v>
      </c>
      <c r="B12" s="9">
        <v>0.97899999999999998</v>
      </c>
      <c r="C12">
        <v>50</v>
      </c>
      <c r="D12">
        <v>4</v>
      </c>
      <c r="E12">
        <v>3.76</v>
      </c>
      <c r="F12">
        <v>16</v>
      </c>
      <c r="G12" t="s">
        <v>11</v>
      </c>
      <c r="H12" t="s">
        <v>12</v>
      </c>
      <c r="I12" s="2">
        <v>44013</v>
      </c>
      <c r="J12" s="2">
        <v>44105</v>
      </c>
      <c r="K12">
        <v>15</v>
      </c>
      <c r="L12">
        <v>7</v>
      </c>
      <c r="M12" t="s">
        <v>97</v>
      </c>
      <c r="N12" t="s">
        <v>93</v>
      </c>
      <c r="O12" t="s">
        <v>88</v>
      </c>
      <c r="P12" t="s">
        <v>129</v>
      </c>
      <c r="Q12" t="s">
        <v>128</v>
      </c>
    </row>
    <row r="13" spans="1:17" x14ac:dyDescent="0.3">
      <c r="A13" t="s">
        <v>37</v>
      </c>
      <c r="B13" s="9">
        <v>0.41899999999999998</v>
      </c>
      <c r="C13">
        <v>4</v>
      </c>
      <c r="D13">
        <v>8</v>
      </c>
      <c r="E13">
        <v>3.4249999999999998</v>
      </c>
      <c r="F13">
        <v>16.5</v>
      </c>
      <c r="G13" t="s">
        <v>8</v>
      </c>
      <c r="H13" t="s">
        <v>12</v>
      </c>
      <c r="I13" s="2">
        <v>44013</v>
      </c>
      <c r="J13" s="2">
        <v>44044</v>
      </c>
      <c r="K13" t="s">
        <v>124</v>
      </c>
      <c r="L13" t="s">
        <v>124</v>
      </c>
      <c r="M13" t="s">
        <v>91</v>
      </c>
      <c r="N13" t="s">
        <v>93</v>
      </c>
      <c r="O13" t="s">
        <v>93</v>
      </c>
      <c r="P13" t="s">
        <v>130</v>
      </c>
      <c r="Q13" t="s">
        <v>128</v>
      </c>
    </row>
    <row r="14" spans="1:17" x14ac:dyDescent="0.3">
      <c r="A14" t="s">
        <v>39</v>
      </c>
      <c r="B14" s="9">
        <v>1.4410000000000001</v>
      </c>
      <c r="C14">
        <v>54</v>
      </c>
      <c r="D14">
        <v>5</v>
      </c>
      <c r="E14">
        <v>3.52</v>
      </c>
      <c r="F14">
        <v>19</v>
      </c>
      <c r="G14" t="s">
        <v>11</v>
      </c>
      <c r="H14" t="s">
        <v>12</v>
      </c>
      <c r="I14" s="2">
        <v>43952</v>
      </c>
      <c r="J14" s="2">
        <v>44105</v>
      </c>
      <c r="K14" t="s">
        <v>84</v>
      </c>
      <c r="L14" t="s">
        <v>84</v>
      </c>
      <c r="M14" t="s">
        <v>86</v>
      </c>
      <c r="N14" t="s">
        <v>87</v>
      </c>
      <c r="O14" t="s">
        <v>93</v>
      </c>
      <c r="P14" t="s">
        <v>151</v>
      </c>
    </row>
    <row r="15" spans="1:17" x14ac:dyDescent="0.3">
      <c r="A15" t="s">
        <v>131</v>
      </c>
      <c r="B15" s="9">
        <v>1.1120000000000001</v>
      </c>
      <c r="C15">
        <v>31.5</v>
      </c>
      <c r="D15">
        <v>7</v>
      </c>
      <c r="E15">
        <v>3.56</v>
      </c>
      <c r="F15">
        <v>19</v>
      </c>
      <c r="G15" t="s">
        <v>11</v>
      </c>
      <c r="H15" t="s">
        <v>12</v>
      </c>
      <c r="I15" s="2">
        <v>44013</v>
      </c>
      <c r="J15" s="2">
        <v>44075</v>
      </c>
      <c r="K15" t="s">
        <v>123</v>
      </c>
      <c r="L15" t="s">
        <v>132</v>
      </c>
      <c r="M15" t="s">
        <v>86</v>
      </c>
      <c r="N15" t="s">
        <v>87</v>
      </c>
      <c r="O15" t="s">
        <v>88</v>
      </c>
      <c r="P15" t="s">
        <v>133</v>
      </c>
    </row>
    <row r="16" spans="1:17" x14ac:dyDescent="0.3">
      <c r="A16" t="s">
        <v>45</v>
      </c>
      <c r="B16" s="9">
        <v>1.202</v>
      </c>
      <c r="C16">
        <v>20.5</v>
      </c>
      <c r="D16">
        <v>6</v>
      </c>
      <c r="E16">
        <v>3.39</v>
      </c>
      <c r="F16">
        <v>12</v>
      </c>
      <c r="G16" t="s">
        <v>11</v>
      </c>
      <c r="H16" t="s">
        <v>28</v>
      </c>
      <c r="I16" s="2">
        <v>44013</v>
      </c>
      <c r="J16" s="2">
        <v>44105</v>
      </c>
      <c r="K16" t="s">
        <v>77</v>
      </c>
      <c r="L16" t="s">
        <v>77</v>
      </c>
      <c r="M16" t="s">
        <v>91</v>
      </c>
      <c r="N16" t="s">
        <v>87</v>
      </c>
      <c r="O16" t="s">
        <v>93</v>
      </c>
      <c r="P16" t="s">
        <v>92</v>
      </c>
    </row>
    <row r="17" spans="1:17" x14ac:dyDescent="0.3">
      <c r="A17" t="s">
        <v>47</v>
      </c>
      <c r="B17" s="9">
        <v>1.1559999999999999</v>
      </c>
      <c r="C17">
        <v>35</v>
      </c>
      <c r="D17">
        <v>8</v>
      </c>
      <c r="E17">
        <v>2.0499999999999998</v>
      </c>
      <c r="F17">
        <v>14</v>
      </c>
      <c r="G17" t="s">
        <v>17</v>
      </c>
      <c r="H17" t="s">
        <v>22</v>
      </c>
      <c r="I17" s="2">
        <v>44013</v>
      </c>
      <c r="J17" s="2">
        <v>44105</v>
      </c>
      <c r="K17" t="s">
        <v>84</v>
      </c>
      <c r="L17" t="s">
        <v>84</v>
      </c>
      <c r="M17" t="s">
        <v>116</v>
      </c>
      <c r="N17" t="s">
        <v>87</v>
      </c>
      <c r="O17" t="s">
        <v>93</v>
      </c>
      <c r="P17" t="s">
        <v>115</v>
      </c>
      <c r="Q17" t="s">
        <v>114</v>
      </c>
    </row>
    <row r="18" spans="1:17" x14ac:dyDescent="0.3">
      <c r="A18" t="s">
        <v>48</v>
      </c>
      <c r="B18" s="9">
        <v>0.9</v>
      </c>
      <c r="C18">
        <v>26.5</v>
      </c>
      <c r="D18">
        <v>8</v>
      </c>
      <c r="E18">
        <v>2</v>
      </c>
      <c r="F18">
        <v>8</v>
      </c>
      <c r="G18" t="s">
        <v>17</v>
      </c>
      <c r="H18" t="s">
        <v>12</v>
      </c>
      <c r="I18" s="2">
        <v>44013</v>
      </c>
      <c r="J18" s="2">
        <v>44105</v>
      </c>
      <c r="K18">
        <v>6</v>
      </c>
      <c r="L18">
        <v>6</v>
      </c>
      <c r="M18" t="s">
        <v>86</v>
      </c>
      <c r="N18" t="s">
        <v>87</v>
      </c>
      <c r="O18" t="s">
        <v>93</v>
      </c>
      <c r="P18" t="s">
        <v>117</v>
      </c>
    </row>
    <row r="19" spans="1:17" x14ac:dyDescent="0.3">
      <c r="A19" t="s">
        <v>50</v>
      </c>
      <c r="B19" s="9">
        <v>1.5609999999999999</v>
      </c>
      <c r="C19">
        <v>66</v>
      </c>
      <c r="D19">
        <v>4</v>
      </c>
      <c r="E19">
        <v>2.9</v>
      </c>
      <c r="F19">
        <v>17</v>
      </c>
      <c r="G19" t="s">
        <v>11</v>
      </c>
      <c r="H19" t="s">
        <v>28</v>
      </c>
      <c r="I19" s="2">
        <v>44013</v>
      </c>
      <c r="J19" s="2">
        <v>44075</v>
      </c>
      <c r="K19" t="s">
        <v>90</v>
      </c>
      <c r="L19" t="s">
        <v>90</v>
      </c>
      <c r="M19" t="s">
        <v>86</v>
      </c>
      <c r="N19" t="s">
        <v>87</v>
      </c>
      <c r="O19" t="s">
        <v>88</v>
      </c>
      <c r="P19" t="s">
        <v>89</v>
      </c>
    </row>
    <row r="20" spans="1:17" x14ac:dyDescent="0.3">
      <c r="A20" t="s">
        <v>53</v>
      </c>
      <c r="B20" s="9">
        <v>1.1120000000000001</v>
      </c>
      <c r="C20">
        <v>40</v>
      </c>
      <c r="D20">
        <v>9</v>
      </c>
      <c r="E20">
        <v>3.7</v>
      </c>
      <c r="F20">
        <v>25</v>
      </c>
      <c r="G20" t="s">
        <v>11</v>
      </c>
      <c r="H20" t="s">
        <v>22</v>
      </c>
      <c r="I20" s="2">
        <v>44013</v>
      </c>
      <c r="J20" s="2">
        <v>44075</v>
      </c>
      <c r="K20" t="s">
        <v>84</v>
      </c>
      <c r="L20" t="s">
        <v>85</v>
      </c>
      <c r="M20" t="s">
        <v>86</v>
      </c>
      <c r="N20" t="s">
        <v>87</v>
      </c>
      <c r="O20" t="s">
        <v>88</v>
      </c>
      <c r="P20" t="s">
        <v>89</v>
      </c>
    </row>
    <row r="21" spans="1:17" x14ac:dyDescent="0.3">
      <c r="A21" t="s">
        <v>56</v>
      </c>
      <c r="B21" s="9">
        <v>1.423</v>
      </c>
      <c r="C21">
        <v>26</v>
      </c>
      <c r="D21">
        <v>9</v>
      </c>
      <c r="E21">
        <v>3.75</v>
      </c>
      <c r="F21">
        <v>33</v>
      </c>
      <c r="G21" t="s">
        <v>11</v>
      </c>
      <c r="H21" t="s">
        <v>28</v>
      </c>
      <c r="I21" s="2">
        <v>44013</v>
      </c>
      <c r="J21" s="2">
        <v>44105</v>
      </c>
      <c r="K21" t="s">
        <v>84</v>
      </c>
      <c r="L21" t="s">
        <v>84</v>
      </c>
      <c r="M21" t="s">
        <v>103</v>
      </c>
      <c r="O21" t="s">
        <v>93</v>
      </c>
      <c r="P21" t="s">
        <v>119</v>
      </c>
      <c r="Q21" t="s">
        <v>118</v>
      </c>
    </row>
    <row r="22" spans="1:17" x14ac:dyDescent="0.3">
      <c r="A22" t="s">
        <v>120</v>
      </c>
      <c r="B22" s="9">
        <v>1.214</v>
      </c>
      <c r="C22">
        <v>31.5</v>
      </c>
      <c r="D22">
        <v>6</v>
      </c>
      <c r="E22">
        <v>2.27</v>
      </c>
      <c r="F22">
        <v>11</v>
      </c>
      <c r="G22" t="s">
        <v>17</v>
      </c>
      <c r="H22" t="s">
        <v>28</v>
      </c>
      <c r="I22" s="2">
        <v>44013</v>
      </c>
      <c r="J22" s="2">
        <v>44105</v>
      </c>
      <c r="K22" t="s">
        <v>123</v>
      </c>
      <c r="L22" t="s">
        <v>112</v>
      </c>
      <c r="M22" t="s">
        <v>91</v>
      </c>
      <c r="N22" t="s">
        <v>93</v>
      </c>
      <c r="O22" t="s">
        <v>93</v>
      </c>
      <c r="P22" t="s">
        <v>122</v>
      </c>
      <c r="Q22" t="s">
        <v>121</v>
      </c>
    </row>
    <row r="23" spans="1:17" x14ac:dyDescent="0.3">
      <c r="A23" t="s">
        <v>63</v>
      </c>
      <c r="B23" s="9">
        <v>0.63200000000000001</v>
      </c>
      <c r="C23">
        <v>15</v>
      </c>
      <c r="D23">
        <v>9</v>
      </c>
      <c r="E23">
        <v>1</v>
      </c>
      <c r="F23">
        <v>1</v>
      </c>
      <c r="G23" t="s">
        <v>17</v>
      </c>
      <c r="H23" t="s">
        <v>22</v>
      </c>
      <c r="I23" s="2">
        <v>44013</v>
      </c>
      <c r="J23" s="2">
        <v>44044</v>
      </c>
      <c r="K23" t="s">
        <v>124</v>
      </c>
      <c r="L23">
        <v>4</v>
      </c>
      <c r="M23" t="s">
        <v>86</v>
      </c>
      <c r="N23" t="s">
        <v>93</v>
      </c>
      <c r="O23" t="s">
        <v>93</v>
      </c>
      <c r="P23" t="s">
        <v>125</v>
      </c>
      <c r="Q23" t="s">
        <v>121</v>
      </c>
    </row>
    <row r="24" spans="1:17" x14ac:dyDescent="0.3">
      <c r="A24" t="s">
        <v>64</v>
      </c>
      <c r="B24" s="9">
        <v>1.17</v>
      </c>
      <c r="C24">
        <v>37</v>
      </c>
      <c r="D24">
        <v>11</v>
      </c>
      <c r="E24">
        <v>1</v>
      </c>
      <c r="F24">
        <v>2</v>
      </c>
      <c r="G24" t="s">
        <v>17</v>
      </c>
      <c r="H24" t="s">
        <v>22</v>
      </c>
      <c r="I24" s="2">
        <v>44013</v>
      </c>
      <c r="J24" s="2">
        <v>44075</v>
      </c>
      <c r="K24" t="s">
        <v>124</v>
      </c>
      <c r="L24" t="s">
        <v>94</v>
      </c>
      <c r="M24" t="s">
        <v>91</v>
      </c>
      <c r="N24" t="s">
        <v>87</v>
      </c>
      <c r="O24" t="s">
        <v>93</v>
      </c>
      <c r="P24" t="s">
        <v>126</v>
      </c>
    </row>
    <row r="25" spans="1:17" x14ac:dyDescent="0.3">
      <c r="A25" t="s">
        <v>83</v>
      </c>
      <c r="B25" s="9">
        <v>0.753</v>
      </c>
      <c r="C25">
        <v>54</v>
      </c>
      <c r="D25">
        <v>4</v>
      </c>
      <c r="E25">
        <v>3.4249999999999998</v>
      </c>
      <c r="F25">
        <v>16.5</v>
      </c>
      <c r="G25" t="s">
        <v>34</v>
      </c>
      <c r="H25" t="s">
        <v>12</v>
      </c>
      <c r="I25" s="2">
        <v>43983</v>
      </c>
      <c r="J25" s="2">
        <v>44044</v>
      </c>
      <c r="K25" t="s">
        <v>77</v>
      </c>
      <c r="L25" t="s">
        <v>94</v>
      </c>
      <c r="M25" t="s">
        <v>80</v>
      </c>
      <c r="N25" t="s">
        <v>87</v>
      </c>
      <c r="O25" t="s">
        <v>82</v>
      </c>
      <c r="P25" t="s">
        <v>127</v>
      </c>
    </row>
  </sheetData>
  <sortState xmlns:xlrd2="http://schemas.microsoft.com/office/spreadsheetml/2017/richdata2" ref="A2:Q27">
    <sortCondition ref="A2:A27"/>
  </sortState>
  <conditionalFormatting sqref="B1:F1048576">
    <cfRule type="cellIs" dxfId="18" priority="1" operator="equal">
      <formula>""""""</formula>
    </cfRule>
  </conditionalFormatting>
  <hyperlinks>
    <hyperlink ref="P14" r:id="rId1" display="https://www.chicagobotanic.org/plantcollections/plantfinder/hydrangea_paniculata_kyushu--kyushu_panicle_hydrangea" xr:uid="{FF8F5B39-140A-48E1-8822-9820CBB97D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91F7-5119-4EC7-8A62-906B15D02692}">
  <dimension ref="A1:R68"/>
  <sheetViews>
    <sheetView workbookViewId="0">
      <pane xSplit="1" ySplit="1" topLeftCell="G56" activePane="bottomRight" state="frozen"/>
      <selection pane="topRight" activeCell="B1" sqref="B1"/>
      <selection pane="bottomLeft" activeCell="A2" sqref="A2"/>
      <selection pane="bottomRight" activeCell="M59" sqref="M59"/>
    </sheetView>
  </sheetViews>
  <sheetFormatPr defaultRowHeight="14.4" x14ac:dyDescent="0.3"/>
  <cols>
    <col min="1" max="1" width="25.33203125" bestFit="1" customWidth="1"/>
    <col min="5" max="5" width="14.6640625" customWidth="1"/>
    <col min="6" max="6" width="14.6640625" bestFit="1" customWidth="1"/>
    <col min="8" max="9" width="10.109375" style="2" bestFit="1" customWidth="1"/>
    <col min="10" max="10" width="10.109375" style="2" customWidth="1"/>
    <col min="16" max="16" width="20.6640625" bestFit="1" customWidth="1"/>
  </cols>
  <sheetData>
    <row r="1" spans="1:18" x14ac:dyDescent="0.3">
      <c r="A1" t="s">
        <v>0</v>
      </c>
      <c r="B1" s="9" t="s">
        <v>161</v>
      </c>
      <c r="C1" t="s">
        <v>137</v>
      </c>
      <c r="D1" t="s">
        <v>136</v>
      </c>
      <c r="E1" t="s">
        <v>257</v>
      </c>
      <c r="F1" t="s">
        <v>2</v>
      </c>
      <c r="G1" t="s">
        <v>3</v>
      </c>
      <c r="H1" s="2" t="s">
        <v>72</v>
      </c>
      <c r="I1" s="2" t="s">
        <v>73</v>
      </c>
      <c r="J1" s="2" t="s">
        <v>163</v>
      </c>
      <c r="K1" t="s">
        <v>76</v>
      </c>
      <c r="L1" t="s">
        <v>79</v>
      </c>
      <c r="M1" t="s">
        <v>74</v>
      </c>
      <c r="N1" t="s">
        <v>75</v>
      </c>
      <c r="O1" t="s">
        <v>81</v>
      </c>
      <c r="P1" t="s">
        <v>1</v>
      </c>
      <c r="Q1" t="s">
        <v>4</v>
      </c>
      <c r="R1" t="s">
        <v>5</v>
      </c>
    </row>
    <row r="2" spans="1:18" ht="15" thickBot="1" x14ac:dyDescent="0.35">
      <c r="A2" t="s">
        <v>6</v>
      </c>
      <c r="B2" s="12">
        <v>0.69314719999999996</v>
      </c>
      <c r="C2">
        <v>4</v>
      </c>
      <c r="D2">
        <v>2</v>
      </c>
      <c r="E2" s="14">
        <v>3</v>
      </c>
      <c r="F2" t="s">
        <v>8</v>
      </c>
      <c r="G2" t="s">
        <v>12</v>
      </c>
      <c r="H2" s="2">
        <v>43983</v>
      </c>
      <c r="I2" s="2">
        <v>44075</v>
      </c>
      <c r="J2" s="2" t="s">
        <v>172</v>
      </c>
      <c r="K2" t="s">
        <v>77</v>
      </c>
      <c r="L2" t="s">
        <v>78</v>
      </c>
      <c r="M2" t="s">
        <v>80</v>
      </c>
      <c r="O2" t="s">
        <v>82</v>
      </c>
      <c r="P2" t="s">
        <v>7</v>
      </c>
      <c r="Q2" t="s">
        <v>177</v>
      </c>
      <c r="R2" s="4" t="s">
        <v>89</v>
      </c>
    </row>
    <row r="3" spans="1:18" ht="15" thickBot="1" x14ac:dyDescent="0.35">
      <c r="A3" t="s">
        <v>9</v>
      </c>
      <c r="B3" s="12">
        <v>0.33304479999999997</v>
      </c>
      <c r="C3">
        <v>14</v>
      </c>
      <c r="D3">
        <v>4</v>
      </c>
      <c r="E3">
        <v>2</v>
      </c>
      <c r="F3" t="s">
        <v>11</v>
      </c>
      <c r="G3" t="s">
        <v>12</v>
      </c>
      <c r="H3" s="2">
        <v>44013</v>
      </c>
      <c r="I3" s="2">
        <v>44075</v>
      </c>
      <c r="J3" s="2" t="s">
        <v>164</v>
      </c>
      <c r="K3" t="s">
        <v>94</v>
      </c>
      <c r="L3" t="s">
        <v>94</v>
      </c>
      <c r="M3" t="s">
        <v>95</v>
      </c>
      <c r="N3" t="s">
        <v>87</v>
      </c>
      <c r="O3" t="s">
        <v>88</v>
      </c>
      <c r="P3" t="s">
        <v>10</v>
      </c>
      <c r="R3" t="s">
        <v>89</v>
      </c>
    </row>
    <row r="4" spans="1:18" ht="15" thickBot="1" x14ac:dyDescent="0.35">
      <c r="A4" t="s">
        <v>13</v>
      </c>
      <c r="B4" s="12">
        <v>0</v>
      </c>
      <c r="C4">
        <v>2</v>
      </c>
      <c r="D4">
        <v>3</v>
      </c>
      <c r="E4" s="14">
        <v>3</v>
      </c>
      <c r="F4" t="s">
        <v>8</v>
      </c>
      <c r="G4" t="s">
        <v>28</v>
      </c>
      <c r="J4" s="2" t="s">
        <v>164</v>
      </c>
      <c r="K4" s="2" t="s">
        <v>165</v>
      </c>
      <c r="L4" s="2" t="s">
        <v>165</v>
      </c>
      <c r="M4" s="2" t="s">
        <v>166</v>
      </c>
      <c r="N4" s="2" t="s">
        <v>87</v>
      </c>
      <c r="P4" t="s">
        <v>7</v>
      </c>
      <c r="Q4" t="s">
        <v>177</v>
      </c>
      <c r="R4" s="11" t="s">
        <v>167</v>
      </c>
    </row>
    <row r="5" spans="1:18" ht="15" thickBot="1" x14ac:dyDescent="0.35">
      <c r="A5" t="s">
        <v>14</v>
      </c>
      <c r="B5" s="12">
        <v>0.89587969999999995</v>
      </c>
      <c r="C5">
        <v>5</v>
      </c>
      <c r="D5">
        <v>2</v>
      </c>
      <c r="E5" s="14">
        <v>3</v>
      </c>
      <c r="F5" t="s">
        <v>8</v>
      </c>
      <c r="G5" t="s">
        <v>28</v>
      </c>
      <c r="J5" s="2" t="s">
        <v>164</v>
      </c>
      <c r="K5" s="10" t="s">
        <v>124</v>
      </c>
      <c r="L5" s="2" t="s">
        <v>124</v>
      </c>
      <c r="M5" s="2" t="s">
        <v>103</v>
      </c>
      <c r="P5" t="s">
        <v>10</v>
      </c>
      <c r="Q5" t="s">
        <v>177</v>
      </c>
    </row>
    <row r="6" spans="1:18" ht="15" thickBot="1" x14ac:dyDescent="0.35">
      <c r="A6" t="s">
        <v>15</v>
      </c>
      <c r="B6" s="12">
        <v>0.92761729999999998</v>
      </c>
      <c r="C6">
        <v>15</v>
      </c>
      <c r="D6">
        <v>1</v>
      </c>
      <c r="E6">
        <v>7</v>
      </c>
      <c r="F6" t="s">
        <v>11</v>
      </c>
      <c r="G6" t="s">
        <v>12</v>
      </c>
      <c r="H6" s="2">
        <v>44044</v>
      </c>
      <c r="I6" s="2">
        <v>44136</v>
      </c>
      <c r="J6" s="2" t="s">
        <v>149</v>
      </c>
      <c r="K6">
        <v>19</v>
      </c>
      <c r="L6">
        <v>10</v>
      </c>
      <c r="M6" t="s">
        <v>97</v>
      </c>
      <c r="N6" t="s">
        <v>87</v>
      </c>
      <c r="O6" t="s">
        <v>88</v>
      </c>
      <c r="P6" t="s">
        <v>10</v>
      </c>
      <c r="R6" s="4" t="s">
        <v>96</v>
      </c>
    </row>
    <row r="7" spans="1:18" ht="15" thickBot="1" x14ac:dyDescent="0.35">
      <c r="A7" t="s">
        <v>16</v>
      </c>
      <c r="B7" s="12">
        <v>1.0126113000000001</v>
      </c>
      <c r="C7">
        <v>14</v>
      </c>
      <c r="D7">
        <v>5</v>
      </c>
      <c r="E7" s="14">
        <v>3</v>
      </c>
      <c r="F7" t="s">
        <v>17</v>
      </c>
      <c r="G7" t="s">
        <v>12</v>
      </c>
      <c r="J7" s="2" t="s">
        <v>149</v>
      </c>
      <c r="K7" t="s">
        <v>174</v>
      </c>
      <c r="L7" t="s">
        <v>94</v>
      </c>
      <c r="M7" t="s">
        <v>173</v>
      </c>
      <c r="O7" t="s">
        <v>175</v>
      </c>
      <c r="P7" t="s">
        <v>10</v>
      </c>
      <c r="Q7" t="s">
        <v>178</v>
      </c>
      <c r="R7" t="s">
        <v>176</v>
      </c>
    </row>
    <row r="8" spans="1:18" ht="15" thickBot="1" x14ac:dyDescent="0.35">
      <c r="A8" t="s">
        <v>18</v>
      </c>
      <c r="B8" s="12">
        <v>0.69314719999999996</v>
      </c>
      <c r="C8">
        <v>8</v>
      </c>
      <c r="D8">
        <v>3</v>
      </c>
      <c r="E8" s="14">
        <v>3</v>
      </c>
      <c r="F8" t="s">
        <v>8</v>
      </c>
      <c r="G8" t="s">
        <v>32</v>
      </c>
      <c r="J8" s="2" t="s">
        <v>183</v>
      </c>
      <c r="K8">
        <v>5</v>
      </c>
      <c r="L8">
        <v>8</v>
      </c>
      <c r="M8" t="s">
        <v>184</v>
      </c>
      <c r="O8" t="s">
        <v>93</v>
      </c>
      <c r="P8" t="s">
        <v>7</v>
      </c>
      <c r="Q8" t="s">
        <v>177</v>
      </c>
      <c r="R8" t="s">
        <v>185</v>
      </c>
    </row>
    <row r="9" spans="1:18" ht="15" thickBot="1" x14ac:dyDescent="0.35">
      <c r="A9" t="s">
        <v>19</v>
      </c>
      <c r="B9" s="12">
        <v>1.5794589999999999</v>
      </c>
      <c r="C9">
        <v>43</v>
      </c>
      <c r="D9">
        <v>5</v>
      </c>
      <c r="E9">
        <v>4</v>
      </c>
      <c r="F9" t="s">
        <v>11</v>
      </c>
      <c r="G9" t="s">
        <v>12</v>
      </c>
      <c r="H9" s="2">
        <v>44013</v>
      </c>
      <c r="I9" s="2">
        <v>44105</v>
      </c>
      <c r="J9" s="2" t="s">
        <v>168</v>
      </c>
      <c r="K9">
        <v>5</v>
      </c>
      <c r="L9">
        <v>6</v>
      </c>
      <c r="M9" t="s">
        <v>86</v>
      </c>
      <c r="N9" t="s">
        <v>98</v>
      </c>
      <c r="O9" t="s">
        <v>93</v>
      </c>
      <c r="P9" t="s">
        <v>10</v>
      </c>
      <c r="R9" t="s">
        <v>99</v>
      </c>
    </row>
    <row r="10" spans="1:18" ht="15" thickBot="1" x14ac:dyDescent="0.35">
      <c r="A10" t="s">
        <v>20</v>
      </c>
      <c r="B10" s="12">
        <v>0.98028990000000005</v>
      </c>
      <c r="C10">
        <v>16</v>
      </c>
      <c r="D10">
        <v>8</v>
      </c>
      <c r="E10" s="14">
        <v>3</v>
      </c>
      <c r="F10" t="s">
        <v>17</v>
      </c>
      <c r="G10" t="s">
        <v>12</v>
      </c>
      <c r="H10" s="2">
        <v>43983</v>
      </c>
      <c r="I10" s="2">
        <v>44136</v>
      </c>
      <c r="J10" s="2" t="s">
        <v>186</v>
      </c>
      <c r="K10">
        <v>5</v>
      </c>
      <c r="L10">
        <v>5</v>
      </c>
      <c r="M10" t="s">
        <v>97</v>
      </c>
      <c r="O10" t="s">
        <v>93</v>
      </c>
      <c r="P10" t="s">
        <v>10</v>
      </c>
      <c r="Q10" t="s">
        <v>177</v>
      </c>
      <c r="R10" s="4" t="s">
        <v>100</v>
      </c>
    </row>
    <row r="11" spans="1:18" ht="15" thickBot="1" x14ac:dyDescent="0.35">
      <c r="A11" t="s">
        <v>21</v>
      </c>
      <c r="B11" s="12">
        <v>0.65167390000000003</v>
      </c>
      <c r="C11">
        <v>13</v>
      </c>
      <c r="D11">
        <v>4</v>
      </c>
      <c r="E11">
        <v>3</v>
      </c>
      <c r="F11" t="s">
        <v>17</v>
      </c>
      <c r="G11" t="s">
        <v>22</v>
      </c>
      <c r="J11" s="2" t="s">
        <v>149</v>
      </c>
      <c r="K11" s="10" t="s">
        <v>124</v>
      </c>
      <c r="L11" t="s">
        <v>94</v>
      </c>
      <c r="M11" t="s">
        <v>86</v>
      </c>
      <c r="O11" t="s">
        <v>175</v>
      </c>
      <c r="P11" t="s">
        <v>10</v>
      </c>
      <c r="R11" t="s">
        <v>187</v>
      </c>
    </row>
    <row r="12" spans="1:18" ht="15" thickBot="1" x14ac:dyDescent="0.35">
      <c r="A12" t="s">
        <v>23</v>
      </c>
      <c r="B12" s="12">
        <v>0.8397249</v>
      </c>
      <c r="C12">
        <v>43</v>
      </c>
      <c r="D12">
        <v>8</v>
      </c>
      <c r="E12">
        <v>3</v>
      </c>
      <c r="F12" t="s">
        <v>11</v>
      </c>
      <c r="G12" t="s">
        <v>12</v>
      </c>
      <c r="H12" s="2">
        <v>44013</v>
      </c>
      <c r="I12" s="2">
        <v>44075</v>
      </c>
      <c r="J12" s="2" t="s">
        <v>164</v>
      </c>
      <c r="K12" t="s">
        <v>94</v>
      </c>
      <c r="L12" t="s">
        <v>94</v>
      </c>
      <c r="M12" t="s">
        <v>86</v>
      </c>
      <c r="N12" t="s">
        <v>87</v>
      </c>
      <c r="O12" t="s">
        <v>93</v>
      </c>
      <c r="P12" t="s">
        <v>10</v>
      </c>
      <c r="R12" t="s">
        <v>101</v>
      </c>
    </row>
    <row r="13" spans="1:18" ht="15" thickBot="1" x14ac:dyDescent="0.35">
      <c r="A13" t="s">
        <v>24</v>
      </c>
      <c r="B13" s="12">
        <v>1.2569249</v>
      </c>
      <c r="C13">
        <v>25</v>
      </c>
      <c r="D13">
        <v>3</v>
      </c>
      <c r="E13">
        <v>1</v>
      </c>
      <c r="F13" t="s">
        <v>11</v>
      </c>
      <c r="G13" t="s">
        <v>12</v>
      </c>
      <c r="J13" s="2" t="s">
        <v>149</v>
      </c>
      <c r="K13" s="2" t="s">
        <v>188</v>
      </c>
      <c r="L13" t="s">
        <v>188</v>
      </c>
      <c r="M13" s="2" t="s">
        <v>189</v>
      </c>
      <c r="P13" t="s">
        <v>10</v>
      </c>
      <c r="R13" t="s">
        <v>190</v>
      </c>
    </row>
    <row r="14" spans="1:18" ht="15" thickBot="1" x14ac:dyDescent="0.35">
      <c r="A14" t="s">
        <v>25</v>
      </c>
      <c r="B14" s="12">
        <v>0.17328679999999999</v>
      </c>
      <c r="C14">
        <v>1.5</v>
      </c>
      <c r="D14">
        <v>4</v>
      </c>
      <c r="E14" s="14">
        <v>3</v>
      </c>
      <c r="F14" t="s">
        <v>11</v>
      </c>
      <c r="G14" t="s">
        <v>22</v>
      </c>
      <c r="J14" s="2" t="s">
        <v>192</v>
      </c>
      <c r="K14">
        <v>2</v>
      </c>
      <c r="L14">
        <v>2</v>
      </c>
      <c r="M14" t="s">
        <v>191</v>
      </c>
      <c r="N14" t="s">
        <v>108</v>
      </c>
      <c r="O14" t="s">
        <v>175</v>
      </c>
      <c r="P14" t="s">
        <v>10</v>
      </c>
      <c r="Q14" t="s">
        <v>177</v>
      </c>
      <c r="R14" t="s">
        <v>193</v>
      </c>
    </row>
    <row r="15" spans="1:18" ht="15" thickBot="1" x14ac:dyDescent="0.35">
      <c r="A15" t="s">
        <v>26</v>
      </c>
      <c r="B15" s="12">
        <v>1.8356357000000001</v>
      </c>
      <c r="C15">
        <v>36</v>
      </c>
      <c r="D15">
        <v>3</v>
      </c>
      <c r="E15">
        <v>1</v>
      </c>
      <c r="F15" t="s">
        <v>11</v>
      </c>
      <c r="G15" t="s">
        <v>22</v>
      </c>
      <c r="J15" s="2" t="s">
        <v>170</v>
      </c>
      <c r="K15" s="2" t="s">
        <v>77</v>
      </c>
      <c r="L15" s="2" t="s">
        <v>194</v>
      </c>
      <c r="M15" s="2" t="s">
        <v>195</v>
      </c>
      <c r="O15" s="2" t="s">
        <v>175</v>
      </c>
      <c r="P15" t="s">
        <v>10</v>
      </c>
      <c r="R15" t="s">
        <v>196</v>
      </c>
    </row>
    <row r="16" spans="1:18" ht="15" thickBot="1" x14ac:dyDescent="0.35">
      <c r="A16" t="s">
        <v>27</v>
      </c>
      <c r="B16" s="12">
        <v>1.1404776000000001</v>
      </c>
      <c r="C16">
        <v>25</v>
      </c>
      <c r="D16">
        <v>15</v>
      </c>
      <c r="E16">
        <v>1</v>
      </c>
      <c r="F16" t="s">
        <v>17</v>
      </c>
      <c r="G16" t="s">
        <v>28</v>
      </c>
      <c r="H16" s="2">
        <v>44014</v>
      </c>
      <c r="I16" s="2">
        <v>44075</v>
      </c>
      <c r="J16" s="2" t="s">
        <v>164</v>
      </c>
      <c r="K16" t="s">
        <v>84</v>
      </c>
      <c r="L16" t="s">
        <v>102</v>
      </c>
      <c r="M16" t="s">
        <v>103</v>
      </c>
      <c r="N16" t="s">
        <v>93</v>
      </c>
      <c r="O16" t="s">
        <v>93</v>
      </c>
      <c r="P16" t="s">
        <v>10</v>
      </c>
      <c r="R16" t="s">
        <v>104</v>
      </c>
    </row>
    <row r="17" spans="1:18" ht="15" thickBot="1" x14ac:dyDescent="0.35">
      <c r="A17" t="s">
        <v>29</v>
      </c>
      <c r="B17" s="12">
        <v>1.1065031999999999</v>
      </c>
      <c r="C17">
        <v>19</v>
      </c>
      <c r="D17">
        <v>4</v>
      </c>
      <c r="E17">
        <v>5</v>
      </c>
      <c r="F17" t="s">
        <v>11</v>
      </c>
      <c r="G17" t="s">
        <v>12</v>
      </c>
      <c r="H17" s="2">
        <v>44044</v>
      </c>
      <c r="I17" s="2">
        <v>44105</v>
      </c>
      <c r="J17" s="2" t="s">
        <v>149</v>
      </c>
      <c r="K17" t="s">
        <v>106</v>
      </c>
      <c r="L17" t="s">
        <v>107</v>
      </c>
      <c r="M17" t="s">
        <v>86</v>
      </c>
      <c r="N17" t="s">
        <v>108</v>
      </c>
      <c r="O17" t="s">
        <v>93</v>
      </c>
      <c r="P17" t="s">
        <v>10</v>
      </c>
      <c r="R17" t="s">
        <v>109</v>
      </c>
    </row>
    <row r="18" spans="1:18" ht="15" thickBot="1" x14ac:dyDescent="0.35">
      <c r="A18" t="s">
        <v>30</v>
      </c>
      <c r="B18" s="12">
        <v>1.1731406</v>
      </c>
      <c r="C18">
        <v>25.5</v>
      </c>
      <c r="D18">
        <v>7</v>
      </c>
      <c r="E18">
        <v>7</v>
      </c>
      <c r="F18" t="s">
        <v>11</v>
      </c>
      <c r="G18" t="s">
        <v>12</v>
      </c>
      <c r="H18" s="2">
        <v>44013</v>
      </c>
      <c r="I18" s="2">
        <v>44075</v>
      </c>
      <c r="J18" s="2" t="s">
        <v>164</v>
      </c>
      <c r="K18" t="s">
        <v>110</v>
      </c>
      <c r="L18" t="s">
        <v>111</v>
      </c>
      <c r="M18" t="s">
        <v>86</v>
      </c>
      <c r="N18" t="s">
        <v>87</v>
      </c>
      <c r="O18" t="s">
        <v>88</v>
      </c>
      <c r="P18" t="s">
        <v>10</v>
      </c>
      <c r="R18" t="s">
        <v>89</v>
      </c>
    </row>
    <row r="19" spans="1:18" ht="15" thickBot="1" x14ac:dyDescent="0.35">
      <c r="A19" t="s">
        <v>31</v>
      </c>
      <c r="B19" s="12">
        <v>1.2637924</v>
      </c>
      <c r="C19">
        <v>80</v>
      </c>
      <c r="D19">
        <v>4</v>
      </c>
      <c r="E19">
        <v>3</v>
      </c>
      <c r="F19" t="s">
        <v>11</v>
      </c>
      <c r="G19" t="s">
        <v>32</v>
      </c>
      <c r="H19" s="2">
        <v>44044</v>
      </c>
      <c r="I19" s="2">
        <v>44105</v>
      </c>
      <c r="J19" s="2" t="s">
        <v>149</v>
      </c>
      <c r="K19" t="s">
        <v>112</v>
      </c>
      <c r="L19" t="s">
        <v>112</v>
      </c>
      <c r="M19" t="s">
        <v>91</v>
      </c>
      <c r="N19" t="s">
        <v>88</v>
      </c>
      <c r="O19" t="s">
        <v>113</v>
      </c>
      <c r="P19" t="s">
        <v>10</v>
      </c>
      <c r="Q19" t="s">
        <v>105</v>
      </c>
      <c r="R19" t="s">
        <v>152</v>
      </c>
    </row>
    <row r="20" spans="1:18" ht="15" thickBot="1" x14ac:dyDescent="0.35">
      <c r="A20" t="s">
        <v>33</v>
      </c>
      <c r="B20" s="12">
        <v>0.59592979999999995</v>
      </c>
      <c r="C20">
        <v>36</v>
      </c>
      <c r="D20">
        <v>7</v>
      </c>
      <c r="E20" s="14">
        <v>3</v>
      </c>
      <c r="F20" t="s">
        <v>34</v>
      </c>
      <c r="G20" t="s">
        <v>12</v>
      </c>
      <c r="H20" s="2">
        <v>43983</v>
      </c>
      <c r="I20" s="2">
        <v>44013</v>
      </c>
      <c r="J20" s="2" t="s">
        <v>170</v>
      </c>
      <c r="K20">
        <v>7</v>
      </c>
      <c r="L20">
        <v>7</v>
      </c>
      <c r="M20" t="s">
        <v>134</v>
      </c>
      <c r="N20" t="s">
        <v>93</v>
      </c>
      <c r="O20" t="s">
        <v>93</v>
      </c>
      <c r="P20" t="s">
        <v>7</v>
      </c>
      <c r="Q20" t="s">
        <v>177</v>
      </c>
      <c r="R20" t="s">
        <v>135</v>
      </c>
    </row>
    <row r="21" spans="1:18" ht="15" thickBot="1" x14ac:dyDescent="0.35">
      <c r="A21" t="s">
        <v>35</v>
      </c>
      <c r="B21" s="12">
        <v>0</v>
      </c>
      <c r="C21">
        <v>2</v>
      </c>
      <c r="D21">
        <v>1</v>
      </c>
      <c r="E21" s="14">
        <v>3</v>
      </c>
      <c r="F21" t="s">
        <v>8</v>
      </c>
      <c r="G21" t="s">
        <v>12</v>
      </c>
      <c r="J21" s="2" t="s">
        <v>209</v>
      </c>
      <c r="K21" s="10" t="s">
        <v>207</v>
      </c>
      <c r="L21" t="s">
        <v>208</v>
      </c>
      <c r="M21" s="2" t="s">
        <v>80</v>
      </c>
      <c r="N21" s="2" t="s">
        <v>87</v>
      </c>
      <c r="O21" s="2" t="s">
        <v>82</v>
      </c>
      <c r="P21" t="s">
        <v>7</v>
      </c>
      <c r="Q21" t="s">
        <v>177</v>
      </c>
      <c r="R21" t="s">
        <v>210</v>
      </c>
    </row>
    <row r="22" spans="1:18" ht="15" thickBot="1" x14ac:dyDescent="0.35">
      <c r="A22" t="s">
        <v>36</v>
      </c>
      <c r="B22" s="12">
        <v>0.97886019999999996</v>
      </c>
      <c r="C22">
        <v>50</v>
      </c>
      <c r="D22">
        <v>4</v>
      </c>
      <c r="E22">
        <v>4</v>
      </c>
      <c r="F22" t="s">
        <v>11</v>
      </c>
      <c r="G22" t="s">
        <v>12</v>
      </c>
      <c r="H22" s="2">
        <v>44013</v>
      </c>
      <c r="I22" s="2">
        <v>44105</v>
      </c>
      <c r="J22" s="2" t="s">
        <v>168</v>
      </c>
      <c r="K22">
        <v>15</v>
      </c>
      <c r="L22">
        <v>7</v>
      </c>
      <c r="M22" t="s">
        <v>97</v>
      </c>
      <c r="N22" t="s">
        <v>93</v>
      </c>
      <c r="O22" t="s">
        <v>88</v>
      </c>
      <c r="P22" t="s">
        <v>10</v>
      </c>
      <c r="Q22" t="s">
        <v>128</v>
      </c>
      <c r="R22" t="s">
        <v>129</v>
      </c>
    </row>
    <row r="23" spans="1:18" ht="15" thickBot="1" x14ac:dyDescent="0.35">
      <c r="A23" t="s">
        <v>37</v>
      </c>
      <c r="B23" s="12">
        <v>0.41937340000000001</v>
      </c>
      <c r="C23">
        <v>4</v>
      </c>
      <c r="D23">
        <v>8</v>
      </c>
      <c r="E23" s="14">
        <v>3</v>
      </c>
      <c r="F23" t="s">
        <v>8</v>
      </c>
      <c r="G23" t="s">
        <v>12</v>
      </c>
      <c r="H23" s="2">
        <v>44013</v>
      </c>
      <c r="I23" s="2">
        <v>44044</v>
      </c>
      <c r="J23" s="2" t="s">
        <v>171</v>
      </c>
      <c r="K23" t="s">
        <v>124</v>
      </c>
      <c r="L23" t="s">
        <v>124</v>
      </c>
      <c r="M23" t="s">
        <v>91</v>
      </c>
      <c r="N23" t="s">
        <v>93</v>
      </c>
      <c r="O23" t="s">
        <v>93</v>
      </c>
      <c r="P23" t="s">
        <v>7</v>
      </c>
      <c r="Q23" t="s">
        <v>179</v>
      </c>
      <c r="R23" t="s">
        <v>130</v>
      </c>
    </row>
    <row r="24" spans="1:18" ht="15" thickBot="1" x14ac:dyDescent="0.35">
      <c r="A24" t="s">
        <v>258</v>
      </c>
      <c r="B24" s="12">
        <v>0.6648307</v>
      </c>
      <c r="C24">
        <v>6</v>
      </c>
      <c r="D24">
        <v>2</v>
      </c>
      <c r="E24" s="14">
        <v>3</v>
      </c>
      <c r="F24" t="s">
        <v>8</v>
      </c>
      <c r="G24" t="s">
        <v>12</v>
      </c>
      <c r="J24" s="2" t="s">
        <v>169</v>
      </c>
      <c r="K24" t="s">
        <v>124</v>
      </c>
      <c r="L24" t="s">
        <v>124</v>
      </c>
      <c r="M24" t="s">
        <v>91</v>
      </c>
      <c r="N24" t="s">
        <v>87</v>
      </c>
      <c r="O24" t="s">
        <v>175</v>
      </c>
      <c r="P24" t="s">
        <v>7</v>
      </c>
      <c r="Q24" t="s">
        <v>177</v>
      </c>
      <c r="R24" t="s">
        <v>197</v>
      </c>
    </row>
    <row r="25" spans="1:18" ht="15" thickBot="1" x14ac:dyDescent="0.35">
      <c r="A25" s="13" t="s">
        <v>180</v>
      </c>
      <c r="B25" s="12">
        <v>0</v>
      </c>
      <c r="C25">
        <v>0</v>
      </c>
      <c r="D25">
        <v>1</v>
      </c>
      <c r="E25" s="14">
        <v>3</v>
      </c>
      <c r="F25" t="s">
        <v>8</v>
      </c>
      <c r="G25" t="s">
        <v>28</v>
      </c>
      <c r="J25" s="2" t="s">
        <v>164</v>
      </c>
      <c r="K25" t="s">
        <v>174</v>
      </c>
      <c r="L25" t="s">
        <v>174</v>
      </c>
      <c r="M25" t="s">
        <v>198</v>
      </c>
      <c r="N25" t="s">
        <v>87</v>
      </c>
      <c r="O25" t="s">
        <v>175</v>
      </c>
      <c r="P25" t="s">
        <v>7</v>
      </c>
      <c r="Q25" t="s">
        <v>206</v>
      </c>
      <c r="R25" t="s">
        <v>199</v>
      </c>
    </row>
    <row r="26" spans="1:18" ht="15" thickBot="1" x14ac:dyDescent="0.35">
      <c r="A26" t="s">
        <v>38</v>
      </c>
      <c r="B26" s="12">
        <v>0.27725889999999997</v>
      </c>
      <c r="C26">
        <v>2.5</v>
      </c>
      <c r="D26">
        <v>5</v>
      </c>
      <c r="E26" s="14">
        <v>3</v>
      </c>
      <c r="F26" t="s">
        <v>8</v>
      </c>
      <c r="G26" t="s">
        <v>28</v>
      </c>
      <c r="J26" s="2" t="s">
        <v>164</v>
      </c>
      <c r="K26" t="s">
        <v>200</v>
      </c>
      <c r="L26" t="s">
        <v>200</v>
      </c>
      <c r="M26" t="s">
        <v>198</v>
      </c>
      <c r="N26" t="s">
        <v>87</v>
      </c>
      <c r="O26" t="s">
        <v>175</v>
      </c>
      <c r="P26" t="s">
        <v>7</v>
      </c>
      <c r="Q26" t="s">
        <v>177</v>
      </c>
      <c r="R26" t="s">
        <v>201</v>
      </c>
    </row>
    <row r="27" spans="1:18" ht="15" thickBot="1" x14ac:dyDescent="0.35">
      <c r="A27" s="13" t="s">
        <v>181</v>
      </c>
      <c r="B27" s="12">
        <v>0</v>
      </c>
      <c r="C27">
        <v>0</v>
      </c>
      <c r="D27">
        <v>1</v>
      </c>
      <c r="E27" s="14">
        <v>3</v>
      </c>
      <c r="F27" t="s">
        <v>8</v>
      </c>
      <c r="G27" t="s">
        <v>12</v>
      </c>
      <c r="J27" s="2" t="s">
        <v>164</v>
      </c>
      <c r="K27" t="s">
        <v>202</v>
      </c>
      <c r="L27" t="s">
        <v>203</v>
      </c>
      <c r="M27" t="s">
        <v>198</v>
      </c>
      <c r="N27" t="s">
        <v>205</v>
      </c>
      <c r="O27" t="s">
        <v>175</v>
      </c>
      <c r="P27" t="s">
        <v>7</v>
      </c>
      <c r="Q27" t="s">
        <v>206</v>
      </c>
      <c r="R27" t="s">
        <v>204</v>
      </c>
    </row>
    <row r="28" spans="1:18" ht="15" thickBot="1" x14ac:dyDescent="0.35">
      <c r="A28" t="s">
        <v>39</v>
      </c>
      <c r="B28" s="12">
        <v>1.4416310999999999</v>
      </c>
      <c r="C28">
        <v>54</v>
      </c>
      <c r="D28">
        <v>5</v>
      </c>
      <c r="E28">
        <v>5</v>
      </c>
      <c r="F28" t="s">
        <v>11</v>
      </c>
      <c r="G28" t="s">
        <v>12</v>
      </c>
      <c r="H28" s="2">
        <v>43952</v>
      </c>
      <c r="I28" s="2">
        <v>44105</v>
      </c>
      <c r="J28" s="2" t="s">
        <v>150</v>
      </c>
      <c r="K28" t="s">
        <v>84</v>
      </c>
      <c r="L28" t="s">
        <v>84</v>
      </c>
      <c r="M28" t="s">
        <v>86</v>
      </c>
      <c r="N28" t="s">
        <v>87</v>
      </c>
      <c r="O28" t="s">
        <v>93</v>
      </c>
      <c r="P28" t="s">
        <v>10</v>
      </c>
      <c r="R28" t="s">
        <v>151</v>
      </c>
    </row>
    <row r="29" spans="1:18" ht="15" thickBot="1" x14ac:dyDescent="0.35">
      <c r="A29" t="s">
        <v>182</v>
      </c>
      <c r="B29" s="12">
        <v>0</v>
      </c>
      <c r="C29">
        <v>0</v>
      </c>
      <c r="D29">
        <v>3</v>
      </c>
      <c r="E29" s="14">
        <v>3</v>
      </c>
      <c r="F29" t="s">
        <v>8</v>
      </c>
      <c r="G29" t="s">
        <v>211</v>
      </c>
      <c r="J29" s="2" t="s">
        <v>168</v>
      </c>
      <c r="K29" t="s">
        <v>124</v>
      </c>
      <c r="L29" t="s">
        <v>124</v>
      </c>
      <c r="M29" t="s">
        <v>91</v>
      </c>
      <c r="N29" t="s">
        <v>87</v>
      </c>
      <c r="O29" t="s">
        <v>175</v>
      </c>
      <c r="P29" t="s">
        <v>7</v>
      </c>
      <c r="R29" t="s">
        <v>212</v>
      </c>
    </row>
    <row r="30" spans="1:18" ht="15" thickBot="1" x14ac:dyDescent="0.35">
      <c r="A30" t="s">
        <v>40</v>
      </c>
      <c r="B30" s="12">
        <v>1.0741605999999999</v>
      </c>
      <c r="C30">
        <v>22.5</v>
      </c>
      <c r="D30">
        <v>6</v>
      </c>
      <c r="E30">
        <v>1</v>
      </c>
      <c r="F30" t="s">
        <v>17</v>
      </c>
      <c r="G30" t="s">
        <v>32</v>
      </c>
      <c r="J30" s="2" t="s">
        <v>149</v>
      </c>
      <c r="K30" t="s">
        <v>84</v>
      </c>
      <c r="L30" t="s">
        <v>84</v>
      </c>
      <c r="M30" t="s">
        <v>91</v>
      </c>
      <c r="N30" t="s">
        <v>87</v>
      </c>
      <c r="O30" t="s">
        <v>175</v>
      </c>
      <c r="P30" t="s">
        <v>10</v>
      </c>
      <c r="Q30" t="s">
        <v>214</v>
      </c>
      <c r="R30" t="s">
        <v>213</v>
      </c>
    </row>
    <row r="31" spans="1:18" ht="15" thickBot="1" x14ac:dyDescent="0.35">
      <c r="A31" t="s">
        <v>41</v>
      </c>
      <c r="B31" s="12">
        <v>0.49254540000000002</v>
      </c>
      <c r="C31">
        <v>11</v>
      </c>
      <c r="D31">
        <v>4</v>
      </c>
      <c r="E31" s="14">
        <v>3</v>
      </c>
      <c r="F31" t="s">
        <v>17</v>
      </c>
      <c r="G31" t="s">
        <v>218</v>
      </c>
      <c r="J31" s="2" t="s">
        <v>169</v>
      </c>
      <c r="K31" t="s">
        <v>215</v>
      </c>
      <c r="L31" t="s">
        <v>216</v>
      </c>
      <c r="M31" t="s">
        <v>91</v>
      </c>
      <c r="N31" t="s">
        <v>87</v>
      </c>
      <c r="O31" t="s">
        <v>175</v>
      </c>
      <c r="P31" t="s">
        <v>10</v>
      </c>
      <c r="Q31" t="s">
        <v>177</v>
      </c>
      <c r="R31" t="s">
        <v>217</v>
      </c>
    </row>
    <row r="32" spans="1:18" ht="15" thickBot="1" x14ac:dyDescent="0.35">
      <c r="A32" t="s">
        <v>42</v>
      </c>
      <c r="B32" s="12">
        <v>1.4686503</v>
      </c>
      <c r="C32">
        <v>23</v>
      </c>
      <c r="D32">
        <v>4</v>
      </c>
      <c r="E32">
        <v>2</v>
      </c>
      <c r="F32" t="s">
        <v>17</v>
      </c>
      <c r="G32" t="s">
        <v>12</v>
      </c>
      <c r="J32" s="2" t="s">
        <v>164</v>
      </c>
      <c r="K32" t="s">
        <v>215</v>
      </c>
      <c r="L32" t="s">
        <v>215</v>
      </c>
      <c r="M32" t="s">
        <v>91</v>
      </c>
      <c r="N32" t="s">
        <v>87</v>
      </c>
      <c r="O32" t="s">
        <v>175</v>
      </c>
      <c r="P32" t="s">
        <v>10</v>
      </c>
      <c r="Q32" t="s">
        <v>214</v>
      </c>
      <c r="R32" t="s">
        <v>219</v>
      </c>
    </row>
    <row r="33" spans="1:18" ht="15" thickBot="1" x14ac:dyDescent="0.35">
      <c r="A33" t="s">
        <v>43</v>
      </c>
      <c r="B33" s="12">
        <v>0.84400660000000005</v>
      </c>
      <c r="C33">
        <v>6</v>
      </c>
      <c r="D33">
        <v>5</v>
      </c>
      <c r="E33" s="14">
        <v>3</v>
      </c>
      <c r="F33" t="s">
        <v>17</v>
      </c>
      <c r="G33" t="s">
        <v>32</v>
      </c>
      <c r="J33" s="2" t="s">
        <v>169</v>
      </c>
      <c r="K33" t="s">
        <v>77</v>
      </c>
      <c r="L33" t="s">
        <v>77</v>
      </c>
      <c r="M33" t="s">
        <v>91</v>
      </c>
      <c r="N33" t="s">
        <v>87</v>
      </c>
      <c r="O33" t="s">
        <v>175</v>
      </c>
      <c r="P33" t="s">
        <v>10</v>
      </c>
      <c r="Q33" t="s">
        <v>177</v>
      </c>
    </row>
    <row r="34" spans="1:18" ht="15" thickBot="1" x14ac:dyDescent="0.35">
      <c r="A34" t="s">
        <v>44</v>
      </c>
      <c r="B34" s="12">
        <v>0.25020120000000001</v>
      </c>
      <c r="C34">
        <v>6</v>
      </c>
      <c r="D34">
        <v>2</v>
      </c>
      <c r="E34" s="14">
        <v>3</v>
      </c>
      <c r="F34" t="s">
        <v>17</v>
      </c>
      <c r="G34" t="s">
        <v>22</v>
      </c>
      <c r="J34" s="2" t="s">
        <v>169</v>
      </c>
      <c r="K34" t="s">
        <v>220</v>
      </c>
      <c r="L34" t="s">
        <v>77</v>
      </c>
      <c r="M34" t="s">
        <v>91</v>
      </c>
      <c r="N34" t="s">
        <v>87</v>
      </c>
      <c r="O34" t="s">
        <v>221</v>
      </c>
      <c r="P34" t="s">
        <v>10</v>
      </c>
      <c r="Q34" t="s">
        <v>177</v>
      </c>
    </row>
    <row r="35" spans="1:18" ht="15" thickBot="1" x14ac:dyDescent="0.35">
      <c r="A35" t="s">
        <v>45</v>
      </c>
      <c r="B35" s="12">
        <v>1.2018749</v>
      </c>
      <c r="C35">
        <v>20.5</v>
      </c>
      <c r="D35">
        <v>6</v>
      </c>
      <c r="E35">
        <v>3</v>
      </c>
      <c r="F35" t="s">
        <v>11</v>
      </c>
      <c r="G35" t="s">
        <v>28</v>
      </c>
      <c r="H35" s="2">
        <v>44013</v>
      </c>
      <c r="I35" s="2">
        <v>44105</v>
      </c>
      <c r="J35" s="2" t="s">
        <v>168</v>
      </c>
      <c r="K35" t="s">
        <v>77</v>
      </c>
      <c r="L35" t="s">
        <v>77</v>
      </c>
      <c r="M35" t="s">
        <v>91</v>
      </c>
      <c r="N35" t="s">
        <v>87</v>
      </c>
      <c r="O35" t="s">
        <v>93</v>
      </c>
      <c r="P35" t="s">
        <v>10</v>
      </c>
      <c r="Q35" t="s">
        <v>222</v>
      </c>
      <c r="R35" t="s">
        <v>92</v>
      </c>
    </row>
    <row r="36" spans="1:18" ht="15" thickBot="1" x14ac:dyDescent="0.35">
      <c r="A36" t="s">
        <v>47</v>
      </c>
      <c r="B36" s="12">
        <v>1.1663076000000001</v>
      </c>
      <c r="C36">
        <v>35</v>
      </c>
      <c r="D36">
        <v>8</v>
      </c>
      <c r="E36">
        <v>4</v>
      </c>
      <c r="F36" t="s">
        <v>17</v>
      </c>
      <c r="G36" t="s">
        <v>22</v>
      </c>
      <c r="H36" s="2">
        <v>44013</v>
      </c>
      <c r="I36" s="2">
        <v>44105</v>
      </c>
      <c r="J36" s="2" t="s">
        <v>168</v>
      </c>
      <c r="K36" t="s">
        <v>84</v>
      </c>
      <c r="L36" t="s">
        <v>84</v>
      </c>
      <c r="M36" t="s">
        <v>116</v>
      </c>
      <c r="N36" t="s">
        <v>87</v>
      </c>
      <c r="O36" t="s">
        <v>93</v>
      </c>
      <c r="P36" t="s">
        <v>10</v>
      </c>
      <c r="Q36" t="s">
        <v>114</v>
      </c>
      <c r="R36" t="s">
        <v>115</v>
      </c>
    </row>
    <row r="37" spans="1:18" ht="15" thickBot="1" x14ac:dyDescent="0.35">
      <c r="A37" t="s">
        <v>48</v>
      </c>
      <c r="B37" s="12">
        <v>0.89955309999999999</v>
      </c>
      <c r="C37">
        <v>26.5</v>
      </c>
      <c r="D37">
        <v>8</v>
      </c>
      <c r="E37">
        <v>2</v>
      </c>
      <c r="F37" t="s">
        <v>17</v>
      </c>
      <c r="G37" t="s">
        <v>12</v>
      </c>
      <c r="H37" s="2">
        <v>44013</v>
      </c>
      <c r="I37" s="2">
        <v>44105</v>
      </c>
      <c r="J37" s="2" t="s">
        <v>164</v>
      </c>
      <c r="K37">
        <v>6</v>
      </c>
      <c r="L37">
        <v>6</v>
      </c>
      <c r="M37" t="s">
        <v>86</v>
      </c>
      <c r="N37" t="s">
        <v>87</v>
      </c>
      <c r="O37" t="s">
        <v>93</v>
      </c>
      <c r="P37" t="s">
        <v>10</v>
      </c>
      <c r="R37" t="s">
        <v>224</v>
      </c>
    </row>
    <row r="38" spans="1:18" ht="15" thickBot="1" x14ac:dyDescent="0.35">
      <c r="A38" t="s">
        <v>49</v>
      </c>
      <c r="B38" s="12">
        <v>0.54930610000000002</v>
      </c>
      <c r="C38">
        <v>4</v>
      </c>
      <c r="D38">
        <v>2</v>
      </c>
      <c r="E38" s="14">
        <v>3</v>
      </c>
      <c r="F38" t="s">
        <v>17</v>
      </c>
      <c r="G38" t="s">
        <v>22</v>
      </c>
      <c r="J38" s="2" t="s">
        <v>164</v>
      </c>
      <c r="K38" t="s">
        <v>84</v>
      </c>
      <c r="L38" t="s">
        <v>102</v>
      </c>
      <c r="M38" t="s">
        <v>91</v>
      </c>
      <c r="N38" t="s">
        <v>87</v>
      </c>
      <c r="O38" t="s">
        <v>93</v>
      </c>
      <c r="P38" t="s">
        <v>10</v>
      </c>
      <c r="Q38" t="s">
        <v>177</v>
      </c>
      <c r="R38" t="s">
        <v>225</v>
      </c>
    </row>
    <row r="39" spans="1:18" ht="15" thickBot="1" x14ac:dyDescent="0.35">
      <c r="A39" t="s">
        <v>50</v>
      </c>
      <c r="B39" s="12">
        <v>1.5613189999999999</v>
      </c>
      <c r="C39">
        <v>66</v>
      </c>
      <c r="D39">
        <v>4</v>
      </c>
      <c r="E39">
        <v>2</v>
      </c>
      <c r="F39" t="s">
        <v>11</v>
      </c>
      <c r="G39" t="s">
        <v>28</v>
      </c>
      <c r="H39" s="2">
        <v>44013</v>
      </c>
      <c r="I39" s="2">
        <v>44075</v>
      </c>
      <c r="J39" s="2" t="s">
        <v>164</v>
      </c>
      <c r="K39" t="s">
        <v>90</v>
      </c>
      <c r="L39" t="s">
        <v>90</v>
      </c>
      <c r="M39" t="s">
        <v>86</v>
      </c>
      <c r="N39" t="s">
        <v>87</v>
      </c>
      <c r="O39" t="s">
        <v>88</v>
      </c>
      <c r="P39" t="s">
        <v>10</v>
      </c>
      <c r="R39" t="s">
        <v>89</v>
      </c>
    </row>
    <row r="40" spans="1:18" ht="15" thickBot="1" x14ac:dyDescent="0.35">
      <c r="A40" t="s">
        <v>51</v>
      </c>
      <c r="B40" s="12">
        <v>1.0919433000000001</v>
      </c>
      <c r="C40">
        <v>18.5</v>
      </c>
      <c r="D40">
        <v>6</v>
      </c>
      <c r="E40" s="14">
        <v>3</v>
      </c>
      <c r="F40" t="s">
        <v>17</v>
      </c>
      <c r="G40" t="s">
        <v>22</v>
      </c>
      <c r="J40" s="2" t="s">
        <v>169</v>
      </c>
      <c r="K40" t="s">
        <v>188</v>
      </c>
      <c r="L40" t="s">
        <v>188</v>
      </c>
      <c r="M40" t="s">
        <v>95</v>
      </c>
      <c r="N40" t="s">
        <v>108</v>
      </c>
      <c r="P40" t="s">
        <v>10</v>
      </c>
      <c r="Q40" t="s">
        <v>177</v>
      </c>
      <c r="R40" t="s">
        <v>226</v>
      </c>
    </row>
    <row r="41" spans="1:18" ht="15" thickBot="1" x14ac:dyDescent="0.35">
      <c r="A41" t="s">
        <v>52</v>
      </c>
      <c r="B41" s="12">
        <v>0</v>
      </c>
      <c r="C41">
        <v>2</v>
      </c>
      <c r="D41">
        <v>2</v>
      </c>
      <c r="E41" s="14">
        <v>3</v>
      </c>
      <c r="F41" t="s">
        <v>34</v>
      </c>
      <c r="G41" t="s">
        <v>28</v>
      </c>
      <c r="J41" s="2" t="s">
        <v>227</v>
      </c>
      <c r="K41" s="2" t="s">
        <v>228</v>
      </c>
      <c r="L41" s="2" t="s">
        <v>228</v>
      </c>
      <c r="M41" s="2" t="s">
        <v>116</v>
      </c>
      <c r="P41" t="s">
        <v>7</v>
      </c>
      <c r="Q41" t="s">
        <v>177</v>
      </c>
      <c r="R41" t="s">
        <v>229</v>
      </c>
    </row>
    <row r="42" spans="1:18" ht="15" thickBot="1" x14ac:dyDescent="0.35">
      <c r="A42" t="s">
        <v>53</v>
      </c>
      <c r="B42" s="12">
        <v>1.1124984</v>
      </c>
      <c r="C42">
        <v>24</v>
      </c>
      <c r="D42">
        <v>9</v>
      </c>
      <c r="E42">
        <v>8</v>
      </c>
      <c r="F42" t="s">
        <v>11</v>
      </c>
      <c r="G42" t="s">
        <v>22</v>
      </c>
      <c r="H42" s="2">
        <v>44013</v>
      </c>
      <c r="I42" s="2">
        <v>44075</v>
      </c>
      <c r="J42" s="2" t="s">
        <v>164</v>
      </c>
      <c r="K42" t="s">
        <v>84</v>
      </c>
      <c r="L42" t="s">
        <v>85</v>
      </c>
      <c r="M42" t="s">
        <v>86</v>
      </c>
      <c r="N42" t="s">
        <v>87</v>
      </c>
      <c r="O42" t="s">
        <v>88</v>
      </c>
      <c r="P42" t="s">
        <v>10</v>
      </c>
      <c r="R42" t="s">
        <v>89</v>
      </c>
    </row>
    <row r="43" spans="1:18" ht="15" thickBot="1" x14ac:dyDescent="0.35">
      <c r="A43" t="s">
        <v>54</v>
      </c>
      <c r="B43" s="12">
        <v>0.67701259999999996</v>
      </c>
      <c r="C43">
        <v>8</v>
      </c>
      <c r="D43">
        <v>4</v>
      </c>
      <c r="E43" s="14">
        <v>3</v>
      </c>
      <c r="F43" t="s">
        <v>17</v>
      </c>
      <c r="G43" t="s">
        <v>12</v>
      </c>
      <c r="J43" s="2" t="s">
        <v>171</v>
      </c>
      <c r="K43" t="s">
        <v>84</v>
      </c>
      <c r="L43" t="s">
        <v>84</v>
      </c>
      <c r="M43" t="s">
        <v>91</v>
      </c>
      <c r="N43" t="s">
        <v>93</v>
      </c>
      <c r="O43" t="s">
        <v>93</v>
      </c>
      <c r="P43" t="s">
        <v>10</v>
      </c>
      <c r="Q43" t="s">
        <v>177</v>
      </c>
      <c r="R43" t="s">
        <v>230</v>
      </c>
    </row>
    <row r="44" spans="1:18" ht="15" thickBot="1" x14ac:dyDescent="0.35">
      <c r="A44" t="s">
        <v>55</v>
      </c>
      <c r="B44" s="12">
        <v>0.84796269999999996</v>
      </c>
      <c r="C44">
        <v>28</v>
      </c>
      <c r="D44">
        <v>5</v>
      </c>
      <c r="E44" s="14">
        <v>3</v>
      </c>
      <c r="F44" t="s">
        <v>17</v>
      </c>
      <c r="G44" t="s">
        <v>12</v>
      </c>
      <c r="J44" s="2" t="s">
        <v>164</v>
      </c>
      <c r="K44" t="s">
        <v>220</v>
      </c>
      <c r="L44" t="s">
        <v>220</v>
      </c>
      <c r="M44" t="s">
        <v>91</v>
      </c>
      <c r="N44" t="s">
        <v>205</v>
      </c>
      <c r="O44" t="s">
        <v>175</v>
      </c>
      <c r="P44" t="s">
        <v>10</v>
      </c>
      <c r="Q44" t="s">
        <v>231</v>
      </c>
      <c r="R44" t="s">
        <v>232</v>
      </c>
    </row>
    <row r="45" spans="1:18" ht="15" thickBot="1" x14ac:dyDescent="0.35">
      <c r="A45" t="s">
        <v>56</v>
      </c>
      <c r="B45" s="12">
        <v>1.4234023</v>
      </c>
      <c r="C45">
        <v>26</v>
      </c>
      <c r="D45">
        <v>9</v>
      </c>
      <c r="E45">
        <v>11</v>
      </c>
      <c r="F45" t="s">
        <v>11</v>
      </c>
      <c r="G45" t="s">
        <v>28</v>
      </c>
      <c r="H45" s="2">
        <v>44013</v>
      </c>
      <c r="I45" s="2">
        <v>44105</v>
      </c>
      <c r="J45" s="2" t="s">
        <v>168</v>
      </c>
      <c r="K45" t="s">
        <v>84</v>
      </c>
      <c r="L45" t="s">
        <v>84</v>
      </c>
      <c r="M45" t="s">
        <v>91</v>
      </c>
      <c r="N45" t="s">
        <v>93</v>
      </c>
      <c r="O45" t="s">
        <v>93</v>
      </c>
      <c r="P45" t="s">
        <v>10</v>
      </c>
      <c r="Q45" t="s">
        <v>118</v>
      </c>
      <c r="R45" t="s">
        <v>119</v>
      </c>
    </row>
    <row r="46" spans="1:18" ht="15" thickBot="1" x14ac:dyDescent="0.35">
      <c r="A46" t="s">
        <v>57</v>
      </c>
      <c r="B46" s="12">
        <v>0.72274119999999997</v>
      </c>
      <c r="C46">
        <v>10</v>
      </c>
      <c r="D46">
        <v>3</v>
      </c>
      <c r="E46" s="14">
        <v>3</v>
      </c>
      <c r="F46" t="s">
        <v>17</v>
      </c>
      <c r="G46" t="s">
        <v>22</v>
      </c>
      <c r="J46" s="2" t="s">
        <v>171</v>
      </c>
      <c r="K46" t="s">
        <v>84</v>
      </c>
      <c r="L46" t="s">
        <v>188</v>
      </c>
      <c r="M46" t="s">
        <v>91</v>
      </c>
      <c r="N46" t="s">
        <v>205</v>
      </c>
      <c r="O46" t="s">
        <v>175</v>
      </c>
      <c r="P46" t="s">
        <v>10</v>
      </c>
      <c r="Q46" t="s">
        <v>177</v>
      </c>
      <c r="R46" t="s">
        <v>233</v>
      </c>
    </row>
    <row r="47" spans="1:18" ht="15" thickBot="1" x14ac:dyDescent="0.35">
      <c r="A47" t="s">
        <v>58</v>
      </c>
      <c r="B47" s="12">
        <v>1.0691664999999999</v>
      </c>
      <c r="C47">
        <v>7</v>
      </c>
      <c r="D47">
        <v>2</v>
      </c>
      <c r="E47" s="14">
        <v>3</v>
      </c>
      <c r="F47" t="s">
        <v>34</v>
      </c>
      <c r="G47" t="s">
        <v>12</v>
      </c>
      <c r="J47" s="2" t="s">
        <v>227</v>
      </c>
      <c r="K47" t="s">
        <v>124</v>
      </c>
      <c r="L47" t="s">
        <v>216</v>
      </c>
      <c r="M47" s="2" t="s">
        <v>234</v>
      </c>
      <c r="N47" s="2" t="s">
        <v>93</v>
      </c>
      <c r="O47" s="2" t="s">
        <v>93</v>
      </c>
      <c r="P47" t="s">
        <v>7</v>
      </c>
      <c r="Q47" t="s">
        <v>177</v>
      </c>
      <c r="R47" t="s">
        <v>235</v>
      </c>
    </row>
    <row r="48" spans="1:18" ht="15" thickBot="1" x14ac:dyDescent="0.35">
      <c r="A48" t="s">
        <v>120</v>
      </c>
      <c r="B48" s="12">
        <v>1.2143702000000001</v>
      </c>
      <c r="C48">
        <v>31.5</v>
      </c>
      <c r="D48">
        <v>6</v>
      </c>
      <c r="E48">
        <v>3</v>
      </c>
      <c r="F48" t="s">
        <v>17</v>
      </c>
      <c r="G48" t="s">
        <v>28</v>
      </c>
      <c r="H48" s="2">
        <v>44013</v>
      </c>
      <c r="I48" s="2">
        <v>44105</v>
      </c>
      <c r="J48" s="2" t="s">
        <v>168</v>
      </c>
      <c r="K48" t="s">
        <v>123</v>
      </c>
      <c r="L48" t="s">
        <v>112</v>
      </c>
      <c r="M48" t="s">
        <v>91</v>
      </c>
      <c r="N48" t="s">
        <v>93</v>
      </c>
      <c r="O48" t="s">
        <v>93</v>
      </c>
      <c r="P48" t="s">
        <v>10</v>
      </c>
      <c r="Q48" t="s">
        <v>121</v>
      </c>
      <c r="R48" t="s">
        <v>122</v>
      </c>
    </row>
    <row r="49" spans="1:18" ht="15" thickBot="1" x14ac:dyDescent="0.35">
      <c r="A49" t="s">
        <v>59</v>
      </c>
      <c r="B49" s="12">
        <v>0</v>
      </c>
      <c r="C49">
        <v>1</v>
      </c>
      <c r="D49">
        <v>1</v>
      </c>
      <c r="E49" s="14">
        <v>3</v>
      </c>
      <c r="F49" t="s">
        <v>8</v>
      </c>
      <c r="G49" t="s">
        <v>12</v>
      </c>
      <c r="J49" s="2" t="s">
        <v>172</v>
      </c>
      <c r="K49" t="s">
        <v>94</v>
      </c>
      <c r="L49" t="s">
        <v>94</v>
      </c>
      <c r="M49" t="s">
        <v>166</v>
      </c>
      <c r="N49" t="s">
        <v>88</v>
      </c>
      <c r="O49" t="s">
        <v>82</v>
      </c>
      <c r="P49" t="s">
        <v>7</v>
      </c>
      <c r="Q49" t="s">
        <v>177</v>
      </c>
      <c r="R49" t="s">
        <v>237</v>
      </c>
    </row>
    <row r="50" spans="1:18" ht="15" thickBot="1" x14ac:dyDescent="0.35">
      <c r="A50" t="s">
        <v>60</v>
      </c>
      <c r="B50" s="12">
        <v>0.15004149999999999</v>
      </c>
      <c r="C50">
        <v>11</v>
      </c>
      <c r="D50">
        <v>4</v>
      </c>
      <c r="E50" s="14">
        <v>3</v>
      </c>
      <c r="F50" t="s">
        <v>8</v>
      </c>
      <c r="G50" t="s">
        <v>12</v>
      </c>
      <c r="J50" s="2" t="s">
        <v>171</v>
      </c>
      <c r="K50">
        <v>4</v>
      </c>
      <c r="L50">
        <v>4</v>
      </c>
      <c r="M50" t="s">
        <v>91</v>
      </c>
      <c r="N50" t="s">
        <v>108</v>
      </c>
      <c r="O50" t="s">
        <v>175</v>
      </c>
      <c r="P50" t="s">
        <v>7</v>
      </c>
      <c r="Q50" t="s">
        <v>177</v>
      </c>
      <c r="R50" t="s">
        <v>238</v>
      </c>
    </row>
    <row r="51" spans="1:18" ht="15" thickBot="1" x14ac:dyDescent="0.35">
      <c r="A51" t="s">
        <v>61</v>
      </c>
      <c r="B51" s="12">
        <v>1.4059249</v>
      </c>
      <c r="C51">
        <v>14</v>
      </c>
      <c r="D51">
        <v>3</v>
      </c>
      <c r="E51" s="14">
        <v>3</v>
      </c>
      <c r="F51" t="s">
        <v>17</v>
      </c>
      <c r="G51" t="s">
        <v>12</v>
      </c>
      <c r="J51" s="2" t="s">
        <v>239</v>
      </c>
      <c r="K51" t="s">
        <v>124</v>
      </c>
      <c r="L51" t="s">
        <v>216</v>
      </c>
      <c r="M51" t="s">
        <v>116</v>
      </c>
      <c r="N51" t="s">
        <v>221</v>
      </c>
      <c r="O51" t="s">
        <v>175</v>
      </c>
      <c r="P51" t="s">
        <v>10</v>
      </c>
      <c r="Q51" t="s">
        <v>177</v>
      </c>
      <c r="R51" t="s">
        <v>240</v>
      </c>
    </row>
    <row r="52" spans="1:18" ht="15" thickBot="1" x14ac:dyDescent="0.35">
      <c r="A52" t="s">
        <v>62</v>
      </c>
      <c r="B52" s="12">
        <v>0.87331119999999995</v>
      </c>
      <c r="C52">
        <v>22</v>
      </c>
      <c r="D52">
        <v>6</v>
      </c>
      <c r="E52" s="14">
        <v>3</v>
      </c>
      <c r="F52" t="s">
        <v>34</v>
      </c>
      <c r="G52" t="s">
        <v>12</v>
      </c>
      <c r="J52" s="2" t="s">
        <v>242</v>
      </c>
      <c r="K52" t="s">
        <v>241</v>
      </c>
      <c r="L52" t="s">
        <v>241</v>
      </c>
      <c r="M52" s="2" t="s">
        <v>80</v>
      </c>
      <c r="N52" s="2" t="s">
        <v>243</v>
      </c>
      <c r="O52" s="2" t="s">
        <v>93</v>
      </c>
      <c r="P52" t="s">
        <v>7</v>
      </c>
      <c r="Q52" t="s">
        <v>177</v>
      </c>
      <c r="R52" t="s">
        <v>244</v>
      </c>
    </row>
    <row r="53" spans="1:18" ht="15" thickBot="1" x14ac:dyDescent="0.35">
      <c r="A53" t="s">
        <v>63</v>
      </c>
      <c r="B53" s="12">
        <v>0.63192800000000005</v>
      </c>
      <c r="C53">
        <v>15</v>
      </c>
      <c r="D53">
        <v>9</v>
      </c>
      <c r="E53" s="14">
        <v>3</v>
      </c>
      <c r="F53" t="s">
        <v>17</v>
      </c>
      <c r="G53" t="s">
        <v>22</v>
      </c>
      <c r="H53" s="2">
        <v>44013</v>
      </c>
      <c r="I53" s="2">
        <v>44044</v>
      </c>
      <c r="J53" s="2" t="s">
        <v>171</v>
      </c>
      <c r="K53" t="s">
        <v>124</v>
      </c>
      <c r="L53">
        <v>4</v>
      </c>
      <c r="M53" t="s">
        <v>86</v>
      </c>
      <c r="N53" t="s">
        <v>93</v>
      </c>
      <c r="O53" t="s">
        <v>93</v>
      </c>
      <c r="P53" t="s">
        <v>10</v>
      </c>
      <c r="Q53" t="s">
        <v>121</v>
      </c>
      <c r="R53" t="s">
        <v>125</v>
      </c>
    </row>
    <row r="54" spans="1:18" ht="15" thickBot="1" x14ac:dyDescent="0.35">
      <c r="A54" t="s">
        <v>64</v>
      </c>
      <c r="B54" s="12">
        <v>1.1696059000000001</v>
      </c>
      <c r="C54">
        <v>37</v>
      </c>
      <c r="D54">
        <v>11</v>
      </c>
      <c r="E54">
        <v>2</v>
      </c>
      <c r="F54" t="s">
        <v>17</v>
      </c>
      <c r="G54" t="s">
        <v>22</v>
      </c>
      <c r="H54" s="2">
        <v>44013</v>
      </c>
      <c r="I54" s="2">
        <v>44075</v>
      </c>
      <c r="J54" s="2" t="s">
        <v>164</v>
      </c>
      <c r="K54" t="s">
        <v>124</v>
      </c>
      <c r="L54" t="s">
        <v>94</v>
      </c>
      <c r="M54" t="s">
        <v>91</v>
      </c>
      <c r="N54" t="s">
        <v>87</v>
      </c>
      <c r="O54" t="s">
        <v>93</v>
      </c>
      <c r="P54" t="s">
        <v>10</v>
      </c>
      <c r="R54" t="s">
        <v>126</v>
      </c>
    </row>
    <row r="55" spans="1:18" ht="15" thickBot="1" x14ac:dyDescent="0.35">
      <c r="A55" t="s">
        <v>65</v>
      </c>
      <c r="B55" s="12">
        <v>1.4549943999999999</v>
      </c>
      <c r="C55">
        <v>31</v>
      </c>
      <c r="D55">
        <v>4</v>
      </c>
      <c r="E55">
        <v>2</v>
      </c>
      <c r="F55" t="s">
        <v>17</v>
      </c>
      <c r="G55" t="s">
        <v>12</v>
      </c>
      <c r="J55" s="2" t="s">
        <v>164</v>
      </c>
      <c r="K55" t="s">
        <v>216</v>
      </c>
      <c r="L55" t="s">
        <v>124</v>
      </c>
      <c r="M55" t="s">
        <v>91</v>
      </c>
      <c r="N55" t="s">
        <v>108</v>
      </c>
      <c r="O55" t="s">
        <v>88</v>
      </c>
      <c r="P55" t="s">
        <v>10</v>
      </c>
      <c r="R55" t="s">
        <v>245</v>
      </c>
    </row>
    <row r="56" spans="1:18" ht="15" thickBot="1" x14ac:dyDescent="0.35">
      <c r="A56" t="s">
        <v>66</v>
      </c>
      <c r="B56" s="12">
        <v>0.91639709999999996</v>
      </c>
      <c r="C56">
        <v>22.5</v>
      </c>
      <c r="D56">
        <v>8</v>
      </c>
      <c r="E56">
        <v>1</v>
      </c>
      <c r="F56" t="s">
        <v>11</v>
      </c>
      <c r="G56" t="s">
        <v>22</v>
      </c>
      <c r="J56" s="2" t="s">
        <v>164</v>
      </c>
      <c r="K56" t="s">
        <v>124</v>
      </c>
      <c r="L56" t="s">
        <v>236</v>
      </c>
      <c r="M56" t="s">
        <v>116</v>
      </c>
      <c r="N56" t="s">
        <v>87</v>
      </c>
      <c r="O56" t="s">
        <v>93</v>
      </c>
      <c r="P56" t="s">
        <v>10</v>
      </c>
      <c r="Q56" t="s">
        <v>246</v>
      </c>
      <c r="R56" t="s">
        <v>247</v>
      </c>
    </row>
    <row r="57" spans="1:18" x14ac:dyDescent="0.3">
      <c r="A57" t="s">
        <v>68</v>
      </c>
      <c r="B57" s="18">
        <v>0.90562120000000002</v>
      </c>
      <c r="C57">
        <v>25</v>
      </c>
      <c r="D57">
        <v>8</v>
      </c>
      <c r="E57" s="14">
        <v>3</v>
      </c>
      <c r="F57" t="s">
        <v>17</v>
      </c>
      <c r="G57" t="s">
        <v>22</v>
      </c>
      <c r="J57" s="2" t="s">
        <v>164</v>
      </c>
      <c r="K57" s="2" t="s">
        <v>110</v>
      </c>
      <c r="L57" s="2" t="s">
        <v>249</v>
      </c>
      <c r="M57" t="s">
        <v>91</v>
      </c>
      <c r="O57" s="2" t="s">
        <v>93</v>
      </c>
      <c r="P57" t="s">
        <v>10</v>
      </c>
      <c r="Q57" t="s">
        <v>177</v>
      </c>
      <c r="R57" t="s">
        <v>250</v>
      </c>
    </row>
    <row r="58" spans="1:18" ht="15" thickBot="1" x14ac:dyDescent="0.35">
      <c r="A58" t="s">
        <v>69</v>
      </c>
      <c r="B58" s="12">
        <v>1.0286422</v>
      </c>
      <c r="C58">
        <v>50</v>
      </c>
      <c r="D58">
        <v>7</v>
      </c>
      <c r="E58">
        <v>3</v>
      </c>
      <c r="F58" t="s">
        <v>17</v>
      </c>
      <c r="G58" t="s">
        <v>12</v>
      </c>
      <c r="J58" s="2" t="s">
        <v>164</v>
      </c>
      <c r="K58" t="s">
        <v>215</v>
      </c>
      <c r="L58">
        <v>5</v>
      </c>
      <c r="M58" t="s">
        <v>86</v>
      </c>
      <c r="O58" t="s">
        <v>88</v>
      </c>
      <c r="P58" t="s">
        <v>10</v>
      </c>
      <c r="Q58" t="s">
        <v>251</v>
      </c>
      <c r="R58" t="s">
        <v>252</v>
      </c>
    </row>
    <row r="59" spans="1:18" ht="15" thickBot="1" x14ac:dyDescent="0.35">
      <c r="A59" t="s">
        <v>83</v>
      </c>
      <c r="B59" s="12">
        <v>0.7926512</v>
      </c>
      <c r="C59">
        <v>54</v>
      </c>
      <c r="D59">
        <v>4</v>
      </c>
      <c r="E59" s="14">
        <v>3</v>
      </c>
      <c r="F59" t="s">
        <v>34</v>
      </c>
      <c r="G59" t="s">
        <v>12</v>
      </c>
      <c r="H59" s="2">
        <v>43983</v>
      </c>
      <c r="I59" s="2">
        <v>44044</v>
      </c>
      <c r="J59" s="2" t="s">
        <v>169</v>
      </c>
      <c r="K59" t="s">
        <v>77</v>
      </c>
      <c r="L59" t="s">
        <v>94</v>
      </c>
      <c r="M59" t="s">
        <v>80</v>
      </c>
      <c r="N59" t="s">
        <v>87</v>
      </c>
      <c r="O59" t="s">
        <v>175</v>
      </c>
      <c r="P59" t="s">
        <v>7</v>
      </c>
      <c r="Q59" t="s">
        <v>177</v>
      </c>
      <c r="R59" t="s">
        <v>127</v>
      </c>
    </row>
    <row r="60" spans="1:18" ht="15" thickBot="1" x14ac:dyDescent="0.35">
      <c r="A60" t="s">
        <v>71</v>
      </c>
      <c r="B60" s="12">
        <v>0.53647929999999999</v>
      </c>
      <c r="C60">
        <v>5</v>
      </c>
      <c r="D60">
        <v>3</v>
      </c>
      <c r="E60" s="14">
        <v>3</v>
      </c>
      <c r="F60" t="s">
        <v>17</v>
      </c>
      <c r="J60" s="2" t="s">
        <v>254</v>
      </c>
      <c r="K60" t="s">
        <v>215</v>
      </c>
      <c r="L60" t="s">
        <v>215</v>
      </c>
      <c r="M60" t="s">
        <v>91</v>
      </c>
      <c r="N60" t="s">
        <v>87</v>
      </c>
      <c r="O60" s="2" t="s">
        <v>175</v>
      </c>
      <c r="P60" t="s">
        <v>10</v>
      </c>
      <c r="Q60" t="s">
        <v>177</v>
      </c>
      <c r="R60" t="s">
        <v>255</v>
      </c>
    </row>
    <row r="61" spans="1:18" s="1" customFormat="1" x14ac:dyDescent="0.3">
      <c r="A61" s="1" t="s">
        <v>256</v>
      </c>
      <c r="B61" s="15">
        <v>0.82631432333333332</v>
      </c>
      <c r="C61" s="15">
        <f>MEDIAN(C2:C60)</f>
        <v>16</v>
      </c>
      <c r="E61" s="15">
        <f>MEDIAN(E2:E60)</f>
        <v>3</v>
      </c>
      <c r="H61" s="3"/>
      <c r="I61" s="3"/>
      <c r="J61" s="3"/>
    </row>
    <row r="63" spans="1:18" x14ac:dyDescent="0.3">
      <c r="A63" s="16" t="s">
        <v>259</v>
      </c>
    </row>
    <row r="64" spans="1:18" s="16" customFormat="1" x14ac:dyDescent="0.3">
      <c r="A64" s="16" t="s">
        <v>0</v>
      </c>
      <c r="B64" s="19" t="s">
        <v>161</v>
      </c>
      <c r="C64" s="16" t="s">
        <v>137</v>
      </c>
      <c r="D64" s="16" t="s">
        <v>136</v>
      </c>
      <c r="E64" s="16" t="s">
        <v>257</v>
      </c>
      <c r="F64" s="16" t="s">
        <v>2</v>
      </c>
      <c r="G64" s="16" t="s">
        <v>3</v>
      </c>
      <c r="H64" s="17" t="s">
        <v>72</v>
      </c>
      <c r="I64" s="17" t="s">
        <v>73</v>
      </c>
      <c r="J64" s="17" t="s">
        <v>163</v>
      </c>
      <c r="K64" s="16" t="s">
        <v>76</v>
      </c>
      <c r="L64" s="16" t="s">
        <v>79</v>
      </c>
      <c r="M64" s="16" t="s">
        <v>74</v>
      </c>
      <c r="N64" s="16" t="s">
        <v>75</v>
      </c>
      <c r="O64" s="16" t="s">
        <v>81</v>
      </c>
      <c r="P64" s="16" t="s">
        <v>1</v>
      </c>
      <c r="Q64" s="16" t="s">
        <v>4</v>
      </c>
      <c r="R64" s="16" t="s">
        <v>5</v>
      </c>
    </row>
    <row r="65" spans="1:18" x14ac:dyDescent="0.3">
      <c r="A65" t="s">
        <v>131</v>
      </c>
      <c r="B65" s="9">
        <v>1.1120000000000001</v>
      </c>
      <c r="C65" s="14">
        <v>16</v>
      </c>
      <c r="D65" s="14" t="s">
        <v>157</v>
      </c>
      <c r="E65" s="14">
        <v>3</v>
      </c>
      <c r="F65" t="s">
        <v>11</v>
      </c>
      <c r="G65" t="s">
        <v>12</v>
      </c>
      <c r="H65" s="2">
        <v>44013</v>
      </c>
      <c r="I65" s="2">
        <v>44075</v>
      </c>
      <c r="J65" s="2" t="s">
        <v>164</v>
      </c>
      <c r="K65" t="s">
        <v>123</v>
      </c>
      <c r="L65" t="s">
        <v>132</v>
      </c>
      <c r="M65" t="s">
        <v>86</v>
      </c>
      <c r="N65" t="s">
        <v>87</v>
      </c>
      <c r="O65" t="s">
        <v>88</v>
      </c>
      <c r="P65" t="s">
        <v>10</v>
      </c>
      <c r="R65" t="s">
        <v>133</v>
      </c>
    </row>
    <row r="66" spans="1:18" x14ac:dyDescent="0.3">
      <c r="A66" t="s">
        <v>46</v>
      </c>
      <c r="B66" s="14">
        <v>0.82631432333333332</v>
      </c>
      <c r="C66" s="14">
        <v>16</v>
      </c>
      <c r="D66" s="14" t="s">
        <v>157</v>
      </c>
      <c r="E66">
        <v>1</v>
      </c>
      <c r="F66" t="s">
        <v>11</v>
      </c>
      <c r="G66" t="s">
        <v>28</v>
      </c>
      <c r="J66" s="2" t="s">
        <v>164</v>
      </c>
      <c r="K66" t="s">
        <v>124</v>
      </c>
      <c r="L66" t="s">
        <v>215</v>
      </c>
      <c r="M66" t="s">
        <v>86</v>
      </c>
      <c r="N66" t="s">
        <v>88</v>
      </c>
      <c r="O66" t="s">
        <v>88</v>
      </c>
      <c r="P66" t="s">
        <v>10</v>
      </c>
      <c r="R66" t="s">
        <v>223</v>
      </c>
    </row>
    <row r="67" spans="1:18" x14ac:dyDescent="0.3">
      <c r="A67" t="s">
        <v>67</v>
      </c>
      <c r="B67" s="14">
        <v>0.82631432333333332</v>
      </c>
      <c r="C67" s="14">
        <v>16</v>
      </c>
      <c r="D67" s="14" t="s">
        <v>157</v>
      </c>
      <c r="E67" s="14">
        <v>3</v>
      </c>
      <c r="F67" t="s">
        <v>11</v>
      </c>
      <c r="G67" t="s">
        <v>12</v>
      </c>
      <c r="J67" s="2" t="s">
        <v>168</v>
      </c>
      <c r="K67" t="s">
        <v>84</v>
      </c>
      <c r="L67" t="s">
        <v>102</v>
      </c>
      <c r="M67" s="2" t="s">
        <v>91</v>
      </c>
      <c r="N67" s="2" t="s">
        <v>88</v>
      </c>
      <c r="O67" s="2" t="s">
        <v>175</v>
      </c>
      <c r="P67" t="s">
        <v>10</v>
      </c>
      <c r="Q67" t="s">
        <v>177</v>
      </c>
      <c r="R67" t="s">
        <v>248</v>
      </c>
    </row>
    <row r="68" spans="1:18" x14ac:dyDescent="0.3">
      <c r="A68" t="s">
        <v>70</v>
      </c>
      <c r="B68" s="14">
        <v>0.82631432333333332</v>
      </c>
      <c r="C68" s="14" t="s">
        <v>157</v>
      </c>
      <c r="D68" s="14" t="s">
        <v>157</v>
      </c>
      <c r="E68">
        <v>1</v>
      </c>
      <c r="F68" t="s">
        <v>11</v>
      </c>
      <c r="G68" t="s">
        <v>12</v>
      </c>
      <c r="J68" s="2" t="s">
        <v>239</v>
      </c>
      <c r="K68" t="s">
        <v>110</v>
      </c>
      <c r="L68" t="s">
        <v>111</v>
      </c>
      <c r="M68" s="2" t="s">
        <v>86</v>
      </c>
      <c r="N68" s="2" t="s">
        <v>88</v>
      </c>
      <c r="O68" s="2" t="s">
        <v>88</v>
      </c>
      <c r="P68" t="s">
        <v>10</v>
      </c>
      <c r="R68" t="s">
        <v>253</v>
      </c>
    </row>
  </sheetData>
  <sortState xmlns:xlrd2="http://schemas.microsoft.com/office/spreadsheetml/2017/richdata2" ref="A2:Q61">
    <sortCondition ref="A2:A61"/>
  </sortState>
  <conditionalFormatting sqref="B1:E1 E43:E54 B44:D59 B60:E60 C67:E67 C68:D68">
    <cfRule type="cellIs" dxfId="17" priority="25" operator="equal">
      <formula>""""""</formula>
    </cfRule>
  </conditionalFormatting>
  <conditionalFormatting sqref="B64:E64">
    <cfRule type="cellIs" dxfId="16" priority="1" operator="equal">
      <formula>""""""</formula>
    </cfRule>
  </conditionalFormatting>
  <conditionalFormatting sqref="C65:C66">
    <cfRule type="cellIs" dxfId="15" priority="21" operator="equal">
      <formula>""""""</formula>
    </cfRule>
  </conditionalFormatting>
  <conditionalFormatting sqref="E2">
    <cfRule type="cellIs" dxfId="14" priority="2" operator="equal">
      <formula>""""""</formula>
    </cfRule>
  </conditionalFormatting>
  <conditionalFormatting sqref="E4:E5">
    <cfRule type="cellIs" dxfId="13" priority="3" operator="equal">
      <formula>""""""</formula>
    </cfRule>
  </conditionalFormatting>
  <conditionalFormatting sqref="E7:E8">
    <cfRule type="cellIs" dxfId="12" priority="5" operator="equal">
      <formula>""""""</formula>
    </cfRule>
  </conditionalFormatting>
  <conditionalFormatting sqref="E10">
    <cfRule type="cellIs" dxfId="11" priority="7" operator="equal">
      <formula>""""""</formula>
    </cfRule>
  </conditionalFormatting>
  <conditionalFormatting sqref="E14">
    <cfRule type="cellIs" dxfId="10" priority="8" operator="equal">
      <formula>""""""</formula>
    </cfRule>
  </conditionalFormatting>
  <conditionalFormatting sqref="E20:E21">
    <cfRule type="cellIs" dxfId="9" priority="9" operator="equal">
      <formula>""""""</formula>
    </cfRule>
  </conditionalFormatting>
  <conditionalFormatting sqref="E23:E27">
    <cfRule type="cellIs" dxfId="8" priority="10" operator="equal">
      <formula>""""""</formula>
    </cfRule>
  </conditionalFormatting>
  <conditionalFormatting sqref="E29">
    <cfRule type="cellIs" dxfId="7" priority="12" operator="equal">
      <formula>""""""</formula>
    </cfRule>
  </conditionalFormatting>
  <conditionalFormatting sqref="E31">
    <cfRule type="cellIs" dxfId="6" priority="13" operator="equal">
      <formula>""""""</formula>
    </cfRule>
  </conditionalFormatting>
  <conditionalFormatting sqref="E33:E34">
    <cfRule type="cellIs" dxfId="5" priority="14" operator="equal">
      <formula>""""""</formula>
    </cfRule>
  </conditionalFormatting>
  <conditionalFormatting sqref="E38">
    <cfRule type="cellIs" dxfId="4" priority="16" operator="equal">
      <formula>""""""</formula>
    </cfRule>
  </conditionalFormatting>
  <conditionalFormatting sqref="E40:E41">
    <cfRule type="cellIs" dxfId="3" priority="17" operator="equal">
      <formula>""""""</formula>
    </cfRule>
  </conditionalFormatting>
  <conditionalFormatting sqref="E57">
    <cfRule type="cellIs" dxfId="2" priority="19" operator="equal">
      <formula>""""""</formula>
    </cfRule>
  </conditionalFormatting>
  <conditionalFormatting sqref="E59">
    <cfRule type="cellIs" dxfId="1" priority="20" operator="equal">
      <formula>""""""</formula>
    </cfRule>
  </conditionalFormatting>
  <conditionalFormatting sqref="E65">
    <cfRule type="cellIs" dxfId="0" priority="11" operator="equal">
      <formula>""""""</formula>
    </cfRule>
  </conditionalFormatting>
  <hyperlinks>
    <hyperlink ref="R4" r:id="rId1" xr:uid="{AF143996-8456-442F-8E81-0754143883CD}"/>
    <hyperlink ref="R28" r:id="rId2" display="https://www.chicagobotanic.org/plantcollections/plantfinder/hydrangea_paniculata_kyushu--kyushu_panicle_hydrangea" xr:uid="{B619E80A-993A-42B9-8BA5-30CF1A6103FB}"/>
    <hyperlink ref="R2" r:id="rId3" xr:uid="{2AC2CF89-2394-4ECB-B2D8-07ACCE2683E1}"/>
    <hyperlink ref="R6" r:id="rId4" xr:uid="{65B174F7-3A35-4E7E-9773-B47F1095DB44}"/>
    <hyperlink ref="R10" r:id="rId5" xr:uid="{910A609A-E28C-4A37-9E9F-86BFF69F00EA}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35C-57BC-4BF1-80A6-C567D861E277}">
  <dimension ref="A1:AE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4" sqref="G14"/>
    </sheetView>
  </sheetViews>
  <sheetFormatPr defaultRowHeight="14.4" x14ac:dyDescent="0.3"/>
  <cols>
    <col min="1" max="1" width="25.33203125" bestFit="1" customWidth="1"/>
    <col min="2" max="2" width="15.109375" customWidth="1"/>
    <col min="3" max="3" width="9.33203125" style="20" customWidth="1"/>
    <col min="4" max="4" width="15.109375" style="7" customWidth="1"/>
    <col min="6" max="6" width="8.77734375" style="20"/>
    <col min="7" max="7" width="8.77734375" style="7"/>
    <col min="9" max="9" width="8.77734375" style="20"/>
    <col min="10" max="10" width="8.77734375" style="7"/>
    <col min="12" max="12" width="8.77734375" style="20"/>
    <col min="13" max="13" width="8.77734375" style="7"/>
    <col min="15" max="15" width="8.77734375" style="20"/>
    <col min="16" max="16" width="8.77734375" style="7"/>
    <col min="17" max="17" width="8.88671875" style="21"/>
    <col min="18" max="18" width="12.33203125" customWidth="1"/>
    <col min="29" max="29" width="20.6640625" bestFit="1" customWidth="1"/>
  </cols>
  <sheetData>
    <row r="1" spans="1:31" x14ac:dyDescent="0.3">
      <c r="A1" t="s">
        <v>0</v>
      </c>
      <c r="B1" t="s">
        <v>292</v>
      </c>
      <c r="C1" s="20" t="s">
        <v>302</v>
      </c>
      <c r="D1" s="7" t="s">
        <v>293</v>
      </c>
      <c r="E1" t="s">
        <v>161</v>
      </c>
      <c r="F1" s="20" t="s">
        <v>275</v>
      </c>
      <c r="G1" s="7" t="s">
        <v>286</v>
      </c>
      <c r="H1" t="s">
        <v>137</v>
      </c>
      <c r="I1" s="20" t="s">
        <v>303</v>
      </c>
      <c r="J1" s="7" t="s">
        <v>286</v>
      </c>
      <c r="K1" t="s">
        <v>136</v>
      </c>
      <c r="L1" s="20" t="s">
        <v>288</v>
      </c>
      <c r="M1" s="7" t="s">
        <v>287</v>
      </c>
      <c r="N1" t="s">
        <v>257</v>
      </c>
      <c r="O1" s="20" t="s">
        <v>290</v>
      </c>
      <c r="P1" s="7" t="s">
        <v>289</v>
      </c>
      <c r="Q1" s="21" t="s">
        <v>291</v>
      </c>
      <c r="R1" t="s">
        <v>295</v>
      </c>
      <c r="S1" t="s">
        <v>2</v>
      </c>
      <c r="T1" t="s">
        <v>3</v>
      </c>
      <c r="U1" t="s">
        <v>72</v>
      </c>
      <c r="V1" t="s">
        <v>73</v>
      </c>
      <c r="W1" t="s">
        <v>163</v>
      </c>
      <c r="X1" t="s">
        <v>76</v>
      </c>
      <c r="Y1" t="s">
        <v>79</v>
      </c>
      <c r="Z1" t="s">
        <v>74</v>
      </c>
      <c r="AA1" t="s">
        <v>75</v>
      </c>
      <c r="AB1" t="s">
        <v>81</v>
      </c>
      <c r="AC1" t="s">
        <v>1</v>
      </c>
      <c r="AD1" t="s">
        <v>4</v>
      </c>
      <c r="AE1" t="s">
        <v>5</v>
      </c>
    </row>
    <row r="2" spans="1:31" x14ac:dyDescent="0.3">
      <c r="A2" t="s">
        <v>6</v>
      </c>
      <c r="B2" t="s">
        <v>157</v>
      </c>
      <c r="C2" s="26"/>
      <c r="E2">
        <v>0.69314719999999996</v>
      </c>
      <c r="F2" s="26">
        <f>IF(AND($E2 &gt;= Quartiles1!$A$1, $E2 &lt;= Quartiles1!$A$2), 1, IF(AND($E2 &gt; Quartiles1!$A$2, $E2 &lt;= Quartiles1!$A$3), 2, IF(AND($E2 &gt; Quartiles1!$A$3, $E2 &lt;= Quartiles1!$A$4), 3, 4)))</f>
        <v>2</v>
      </c>
      <c r="G2" s="7">
        <f>F2*PCAWeights!$E$21</f>
        <v>0.38472902731213954</v>
      </c>
      <c r="H2">
        <v>4</v>
      </c>
      <c r="I2" s="20">
        <f>IF(AND($H2 &gt;= Quartiles1!B$1, $H2 &lt;= Quartiles1!$B$2), 1, IF(AND($H2 &gt; Quartiles1!$B$2, $H2 &lt;= Quartiles1!$B$3), 2, IF(AND($H2 &gt; Quartiles1!$B$3, $H2 &lt;= Quartiles1!$B$4), 3, 4)))</f>
        <v>1</v>
      </c>
      <c r="J2" s="7">
        <f>I2*PCAWeights!$E$22</f>
        <v>0.20821321607297302</v>
      </c>
      <c r="K2">
        <v>2</v>
      </c>
      <c r="L2" s="20">
        <f>IF(AND($K2 &gt;= Quartiles1!$C$1, $K2 &lt;= Quartiles1!$C$2), 1, IF(AND($K2 &gt; Quartiles1!$C$2, $K2 &lt;= Quartiles1!$C$3), 2, IF(AND($K2 &gt; Quartiles1!$C$3, $K2 &lt;= Quartiles1!$C$4), 3, 4)))</f>
        <v>1</v>
      </c>
      <c r="M2" s="7">
        <f>L2*PCAWeights!$E$23</f>
        <v>0.24775756678363262</v>
      </c>
      <c r="N2">
        <v>3</v>
      </c>
      <c r="O2" s="20">
        <v>2</v>
      </c>
      <c r="P2" s="7">
        <f>O2*PCAWeights!$E$24</f>
        <v>0.49985060995262121</v>
      </c>
      <c r="Q2" s="21">
        <f>$D2+$G2+$J2+$M2+$P2</f>
        <v>1.3405504201213665</v>
      </c>
      <c r="R2">
        <f>VLOOKUP($A2,'Star Score'!$A$2:$C$60,2,FALSE)</f>
        <v>1</v>
      </c>
      <c r="S2" t="s">
        <v>8</v>
      </c>
      <c r="T2" t="s">
        <v>12</v>
      </c>
      <c r="U2">
        <v>43983</v>
      </c>
      <c r="V2">
        <v>44075</v>
      </c>
      <c r="W2" t="s">
        <v>172</v>
      </c>
      <c r="X2" t="s">
        <v>77</v>
      </c>
      <c r="Y2" t="s">
        <v>78</v>
      </c>
      <c r="Z2" t="s">
        <v>80</v>
      </c>
      <c r="AB2" t="s">
        <v>82</v>
      </c>
      <c r="AC2" t="s">
        <v>7</v>
      </c>
      <c r="AD2" t="s">
        <v>177</v>
      </c>
      <c r="AE2" t="s">
        <v>89</v>
      </c>
    </row>
    <row r="3" spans="1:31" x14ac:dyDescent="0.3">
      <c r="A3" t="s">
        <v>9</v>
      </c>
      <c r="B3">
        <v>82</v>
      </c>
      <c r="C3" s="26">
        <f>IF(AND($B3 &gt;= Quartiles1!$E$1, $B3 &lt;= Quartiles1!$E$2), 1, IF(AND($B3 &gt; Quartiles1!$E$2, $B3 &lt;= Quartiles1!$E$3), 2, IF(AND($B3 &gt; Quartiles1!$E$3, $B3 &lt;= Quartiles1!$E$4), 3, 4)))</f>
        <v>3</v>
      </c>
      <c r="D3" s="7">
        <f>$J$61*0.125</f>
        <v>6.3963805785129446E-2</v>
      </c>
      <c r="E3">
        <v>0.33304479999999997</v>
      </c>
      <c r="F3" s="26">
        <f>IF(AND($E3 &gt;= Quartiles1!$A$1, $E3 &lt;= Quartiles1!$A$2), 1, IF(AND($E3 &gt; Quartiles1!$A$2, $E3 &lt;= Quartiles1!$A$3), 2, IF(AND($E3 &gt; Quartiles1!$A$3, $E3 &lt;= Quartiles1!$A$4), 3, 4)))</f>
        <v>1</v>
      </c>
      <c r="G3" s="7">
        <f>F3*PCAWeights!$E$21</f>
        <v>0.19236451365606977</v>
      </c>
      <c r="H3">
        <v>14</v>
      </c>
      <c r="I3" s="20">
        <f>IF(AND($H3 &gt;= Quartiles1!B$1, $H3 &lt;= Quartiles1!$B$2), 1, IF(AND($H3 &gt; Quartiles1!$B$2, $H3 &lt;= Quartiles1!$B$3), 2, IF(AND($H3 &gt; Quartiles1!$B$3, $H3 &lt;= Quartiles1!$B$4), 3, 4)))</f>
        <v>2</v>
      </c>
      <c r="J3" s="7">
        <f>I3*PCAWeights!$E$22</f>
        <v>0.41642643214594605</v>
      </c>
      <c r="K3">
        <v>4</v>
      </c>
      <c r="L3" s="20">
        <f>IF(AND($K3 &gt;= Quartiles1!$C$1, $K3 &lt;= Quartiles1!$C$2), 1, IF(AND($K3 &gt; Quartiles1!$C$2, $K3 &lt;= Quartiles1!$C$3), 2, IF(AND($K3 &gt; Quartiles1!$C$3, $K3 &lt;= Quartiles1!$C$4), 3, 4)))</f>
        <v>2</v>
      </c>
      <c r="M3" s="7">
        <f>L3*PCAWeights!$E$23</f>
        <v>0.49551513356726523</v>
      </c>
      <c r="N3">
        <v>2</v>
      </c>
      <c r="O3" s="20">
        <v>1</v>
      </c>
      <c r="P3" s="7">
        <f>O3*PCAWeights!$E$24</f>
        <v>0.2499253049763106</v>
      </c>
      <c r="Q3" s="21">
        <f t="shared" ref="Q3:Q60" si="0">$D3+$G3+$J3+$M3+$P3</f>
        <v>1.418195190130721</v>
      </c>
      <c r="R3">
        <f>VLOOKUP($A3,'Star Score'!$A$2:$C$60,2,FALSE)</f>
        <v>2</v>
      </c>
      <c r="S3" t="s">
        <v>11</v>
      </c>
      <c r="T3" t="s">
        <v>12</v>
      </c>
      <c r="U3">
        <v>44013</v>
      </c>
      <c r="V3">
        <v>44075</v>
      </c>
      <c r="W3" t="s">
        <v>164</v>
      </c>
      <c r="X3" t="s">
        <v>94</v>
      </c>
      <c r="Y3" t="s">
        <v>94</v>
      </c>
      <c r="Z3" t="s">
        <v>95</v>
      </c>
      <c r="AA3" t="s">
        <v>87</v>
      </c>
      <c r="AB3" t="s">
        <v>88</v>
      </c>
      <c r="AC3" t="s">
        <v>10</v>
      </c>
      <c r="AE3" t="s">
        <v>89</v>
      </c>
    </row>
    <row r="4" spans="1:31" x14ac:dyDescent="0.3">
      <c r="A4" t="s">
        <v>13</v>
      </c>
      <c r="B4" t="s">
        <v>157</v>
      </c>
      <c r="C4" s="26"/>
      <c r="E4">
        <v>0</v>
      </c>
      <c r="F4" s="26">
        <f>IF(AND($E4 &gt;= Quartiles1!$A$1, $E4 &lt;= Quartiles1!$A$2), 1, IF(AND($E4 &gt; Quartiles1!$A$2, $E4 &lt;= Quartiles1!$A$3), 2, IF(AND($E4 &gt; Quartiles1!$A$3, $E4 &lt;= Quartiles1!$A$4), 3, 4)))</f>
        <v>1</v>
      </c>
      <c r="G4" s="7">
        <f>F4*PCAWeights!$E$21</f>
        <v>0.19236451365606977</v>
      </c>
      <c r="H4">
        <v>2</v>
      </c>
      <c r="I4" s="20">
        <f>IF(AND($H4 &gt;= Quartiles1!B$1, $H4 &lt;= Quartiles1!$B$2), 1, IF(AND($H4 &gt; Quartiles1!$B$2, $H4 &lt;= Quartiles1!$B$3), 2, IF(AND($H4 &gt; Quartiles1!$B$3, $H4 &lt;= Quartiles1!$B$4), 3, 4)))</f>
        <v>1</v>
      </c>
      <c r="J4" s="7">
        <f>I4*PCAWeights!$E$22</f>
        <v>0.20821321607297302</v>
      </c>
      <c r="K4">
        <v>3</v>
      </c>
      <c r="L4" s="20">
        <f>IF(AND($K4 &gt;= Quartiles1!$C$1, $K4 &lt;= Quartiles1!$C$2), 1, IF(AND($K4 &gt; Quartiles1!$C$2, $K4 &lt;= Quartiles1!$C$3), 2, IF(AND($K4 &gt; Quartiles1!$C$3, $K4 &lt;= Quartiles1!$C$4), 3, 4)))</f>
        <v>1</v>
      </c>
      <c r="M4" s="7">
        <f>L4*PCAWeights!$E$23</f>
        <v>0.24775756678363262</v>
      </c>
      <c r="N4">
        <v>3</v>
      </c>
      <c r="O4" s="20">
        <v>2</v>
      </c>
      <c r="P4" s="7">
        <f>O4*PCAWeights!$E$24</f>
        <v>0.49985060995262121</v>
      </c>
      <c r="Q4" s="21">
        <f t="shared" si="0"/>
        <v>1.1481859064652966</v>
      </c>
      <c r="R4">
        <f>VLOOKUP($A4,'Star Score'!$A$2:$C$60,2,FALSE)</f>
        <v>1</v>
      </c>
      <c r="S4" t="s">
        <v>8</v>
      </c>
      <c r="T4" t="s">
        <v>28</v>
      </c>
      <c r="W4" t="s">
        <v>164</v>
      </c>
      <c r="X4" t="s">
        <v>165</v>
      </c>
      <c r="Y4" t="s">
        <v>165</v>
      </c>
      <c r="Z4" t="s">
        <v>166</v>
      </c>
      <c r="AA4" t="s">
        <v>87</v>
      </c>
      <c r="AC4" t="s">
        <v>7</v>
      </c>
      <c r="AD4" t="s">
        <v>177</v>
      </c>
      <c r="AE4" t="s">
        <v>167</v>
      </c>
    </row>
    <row r="5" spans="1:31" x14ac:dyDescent="0.3">
      <c r="A5" t="s">
        <v>14</v>
      </c>
      <c r="B5" t="s">
        <v>157</v>
      </c>
      <c r="C5" s="26"/>
      <c r="E5">
        <v>0.89587969999999995</v>
      </c>
      <c r="F5" s="26">
        <f>IF(AND($E5 &gt;= Quartiles1!$A$1, $E5 &lt;= Quartiles1!$A$2), 1, IF(AND($E5 &gt; Quartiles1!$A$2, $E5 &lt;= Quartiles1!$A$3), 2, IF(AND($E5 &gt; Quartiles1!$A$3, $E5 &lt;= Quartiles1!$A$4), 3, 4)))</f>
        <v>2</v>
      </c>
      <c r="G5" s="7">
        <f>F5*PCAWeights!$E$21</f>
        <v>0.38472902731213954</v>
      </c>
      <c r="H5">
        <v>5</v>
      </c>
      <c r="I5" s="20">
        <f>IF(AND($H5 &gt;= Quartiles1!B$1, $H5 &lt;= Quartiles1!$B$2), 1, IF(AND($H5 &gt; Quartiles1!$B$2, $H5 &lt;= Quartiles1!$B$3), 2, IF(AND($H5 &gt; Quartiles1!$B$3, $H5 &lt;= Quartiles1!$B$4), 3, 4)))</f>
        <v>1</v>
      </c>
      <c r="J5" s="7">
        <f>I5*PCAWeights!$E$22</f>
        <v>0.20821321607297302</v>
      </c>
      <c r="K5">
        <v>2</v>
      </c>
      <c r="L5" s="20">
        <f>IF(AND($K5 &gt;= Quartiles1!$C$1, $K5 &lt;= Quartiles1!$C$2), 1, IF(AND($K5 &gt; Quartiles1!$C$2, $K5 &lt;= Quartiles1!$C$3), 2, IF(AND($K5 &gt; Quartiles1!$C$3, $K5 &lt;= Quartiles1!$C$4), 3, 4)))</f>
        <v>1</v>
      </c>
      <c r="M5" s="7">
        <f>L5*PCAWeights!$E$23</f>
        <v>0.24775756678363262</v>
      </c>
      <c r="N5">
        <v>3</v>
      </c>
      <c r="O5" s="20">
        <v>2</v>
      </c>
      <c r="P5" s="7">
        <f>O5*PCAWeights!$E$24</f>
        <v>0.49985060995262121</v>
      </c>
      <c r="Q5" s="21">
        <f t="shared" si="0"/>
        <v>1.3405504201213665</v>
      </c>
      <c r="R5">
        <f>VLOOKUP($A5,'Star Score'!$A$2:$C$60,2,FALSE)</f>
        <v>1</v>
      </c>
      <c r="S5" t="s">
        <v>8</v>
      </c>
      <c r="T5" t="s">
        <v>28</v>
      </c>
      <c r="W5" t="s">
        <v>164</v>
      </c>
      <c r="X5" t="s">
        <v>124</v>
      </c>
      <c r="Y5" t="s">
        <v>124</v>
      </c>
      <c r="Z5" t="s">
        <v>103</v>
      </c>
      <c r="AC5" t="s">
        <v>10</v>
      </c>
      <c r="AD5" t="s">
        <v>177</v>
      </c>
    </row>
    <row r="6" spans="1:31" x14ac:dyDescent="0.3">
      <c r="A6" t="s">
        <v>15</v>
      </c>
      <c r="B6">
        <v>521</v>
      </c>
      <c r="C6" s="26">
        <f>IF(AND($B6 &gt;= Quartiles1!$E$1, $B6 &lt;= Quartiles1!$E$2), 1, IF(AND($B6 &gt; Quartiles1!$E$2, $B6 &lt;= Quartiles1!$E$3), 2, IF(AND($B6 &gt; Quartiles1!$E$3, $B6 &lt;= Quartiles1!$E$4), 3, 4)))</f>
        <v>4</v>
      </c>
      <c r="D6" s="7">
        <f>-$J$61*0.125*2</f>
        <v>-0.12792761157025889</v>
      </c>
      <c r="E6">
        <v>0.92761729999999998</v>
      </c>
      <c r="F6" s="26">
        <f>IF(AND($E6 &gt;= Quartiles1!$A$1, $E6 &lt;= Quartiles1!$A$2), 1, IF(AND($E6 &gt; Quartiles1!$A$2, $E6 &lt;= Quartiles1!$A$3), 2, IF(AND($E6 &gt; Quartiles1!$A$3, $E6 &lt;= Quartiles1!$A$4), 3, 4)))</f>
        <v>3</v>
      </c>
      <c r="G6" s="7">
        <f>F6*PCAWeights!$E$21</f>
        <v>0.57709354096820931</v>
      </c>
      <c r="H6">
        <v>15</v>
      </c>
      <c r="I6" s="20">
        <f>IF(AND($H6 &gt;= Quartiles1!B$1, $H6 &lt;= Quartiles1!$B$2), 1, IF(AND($H6 &gt; Quartiles1!$B$2, $H6 &lt;= Quartiles1!$B$3), 2, IF(AND($H6 &gt; Quartiles1!$B$3, $H6 &lt;= Quartiles1!$B$4), 3, 4)))</f>
        <v>2</v>
      </c>
      <c r="J6" s="7">
        <f>I6*PCAWeights!$E$22</f>
        <v>0.41642643214594605</v>
      </c>
      <c r="K6">
        <v>1</v>
      </c>
      <c r="L6" s="20">
        <f>IF(AND($K6 &gt;= Quartiles1!$C$1, $K6 &lt;= Quartiles1!$C$2), 1, IF(AND($K6 &gt; Quartiles1!$C$2, $K6 &lt;= Quartiles1!$C$3), 2, IF(AND($K6 &gt; Quartiles1!$C$3, $K6 &lt;= Quartiles1!$C$4), 3, 4)))</f>
        <v>1</v>
      </c>
      <c r="M6" s="7">
        <f>L6*PCAWeights!$E$23</f>
        <v>0.24775756678363262</v>
      </c>
      <c r="N6">
        <v>7</v>
      </c>
      <c r="O6" s="20">
        <v>4</v>
      </c>
      <c r="P6" s="7">
        <f>O6*PCAWeights!$E$24</f>
        <v>0.99970121990524241</v>
      </c>
      <c r="Q6" s="21">
        <f t="shared" si="0"/>
        <v>2.1130511482327714</v>
      </c>
      <c r="R6">
        <f>VLOOKUP($A6,'Star Score'!$A$2:$C$60,2,FALSE)</f>
        <v>3</v>
      </c>
      <c r="S6" t="s">
        <v>11</v>
      </c>
      <c r="T6" t="s">
        <v>12</v>
      </c>
      <c r="U6">
        <v>44044</v>
      </c>
      <c r="V6">
        <v>44136</v>
      </c>
      <c r="W6" t="s">
        <v>149</v>
      </c>
      <c r="X6">
        <v>19</v>
      </c>
      <c r="Y6">
        <v>10</v>
      </c>
      <c r="Z6" t="s">
        <v>97</v>
      </c>
      <c r="AA6" t="s">
        <v>87</v>
      </c>
      <c r="AB6" t="s">
        <v>88</v>
      </c>
      <c r="AC6" t="s">
        <v>10</v>
      </c>
      <c r="AE6" t="s">
        <v>96</v>
      </c>
    </row>
    <row r="7" spans="1:31" x14ac:dyDescent="0.3">
      <c r="A7" t="s">
        <v>16</v>
      </c>
      <c r="B7" t="s">
        <v>157</v>
      </c>
      <c r="C7" s="26"/>
      <c r="E7">
        <v>1.0126113000000001</v>
      </c>
      <c r="F7" s="26">
        <f>IF(AND($E7 &gt;= Quartiles1!$A$1, $E7 &lt;= Quartiles1!$A$2), 1, IF(AND($E7 &gt; Quartiles1!$A$2, $E7 &lt;= Quartiles1!$A$3), 2, IF(AND($E7 &gt; Quartiles1!$A$3, $E7 &lt;= Quartiles1!$A$4), 3, 4)))</f>
        <v>3</v>
      </c>
      <c r="G7" s="7">
        <f>F7*PCAWeights!$E$21</f>
        <v>0.57709354096820931</v>
      </c>
      <c r="H7">
        <v>14</v>
      </c>
      <c r="I7" s="20">
        <f>IF(AND($H7 &gt;= Quartiles1!B$1, $H7 &lt;= Quartiles1!$B$2), 1, IF(AND($H7 &gt; Quartiles1!$B$2, $H7 &lt;= Quartiles1!$B$3), 2, IF(AND($H7 &gt; Quartiles1!$B$3, $H7 &lt;= Quartiles1!$B$4), 3, 4)))</f>
        <v>2</v>
      </c>
      <c r="J7" s="7">
        <f>I7*PCAWeights!$E$22</f>
        <v>0.41642643214594605</v>
      </c>
      <c r="K7">
        <v>5</v>
      </c>
      <c r="L7" s="20">
        <f>IF(AND($K7 &gt;= Quartiles1!$C$1, $K7 &lt;= Quartiles1!$C$2), 1, IF(AND($K7 &gt; Quartiles1!$C$2, $K7 &lt;= Quartiles1!$C$3), 2, IF(AND($K7 &gt; Quartiles1!$C$3, $K7 &lt;= Quartiles1!$C$4), 3, 4)))</f>
        <v>3</v>
      </c>
      <c r="M7" s="7">
        <f>L7*PCAWeights!$E$23</f>
        <v>0.74327270035089787</v>
      </c>
      <c r="N7">
        <v>3</v>
      </c>
      <c r="O7" s="20">
        <v>2</v>
      </c>
      <c r="P7" s="7">
        <f>O7*PCAWeights!$E$24</f>
        <v>0.49985060995262121</v>
      </c>
      <c r="Q7" s="21">
        <f t="shared" si="0"/>
        <v>2.2366432834176742</v>
      </c>
      <c r="R7">
        <f>VLOOKUP($A7,'Star Score'!$A$2:$C$60,2,FALSE)</f>
        <v>3</v>
      </c>
      <c r="S7" t="s">
        <v>17</v>
      </c>
      <c r="T7" t="s">
        <v>12</v>
      </c>
      <c r="W7" t="s">
        <v>149</v>
      </c>
      <c r="X7" t="s">
        <v>174</v>
      </c>
      <c r="Y7" t="s">
        <v>94</v>
      </c>
      <c r="Z7" t="s">
        <v>173</v>
      </c>
      <c r="AB7" t="s">
        <v>175</v>
      </c>
      <c r="AC7" t="s">
        <v>10</v>
      </c>
      <c r="AD7" t="s">
        <v>178</v>
      </c>
      <c r="AE7" t="s">
        <v>176</v>
      </c>
    </row>
    <row r="8" spans="1:31" x14ac:dyDescent="0.3">
      <c r="A8" t="s">
        <v>18</v>
      </c>
      <c r="B8" t="s">
        <v>157</v>
      </c>
      <c r="C8" s="26"/>
      <c r="E8">
        <v>0.69314719999999996</v>
      </c>
      <c r="F8" s="26">
        <f>IF(AND($E8 &gt;= Quartiles1!$A$1, $E8 &lt;= Quartiles1!$A$2), 1, IF(AND($E8 &gt; Quartiles1!$A$2, $E8 &lt;= Quartiles1!$A$3), 2, IF(AND($E8 &gt; Quartiles1!$A$3, $E8 &lt;= Quartiles1!$A$4), 3, 4)))</f>
        <v>2</v>
      </c>
      <c r="G8" s="7">
        <f>F8*PCAWeights!$E$21</f>
        <v>0.38472902731213954</v>
      </c>
      <c r="H8">
        <v>8</v>
      </c>
      <c r="I8" s="20">
        <f>IF(AND($H8 &gt;= Quartiles1!B$1, $H8 &lt;= Quartiles1!$B$2), 1, IF(AND($H8 &gt; Quartiles1!$B$2, $H8 &lt;= Quartiles1!$B$3), 2, IF(AND($H8 &gt; Quartiles1!$B$3, $H8 &lt;= Quartiles1!$B$4), 3, 4)))</f>
        <v>2</v>
      </c>
      <c r="J8" s="7">
        <f>I8*PCAWeights!$E$22</f>
        <v>0.41642643214594605</v>
      </c>
      <c r="K8">
        <v>3</v>
      </c>
      <c r="L8" s="20">
        <f>IF(AND($K8 &gt;= Quartiles1!$C$1, $K8 &lt;= Quartiles1!$C$2), 1, IF(AND($K8 &gt; Quartiles1!$C$2, $K8 &lt;= Quartiles1!$C$3), 2, IF(AND($K8 &gt; Quartiles1!$C$3, $K8 &lt;= Quartiles1!$C$4), 3, 4)))</f>
        <v>1</v>
      </c>
      <c r="M8" s="7">
        <f>L8*PCAWeights!$E$23</f>
        <v>0.24775756678363262</v>
      </c>
      <c r="N8">
        <v>3</v>
      </c>
      <c r="O8" s="20">
        <v>2</v>
      </c>
      <c r="P8" s="7">
        <f>O8*PCAWeights!$E$24</f>
        <v>0.49985060995262121</v>
      </c>
      <c r="Q8" s="21">
        <f t="shared" si="0"/>
        <v>1.5487636361943395</v>
      </c>
      <c r="R8">
        <f>VLOOKUP($A8,'Star Score'!$A$2:$C$60,2,FALSE)</f>
        <v>2</v>
      </c>
      <c r="S8" t="s">
        <v>8</v>
      </c>
      <c r="T8" t="s">
        <v>32</v>
      </c>
      <c r="W8" t="s">
        <v>183</v>
      </c>
      <c r="X8">
        <v>5</v>
      </c>
      <c r="Y8">
        <v>8</v>
      </c>
      <c r="Z8" t="s">
        <v>184</v>
      </c>
      <c r="AB8" t="s">
        <v>93</v>
      </c>
      <c r="AC8" t="s">
        <v>7</v>
      </c>
      <c r="AD8" t="s">
        <v>177</v>
      </c>
      <c r="AE8" t="s">
        <v>185</v>
      </c>
    </row>
    <row r="9" spans="1:31" x14ac:dyDescent="0.3">
      <c r="A9" t="s">
        <v>19</v>
      </c>
      <c r="B9">
        <v>287</v>
      </c>
      <c r="C9" s="26">
        <f>IF(AND($B9 &gt;= Quartiles1!$E$1, $B9 &lt;= Quartiles1!$E$2), 1, IF(AND($B9 &gt; Quartiles1!$E$2, $B9 &lt;= Quartiles1!$E$3), 2, IF(AND($B9 &gt; Quartiles1!$E$3, $B9 &lt;= Quartiles1!$E$4), 3, 4)))</f>
        <v>4</v>
      </c>
      <c r="D9" s="7">
        <v>0</v>
      </c>
      <c r="E9">
        <v>1.5794589999999999</v>
      </c>
      <c r="F9" s="26">
        <f>IF(AND($E9 &gt;= Quartiles1!$A$1, $E9 &lt;= Quartiles1!$A$2), 1, IF(AND($E9 &gt; Quartiles1!$A$2, $E9 &lt;= Quartiles1!$A$3), 2, IF(AND($E9 &gt; Quartiles1!$A$3, $E9 &lt;= Quartiles1!$A$4), 3, 4)))</f>
        <v>4</v>
      </c>
      <c r="G9" s="7">
        <f>F9*PCAWeights!$E$21</f>
        <v>0.76945805462427908</v>
      </c>
      <c r="H9">
        <v>43</v>
      </c>
      <c r="I9" s="20">
        <f>IF(AND($H9 &gt;= Quartiles1!B$1, $H9 &lt;= Quartiles1!$B$2), 1, IF(AND($H9 &gt; Quartiles1!$B$2, $H9 &lt;= Quartiles1!$B$3), 2, IF(AND($H9 &gt; Quartiles1!$B$3, $H9 &lt;= Quartiles1!$B$4), 3, 4)))</f>
        <v>4</v>
      </c>
      <c r="J9" s="7">
        <f>I9*PCAWeights!$E$22</f>
        <v>0.83285286429189209</v>
      </c>
      <c r="K9">
        <v>5</v>
      </c>
      <c r="L9" s="20">
        <f>IF(AND($K9 &gt;= Quartiles1!$C$1, $K9 &lt;= Quartiles1!$C$2), 1, IF(AND($K9 &gt; Quartiles1!$C$2, $K9 &lt;= Quartiles1!$C$3), 2, IF(AND($K9 &gt; Quartiles1!$C$3, $K9 &lt;= Quartiles1!$C$4), 3, 4)))</f>
        <v>3</v>
      </c>
      <c r="M9" s="7">
        <f>L9*PCAWeights!$E$23</f>
        <v>0.74327270035089787</v>
      </c>
      <c r="N9">
        <v>4</v>
      </c>
      <c r="O9" s="20">
        <v>4</v>
      </c>
      <c r="P9" s="7">
        <f>O9*PCAWeights!$E$24</f>
        <v>0.99970121990524241</v>
      </c>
      <c r="Q9" s="21">
        <f t="shared" si="0"/>
        <v>3.3452848391723116</v>
      </c>
      <c r="R9">
        <f>VLOOKUP($A9,'Star Score'!$A$2:$C$60,2,FALSE)</f>
        <v>5</v>
      </c>
      <c r="S9" t="s">
        <v>11</v>
      </c>
      <c r="T9" t="s">
        <v>12</v>
      </c>
      <c r="U9">
        <v>44013</v>
      </c>
      <c r="V9">
        <v>44105</v>
      </c>
      <c r="W9" t="s">
        <v>168</v>
      </c>
      <c r="X9">
        <v>5</v>
      </c>
      <c r="Y9">
        <v>6</v>
      </c>
      <c r="Z9" t="s">
        <v>86</v>
      </c>
      <c r="AA9" t="s">
        <v>98</v>
      </c>
      <c r="AB9" t="s">
        <v>93</v>
      </c>
      <c r="AC9" t="s">
        <v>10</v>
      </c>
      <c r="AE9" t="s">
        <v>99</v>
      </c>
    </row>
    <row r="10" spans="1:31" x14ac:dyDescent="0.3">
      <c r="A10" t="s">
        <v>20</v>
      </c>
      <c r="B10" t="s">
        <v>157</v>
      </c>
      <c r="C10" s="26"/>
      <c r="E10">
        <v>0.98028990000000005</v>
      </c>
      <c r="F10" s="26">
        <f>IF(AND($E10 &gt;= Quartiles1!$A$1, $E10 &lt;= Quartiles1!$A$2), 1, IF(AND($E10 &gt; Quartiles1!$A$2, $E10 &lt;= Quartiles1!$A$3), 2, IF(AND($E10 &gt; Quartiles1!$A$3, $E10 &lt;= Quartiles1!$A$4), 3, 4)))</f>
        <v>3</v>
      </c>
      <c r="G10" s="7">
        <f>F10*PCAWeights!$E$21</f>
        <v>0.57709354096820931</v>
      </c>
      <c r="H10">
        <v>16</v>
      </c>
      <c r="I10" s="20">
        <f>IF(AND($H10 &gt;= Quartiles1!B$1, $H10 &lt;= Quartiles1!$B$2), 1, IF(AND($H10 &gt; Quartiles1!$B$2, $H10 &lt;= Quartiles1!$B$3), 2, IF(AND($H10 &gt; Quartiles1!$B$3, $H10 &lt;= Quartiles1!$B$4), 3, 4)))</f>
        <v>2</v>
      </c>
      <c r="J10" s="7">
        <f>I10*PCAWeights!$E$22</f>
        <v>0.41642643214594605</v>
      </c>
      <c r="K10">
        <v>8</v>
      </c>
      <c r="L10" s="20">
        <f>IF(AND($K10 &gt;= Quartiles1!$C$1, $K10 &lt;= Quartiles1!$C$2), 1, IF(AND($K10 &gt; Quartiles1!$C$2, $K10 &lt;= Quartiles1!$C$3), 2, IF(AND($K10 &gt; Quartiles1!$C$3, $K10 &lt;= Quartiles1!$C$4), 3, 4)))</f>
        <v>4</v>
      </c>
      <c r="M10" s="7">
        <f>L10*PCAWeights!$E$23</f>
        <v>0.99103026713453046</v>
      </c>
      <c r="N10">
        <v>3</v>
      </c>
      <c r="O10" s="20">
        <v>2</v>
      </c>
      <c r="P10" s="7">
        <f>O10*PCAWeights!$E$24</f>
        <v>0.49985060995262121</v>
      </c>
      <c r="Q10" s="21">
        <f t="shared" si="0"/>
        <v>2.4844008502013071</v>
      </c>
      <c r="R10">
        <f>VLOOKUP($A10,'Star Score'!$A$2:$C$60,2,FALSE)</f>
        <v>4</v>
      </c>
      <c r="S10" t="s">
        <v>17</v>
      </c>
      <c r="T10" t="s">
        <v>12</v>
      </c>
      <c r="U10">
        <v>43983</v>
      </c>
      <c r="V10">
        <v>44136</v>
      </c>
      <c r="W10" t="s">
        <v>186</v>
      </c>
      <c r="X10">
        <v>5</v>
      </c>
      <c r="Y10">
        <v>5</v>
      </c>
      <c r="Z10" t="s">
        <v>97</v>
      </c>
      <c r="AB10" t="s">
        <v>93</v>
      </c>
      <c r="AC10" t="s">
        <v>10</v>
      </c>
      <c r="AD10" t="s">
        <v>177</v>
      </c>
      <c r="AE10" t="s">
        <v>100</v>
      </c>
    </row>
    <row r="11" spans="1:31" x14ac:dyDescent="0.3">
      <c r="A11" t="s">
        <v>21</v>
      </c>
      <c r="B11">
        <v>58</v>
      </c>
      <c r="C11" s="26">
        <f>IF(AND($B11 &gt;= Quartiles1!$E$1, $B11 &lt;= Quartiles1!$E$2), 1, IF(AND($B11 &gt; Quartiles1!$E$2, $B11 &lt;= Quartiles1!$E$3), 2, IF(AND($B11 &gt; Quartiles1!$E$3, $B11 &lt;= Quartiles1!$E$4), 3, 4)))</f>
        <v>2</v>
      </c>
      <c r="D11" s="7">
        <v>0</v>
      </c>
      <c r="E11">
        <v>0.65167390000000003</v>
      </c>
      <c r="F11" s="26">
        <f>IF(AND($E11 &gt;= Quartiles1!$A$1, $E11 &lt;= Quartiles1!$A$2), 1, IF(AND($E11 &gt; Quartiles1!$A$2, $E11 &lt;= Quartiles1!$A$3), 2, IF(AND($E11 &gt; Quartiles1!$A$3, $E11 &lt;= Quartiles1!$A$4), 3, 4)))</f>
        <v>2</v>
      </c>
      <c r="G11" s="7">
        <f>F11*PCAWeights!$E$21</f>
        <v>0.38472902731213954</v>
      </c>
      <c r="H11">
        <v>13</v>
      </c>
      <c r="I11" s="20">
        <f>IF(AND($H11 &gt;= Quartiles1!B$1, $H11 &lt;= Quartiles1!$B$2), 1, IF(AND($H11 &gt; Quartiles1!$B$2, $H11 &lt;= Quartiles1!$B$3), 2, IF(AND($H11 &gt; Quartiles1!$B$3, $H11 &lt;= Quartiles1!$B$4), 3, 4)))</f>
        <v>2</v>
      </c>
      <c r="J11" s="7">
        <f>I11*PCAWeights!$E$22</f>
        <v>0.41642643214594605</v>
      </c>
      <c r="K11">
        <v>4</v>
      </c>
      <c r="L11" s="20">
        <f>IF(AND($K11 &gt;= Quartiles1!$C$1, $K11 &lt;= Quartiles1!$C$2), 1, IF(AND($K11 &gt; Quartiles1!$C$2, $K11 &lt;= Quartiles1!$C$3), 2, IF(AND($K11 &gt; Quartiles1!$C$3, $K11 &lt;= Quartiles1!$C$4), 3, 4)))</f>
        <v>2</v>
      </c>
      <c r="M11" s="7">
        <f>L11*PCAWeights!$E$23</f>
        <v>0.49551513356726523</v>
      </c>
      <c r="N11">
        <v>3</v>
      </c>
      <c r="O11" s="20">
        <v>2</v>
      </c>
      <c r="P11" s="7">
        <f>O11*PCAWeights!$E$24</f>
        <v>0.49985060995262121</v>
      </c>
      <c r="Q11" s="21">
        <f t="shared" si="0"/>
        <v>1.796521202977972</v>
      </c>
      <c r="R11">
        <f>VLOOKUP($A11,'Star Score'!$A$2:$C$60,2,FALSE)</f>
        <v>2</v>
      </c>
      <c r="S11" t="s">
        <v>17</v>
      </c>
      <c r="T11" t="s">
        <v>22</v>
      </c>
      <c r="W11" t="s">
        <v>149</v>
      </c>
      <c r="X11" t="s">
        <v>124</v>
      </c>
      <c r="Y11" t="s">
        <v>94</v>
      </c>
      <c r="Z11" t="s">
        <v>86</v>
      </c>
      <c r="AB11" t="s">
        <v>175</v>
      </c>
      <c r="AC11" t="s">
        <v>10</v>
      </c>
      <c r="AE11" t="s">
        <v>187</v>
      </c>
    </row>
    <row r="12" spans="1:31" x14ac:dyDescent="0.3">
      <c r="A12" t="s">
        <v>23</v>
      </c>
      <c r="B12">
        <v>458</v>
      </c>
      <c r="C12" s="26">
        <f>IF(AND($B12 &gt;= Quartiles1!$E$1, $B12 &lt;= Quartiles1!$E$2), 1, IF(AND($B12 &gt; Quartiles1!$E$2, $B12 &lt;= Quartiles1!$E$3), 2, IF(AND($B12 &gt; Quartiles1!$E$3, $B12 &lt;= Quartiles1!$E$4), 3, 4)))</f>
        <v>4</v>
      </c>
      <c r="D12" s="7">
        <v>0</v>
      </c>
      <c r="E12">
        <v>0.8397249</v>
      </c>
      <c r="F12" s="26">
        <f>IF(AND($E12 &gt;= Quartiles1!$A$1, $E12 &lt;= Quartiles1!$A$2), 1, IF(AND($E12 &gt; Quartiles1!$A$2, $E12 &lt;= Quartiles1!$A$3), 2, IF(AND($E12 &gt; Quartiles1!$A$3, $E12 &lt;= Quartiles1!$A$4), 3, 4)))</f>
        <v>2</v>
      </c>
      <c r="G12" s="7">
        <f>F12*PCAWeights!$E$21</f>
        <v>0.38472902731213954</v>
      </c>
      <c r="H12">
        <v>43</v>
      </c>
      <c r="I12" s="20">
        <f>IF(AND($H12 &gt;= Quartiles1!B$1, $H12 &lt;= Quartiles1!$B$2), 1, IF(AND($H12 &gt; Quartiles1!$B$2, $H12 &lt;= Quartiles1!$B$3), 2, IF(AND($H12 &gt; Quartiles1!$B$3, $H12 &lt;= Quartiles1!$B$4), 3, 4)))</f>
        <v>4</v>
      </c>
      <c r="J12" s="7">
        <f>I12*PCAWeights!$E$22</f>
        <v>0.83285286429189209</v>
      </c>
      <c r="K12">
        <v>8</v>
      </c>
      <c r="L12" s="20">
        <f>IF(AND($K12 &gt;= Quartiles1!$C$1, $K12 &lt;= Quartiles1!$C$2), 1, IF(AND($K12 &gt; Quartiles1!$C$2, $K12 &lt;= Quartiles1!$C$3), 2, IF(AND($K12 &gt; Quartiles1!$C$3, $K12 &lt;= Quartiles1!$C$4), 3, 4)))</f>
        <v>4</v>
      </c>
      <c r="M12" s="7">
        <f>L12*PCAWeights!$E$23</f>
        <v>0.99103026713453046</v>
      </c>
      <c r="N12">
        <v>3</v>
      </c>
      <c r="O12" s="20">
        <v>2</v>
      </c>
      <c r="P12" s="7">
        <f>O12*PCAWeights!$E$24</f>
        <v>0.49985060995262121</v>
      </c>
      <c r="Q12" s="21">
        <f t="shared" si="0"/>
        <v>2.7084627686911831</v>
      </c>
      <c r="R12">
        <f>VLOOKUP($A12,'Star Score'!$A$2:$C$60,2,FALSE)</f>
        <v>5</v>
      </c>
      <c r="S12" t="s">
        <v>11</v>
      </c>
      <c r="T12" t="s">
        <v>12</v>
      </c>
      <c r="U12">
        <v>44013</v>
      </c>
      <c r="V12">
        <v>44075</v>
      </c>
      <c r="W12" t="s">
        <v>164</v>
      </c>
      <c r="X12" t="s">
        <v>94</v>
      </c>
      <c r="Y12" t="s">
        <v>94</v>
      </c>
      <c r="Z12" t="s">
        <v>86</v>
      </c>
      <c r="AA12" t="s">
        <v>87</v>
      </c>
      <c r="AB12" t="s">
        <v>93</v>
      </c>
      <c r="AC12" t="s">
        <v>10</v>
      </c>
      <c r="AE12" t="s">
        <v>101</v>
      </c>
    </row>
    <row r="13" spans="1:31" x14ac:dyDescent="0.3">
      <c r="A13" t="s">
        <v>24</v>
      </c>
      <c r="B13">
        <v>23</v>
      </c>
      <c r="C13" s="26">
        <f>IF(AND($B13 &gt;= Quartiles1!$E$1, $B13 &lt;= Quartiles1!$E$2), 1, IF(AND($B13 &gt; Quartiles1!$E$2, $B13 &lt;= Quartiles1!$E$3), 2, IF(AND($B13 &gt; Quartiles1!$E$3, $B13 &lt;= Quartiles1!$E$4), 3, 4)))</f>
        <v>1</v>
      </c>
      <c r="D13" s="7">
        <f>-$J$61*0.125*2</f>
        <v>-0.12792761157025889</v>
      </c>
      <c r="E13">
        <v>1.2569249</v>
      </c>
      <c r="F13" s="26">
        <f>IF(AND($E13 &gt;= Quartiles1!$A$1, $E13 &lt;= Quartiles1!$A$2), 1, IF(AND($E13 &gt; Quartiles1!$A$2, $E13 &lt;= Quartiles1!$A$3), 2, IF(AND($E13 &gt; Quartiles1!$A$3, $E13 &lt;= Quartiles1!$A$4), 3, 4)))</f>
        <v>4</v>
      </c>
      <c r="G13" s="7">
        <f>F13*PCAWeights!$E$21</f>
        <v>0.76945805462427908</v>
      </c>
      <c r="H13">
        <v>25</v>
      </c>
      <c r="I13" s="20">
        <f>IF(AND($H13 &gt;= Quartiles1!B$1, $H13 &lt;= Quartiles1!$B$2), 1, IF(AND($H13 &gt; Quartiles1!$B$2, $H13 &lt;= Quartiles1!$B$3), 2, IF(AND($H13 &gt; Quartiles1!$B$3, $H13 &lt;= Quartiles1!$B$4), 3, 4)))</f>
        <v>3</v>
      </c>
      <c r="J13" s="7">
        <f>I13*PCAWeights!$E$22</f>
        <v>0.62463964821891904</v>
      </c>
      <c r="K13">
        <v>3</v>
      </c>
      <c r="L13" s="20">
        <f>IF(AND($K13 &gt;= Quartiles1!$C$1, $K13 &lt;= Quartiles1!$C$2), 1, IF(AND($K13 &gt; Quartiles1!$C$2, $K13 &lt;= Quartiles1!$C$3), 2, IF(AND($K13 &gt; Quartiles1!$C$3, $K13 &lt;= Quartiles1!$C$4), 3, 4)))</f>
        <v>1</v>
      </c>
      <c r="M13" s="7">
        <f>L13*PCAWeights!$E$23</f>
        <v>0.24775756678363262</v>
      </c>
      <c r="N13">
        <v>1</v>
      </c>
      <c r="O13" s="20">
        <v>1</v>
      </c>
      <c r="P13" s="7">
        <f>O13*PCAWeights!$E$24</f>
        <v>0.2499253049763106</v>
      </c>
      <c r="Q13" s="21">
        <f t="shared" si="0"/>
        <v>1.7638529630328825</v>
      </c>
      <c r="R13">
        <f>VLOOKUP($A13,'Star Score'!$A$2:$C$60,2,FALSE)</f>
        <v>2</v>
      </c>
      <c r="S13" t="s">
        <v>11</v>
      </c>
      <c r="T13" t="s">
        <v>12</v>
      </c>
      <c r="W13" t="s">
        <v>149</v>
      </c>
      <c r="X13" t="s">
        <v>188</v>
      </c>
      <c r="Y13" t="s">
        <v>188</v>
      </c>
      <c r="Z13" t="s">
        <v>189</v>
      </c>
      <c r="AC13" t="s">
        <v>10</v>
      </c>
      <c r="AE13" t="s">
        <v>190</v>
      </c>
    </row>
    <row r="14" spans="1:31" x14ac:dyDescent="0.3">
      <c r="A14" t="s">
        <v>25</v>
      </c>
      <c r="B14" t="s">
        <v>157</v>
      </c>
      <c r="C14" s="26"/>
      <c r="E14">
        <v>0.17328679999999999</v>
      </c>
      <c r="F14" s="26">
        <f>IF(AND($E14 &gt;= Quartiles1!$A$1, $E14 &lt;= Quartiles1!$A$2), 1, IF(AND($E14 &gt; Quartiles1!$A$2, $E14 &lt;= Quartiles1!$A$3), 2, IF(AND($E14 &gt; Quartiles1!$A$3, $E14 &lt;= Quartiles1!$A$4), 3, 4)))</f>
        <v>1</v>
      </c>
      <c r="G14" s="7">
        <f>F14*PCAWeights!$E$21</f>
        <v>0.19236451365606977</v>
      </c>
      <c r="H14">
        <v>1.5</v>
      </c>
      <c r="I14" s="20">
        <f>IF(AND($H14 &gt;= Quartiles1!B$1, $H14 &lt;= Quartiles1!$B$2), 1, IF(AND($H14 &gt; Quartiles1!$B$2, $H14 &lt;= Quartiles1!$B$3), 2, IF(AND($H14 &gt; Quartiles1!$B$3, $H14 &lt;= Quartiles1!$B$4), 3, 4)))</f>
        <v>1</v>
      </c>
      <c r="J14" s="7">
        <f>I14*PCAWeights!$E$22</f>
        <v>0.20821321607297302</v>
      </c>
      <c r="K14">
        <v>4</v>
      </c>
      <c r="L14" s="20">
        <f>IF(AND($K14 &gt;= Quartiles1!$C$1, $K14 &lt;= Quartiles1!$C$2), 1, IF(AND($K14 &gt; Quartiles1!$C$2, $K14 &lt;= Quartiles1!$C$3), 2, IF(AND($K14 &gt; Quartiles1!$C$3, $K14 &lt;= Quartiles1!$C$4), 3, 4)))</f>
        <v>2</v>
      </c>
      <c r="M14" s="7">
        <f>L14*PCAWeights!$E$23</f>
        <v>0.49551513356726523</v>
      </c>
      <c r="N14">
        <v>3</v>
      </c>
      <c r="O14" s="20">
        <v>2</v>
      </c>
      <c r="P14" s="7">
        <f>O14*PCAWeights!$E$24</f>
        <v>0.49985060995262121</v>
      </c>
      <c r="Q14" s="21">
        <f t="shared" si="0"/>
        <v>1.3959434732489293</v>
      </c>
      <c r="R14">
        <f>VLOOKUP($A14,'Star Score'!$A$2:$C$60,2,FALSE)</f>
        <v>2</v>
      </c>
      <c r="S14" t="s">
        <v>11</v>
      </c>
      <c r="T14" t="s">
        <v>22</v>
      </c>
      <c r="W14" t="s">
        <v>192</v>
      </c>
      <c r="X14">
        <v>2</v>
      </c>
      <c r="Y14">
        <v>2</v>
      </c>
      <c r="Z14" t="s">
        <v>191</v>
      </c>
      <c r="AA14" t="s">
        <v>108</v>
      </c>
      <c r="AB14" t="s">
        <v>175</v>
      </c>
      <c r="AC14" t="s">
        <v>10</v>
      </c>
      <c r="AD14" t="s">
        <v>177</v>
      </c>
      <c r="AE14" t="s">
        <v>193</v>
      </c>
    </row>
    <row r="15" spans="1:31" x14ac:dyDescent="0.3">
      <c r="A15" t="s">
        <v>26</v>
      </c>
      <c r="B15">
        <v>129</v>
      </c>
      <c r="C15" s="26">
        <f>IF(AND($B15 &gt;= Quartiles1!$E$1, $B15 &lt;= Quartiles1!$E$2), 1, IF(AND($B15 &gt; Quartiles1!$E$2, $B15 &lt;= Quartiles1!$E$3), 2, IF(AND($B15 &gt; Quartiles1!$E$3, $B15 &lt;= Quartiles1!$E$4), 3, 4)))</f>
        <v>3</v>
      </c>
      <c r="D15" s="7">
        <f>-$J$61*0.125*1</f>
        <v>-6.3963805785129446E-2</v>
      </c>
      <c r="E15">
        <v>1.8356357000000001</v>
      </c>
      <c r="F15" s="26">
        <f>IF(AND($E15 &gt;= Quartiles1!$A$1, $E15 &lt;= Quartiles1!$A$2), 1, IF(AND($E15 &gt; Quartiles1!$A$2, $E15 &lt;= Quartiles1!$A$3), 2, IF(AND($E15 &gt; Quartiles1!$A$3, $E15 &lt;= Quartiles1!$A$4), 3, 4)))</f>
        <v>4</v>
      </c>
      <c r="G15" s="7">
        <f>F15*PCAWeights!$E$21</f>
        <v>0.76945805462427908</v>
      </c>
      <c r="H15">
        <v>36</v>
      </c>
      <c r="I15" s="20">
        <f>IF(AND($H15 &gt;= Quartiles1!B$1, $H15 &lt;= Quartiles1!$B$2), 1, IF(AND($H15 &gt; Quartiles1!$B$2, $H15 &lt;= Quartiles1!$B$3), 2, IF(AND($H15 &gt; Quartiles1!$B$3, $H15 &lt;= Quartiles1!$B$4), 3, 4)))</f>
        <v>4</v>
      </c>
      <c r="J15" s="7">
        <f>I15*PCAWeights!$E$22</f>
        <v>0.83285286429189209</v>
      </c>
      <c r="K15">
        <v>3</v>
      </c>
      <c r="L15" s="20">
        <f>IF(AND($K15 &gt;= Quartiles1!$C$1, $K15 &lt;= Quartiles1!$C$2), 1, IF(AND($K15 &gt; Quartiles1!$C$2, $K15 &lt;= Quartiles1!$C$3), 2, IF(AND($K15 &gt; Quartiles1!$C$3, $K15 &lt;= Quartiles1!$C$4), 3, 4)))</f>
        <v>1</v>
      </c>
      <c r="M15" s="7">
        <f>L15*PCAWeights!$E$23</f>
        <v>0.24775756678363262</v>
      </c>
      <c r="N15">
        <v>1</v>
      </c>
      <c r="O15" s="20">
        <v>1</v>
      </c>
      <c r="P15" s="7">
        <f>O15*PCAWeights!$E$24</f>
        <v>0.2499253049763106</v>
      </c>
      <c r="Q15" s="21">
        <f t="shared" si="0"/>
        <v>2.0360299848909849</v>
      </c>
      <c r="R15">
        <f>VLOOKUP($A15,'Star Score'!$A$2:$C$60,2,FALSE)</f>
        <v>3</v>
      </c>
      <c r="S15" t="s">
        <v>11</v>
      </c>
      <c r="T15" t="s">
        <v>22</v>
      </c>
      <c r="W15" t="s">
        <v>170</v>
      </c>
      <c r="X15" t="s">
        <v>77</v>
      </c>
      <c r="Y15" t="s">
        <v>194</v>
      </c>
      <c r="Z15" t="s">
        <v>195</v>
      </c>
      <c r="AB15" t="s">
        <v>175</v>
      </c>
      <c r="AC15" t="s">
        <v>10</v>
      </c>
      <c r="AE15" t="s">
        <v>196</v>
      </c>
    </row>
    <row r="16" spans="1:31" x14ac:dyDescent="0.3">
      <c r="A16" t="s">
        <v>27</v>
      </c>
      <c r="B16">
        <v>19</v>
      </c>
      <c r="C16" s="26">
        <f>IF(AND($B16 &gt;= Quartiles1!$E$1, $B16 &lt;= Quartiles1!$E$2), 1, IF(AND($B16 &gt; Quartiles1!$E$2, $B16 &lt;= Quartiles1!$E$3), 2, IF(AND($B16 &gt; Quartiles1!$E$3, $B16 &lt;= Quartiles1!$E$4), 3, 4)))</f>
        <v>1</v>
      </c>
      <c r="D16" s="7">
        <f>-$J$61*0.125*2</f>
        <v>-0.12792761157025889</v>
      </c>
      <c r="E16">
        <v>1.1404776000000001</v>
      </c>
      <c r="F16" s="26">
        <f>IF(AND($E16 &gt;= Quartiles1!$A$1, $E16 &lt;= Quartiles1!$A$2), 1, IF(AND($E16 &gt; Quartiles1!$A$2, $E16 &lt;= Quartiles1!$A$3), 2, IF(AND($E16 &gt; Quartiles1!$A$3, $E16 &lt;= Quartiles1!$A$4), 3, 4)))</f>
        <v>3</v>
      </c>
      <c r="G16" s="7">
        <f>F16*PCAWeights!$E$21</f>
        <v>0.57709354096820931</v>
      </c>
      <c r="H16">
        <v>25</v>
      </c>
      <c r="I16" s="20">
        <f>IF(AND($H16 &gt;= Quartiles1!B$1, $H16 &lt;= Quartiles1!$B$2), 1, IF(AND($H16 &gt; Quartiles1!$B$2, $H16 &lt;= Quartiles1!$B$3), 2, IF(AND($H16 &gt; Quartiles1!$B$3, $H16 &lt;= Quartiles1!$B$4), 3, 4)))</f>
        <v>3</v>
      </c>
      <c r="J16" s="7">
        <f>I16*PCAWeights!$E$22</f>
        <v>0.62463964821891904</v>
      </c>
      <c r="K16">
        <v>15</v>
      </c>
      <c r="L16" s="20">
        <f>IF(AND($K16 &gt;= Quartiles1!$C$1, $K16 &lt;= Quartiles1!$C$2), 1, IF(AND($K16 &gt; Quartiles1!$C$2, $K16 &lt;= Quartiles1!$C$3), 2, IF(AND($K16 &gt; Quartiles1!$C$3, $K16 &lt;= Quartiles1!$C$4), 3, 4)))</f>
        <v>4</v>
      </c>
      <c r="M16" s="7">
        <f>L16*PCAWeights!$E$23</f>
        <v>0.99103026713453046</v>
      </c>
      <c r="N16">
        <v>1</v>
      </c>
      <c r="O16" s="20">
        <v>1</v>
      </c>
      <c r="P16" s="7">
        <f>O16*PCAWeights!$E$24</f>
        <v>0.2499253049763106</v>
      </c>
      <c r="Q16" s="21">
        <f t="shared" si="0"/>
        <v>2.3147611497277105</v>
      </c>
      <c r="R16">
        <f>VLOOKUP($A16,'Star Score'!$A$2:$C$60,2,FALSE)</f>
        <v>4</v>
      </c>
      <c r="S16" t="s">
        <v>17</v>
      </c>
      <c r="T16" t="s">
        <v>28</v>
      </c>
      <c r="U16">
        <v>44014</v>
      </c>
      <c r="V16">
        <v>44075</v>
      </c>
      <c r="W16" t="s">
        <v>164</v>
      </c>
      <c r="X16" t="s">
        <v>84</v>
      </c>
      <c r="Y16" t="s">
        <v>102</v>
      </c>
      <c r="Z16" t="s">
        <v>103</v>
      </c>
      <c r="AA16" t="s">
        <v>93</v>
      </c>
      <c r="AB16" t="s">
        <v>93</v>
      </c>
      <c r="AC16" t="s">
        <v>10</v>
      </c>
      <c r="AE16" t="s">
        <v>104</v>
      </c>
    </row>
    <row r="17" spans="1:31" x14ac:dyDescent="0.3">
      <c r="A17" t="s">
        <v>29</v>
      </c>
      <c r="B17">
        <v>286</v>
      </c>
      <c r="C17" s="26">
        <f>IF(AND($B17 &gt;= Quartiles1!$E$1, $B17 &lt;= Quartiles1!$E$2), 1, IF(AND($B17 &gt; Quartiles1!$E$2, $B17 &lt;= Quartiles1!$E$3), 2, IF(AND($B17 &gt; Quartiles1!$E$3, $B17 &lt;= Quartiles1!$E$4), 3, 4)))</f>
        <v>4</v>
      </c>
      <c r="D17" s="7">
        <f>-$J$61*0.125*1</f>
        <v>-6.3963805785129446E-2</v>
      </c>
      <c r="E17">
        <v>1.1065031999999999</v>
      </c>
      <c r="F17" s="26">
        <f>IF(AND($E17 &gt;= Quartiles1!$A$1, $E17 &lt;= Quartiles1!$A$2), 1, IF(AND($E17 &gt; Quartiles1!$A$2, $E17 &lt;= Quartiles1!$A$3), 2, IF(AND($E17 &gt; Quartiles1!$A$3, $E17 &lt;= Quartiles1!$A$4), 3, 4)))</f>
        <v>3</v>
      </c>
      <c r="G17" s="7">
        <f>F17*PCAWeights!$E$21</f>
        <v>0.57709354096820931</v>
      </c>
      <c r="H17">
        <v>19</v>
      </c>
      <c r="I17" s="20">
        <f>IF(AND($H17 &gt;= Quartiles1!B$1, $H17 &lt;= Quartiles1!$B$2), 1, IF(AND($H17 &gt; Quartiles1!$B$2, $H17 &lt;= Quartiles1!$B$3), 2, IF(AND($H17 &gt; Quartiles1!$B$3, $H17 &lt;= Quartiles1!$B$4), 3, 4)))</f>
        <v>3</v>
      </c>
      <c r="J17" s="7">
        <f>I17*PCAWeights!$E$22</f>
        <v>0.62463964821891904</v>
      </c>
      <c r="K17">
        <v>4</v>
      </c>
      <c r="L17" s="20">
        <f>IF(AND($K17 &gt;= Quartiles1!$C$1, $K17 &lt;= Quartiles1!$C$2), 1, IF(AND($K17 &gt; Quartiles1!$C$2, $K17 &lt;= Quartiles1!$C$3), 2, IF(AND($K17 &gt; Quartiles1!$C$3, $K17 &lt;= Quartiles1!$C$4), 3, 4)))</f>
        <v>2</v>
      </c>
      <c r="M17" s="7">
        <f>L17*PCAWeights!$E$23</f>
        <v>0.49551513356726523</v>
      </c>
      <c r="N17">
        <v>5</v>
      </c>
      <c r="O17" s="20">
        <v>4</v>
      </c>
      <c r="P17" s="7">
        <f>O17*PCAWeights!$E$24</f>
        <v>0.99970121990524241</v>
      </c>
      <c r="Q17" s="21">
        <f t="shared" si="0"/>
        <v>2.6329857368745069</v>
      </c>
      <c r="R17">
        <f>VLOOKUP($A17,'Star Score'!$A$2:$C$60,2,FALSE)</f>
        <v>4</v>
      </c>
      <c r="S17" t="s">
        <v>11</v>
      </c>
      <c r="T17" t="s">
        <v>12</v>
      </c>
      <c r="U17">
        <v>44044</v>
      </c>
      <c r="V17">
        <v>44105</v>
      </c>
      <c r="W17" t="s">
        <v>149</v>
      </c>
      <c r="X17" t="s">
        <v>106</v>
      </c>
      <c r="Y17" t="s">
        <v>107</v>
      </c>
      <c r="Z17" t="s">
        <v>86</v>
      </c>
      <c r="AA17" t="s">
        <v>108</v>
      </c>
      <c r="AB17" t="s">
        <v>93</v>
      </c>
      <c r="AC17" t="s">
        <v>10</v>
      </c>
      <c r="AE17" t="s">
        <v>109</v>
      </c>
    </row>
    <row r="18" spans="1:31" x14ac:dyDescent="0.3">
      <c r="A18" t="s">
        <v>30</v>
      </c>
      <c r="B18">
        <v>216</v>
      </c>
      <c r="C18" s="26">
        <f>IF(AND($B18 &gt;= Quartiles1!$E$1, $B18 &lt;= Quartiles1!$E$2), 1, IF(AND($B18 &gt; Quartiles1!$E$2, $B18 &lt;= Quartiles1!$E$3), 2, IF(AND($B18 &gt; Quartiles1!$E$3, $B18 &lt;= Quartiles1!$E$4), 3, 4)))</f>
        <v>3</v>
      </c>
      <c r="D18" s="7">
        <v>0</v>
      </c>
      <c r="E18">
        <v>1.1731406</v>
      </c>
      <c r="F18" s="26">
        <f>IF(AND($E18 &gt;= Quartiles1!$A$1, $E18 &lt;= Quartiles1!$A$2), 1, IF(AND($E18 &gt; Quartiles1!$A$2, $E18 &lt;= Quartiles1!$A$3), 2, IF(AND($E18 &gt; Quartiles1!$A$3, $E18 &lt;= Quartiles1!$A$4), 3, 4)))</f>
        <v>4</v>
      </c>
      <c r="G18" s="7">
        <f>F18*PCAWeights!$E$21</f>
        <v>0.76945805462427908</v>
      </c>
      <c r="H18">
        <v>25.5</v>
      </c>
      <c r="I18" s="20">
        <f>IF(AND($H18 &gt;= Quartiles1!B$1, $H18 &lt;= Quartiles1!$B$2), 1, IF(AND($H18 &gt; Quartiles1!$B$2, $H18 &lt;= Quartiles1!$B$3), 2, IF(AND($H18 &gt; Quartiles1!$B$3, $H18 &lt;= Quartiles1!$B$4), 3, 4)))</f>
        <v>3</v>
      </c>
      <c r="J18" s="7">
        <f>I18*PCAWeights!$E$22</f>
        <v>0.62463964821891904</v>
      </c>
      <c r="K18">
        <v>7</v>
      </c>
      <c r="L18" s="20">
        <f>IF(AND($K18 &gt;= Quartiles1!$C$1, $K18 &lt;= Quartiles1!$C$2), 1, IF(AND($K18 &gt; Quartiles1!$C$2, $K18 &lt;= Quartiles1!$C$3), 2, IF(AND($K18 &gt; Quartiles1!$C$3, $K18 &lt;= Quartiles1!$C$4), 3, 4)))</f>
        <v>4</v>
      </c>
      <c r="M18" s="7">
        <f>L18*PCAWeights!$E$23</f>
        <v>0.99103026713453046</v>
      </c>
      <c r="N18">
        <v>7</v>
      </c>
      <c r="O18" s="20">
        <v>4</v>
      </c>
      <c r="P18" s="7">
        <f>O18*PCAWeights!$E$24</f>
        <v>0.99970121990524241</v>
      </c>
      <c r="Q18" s="21">
        <f t="shared" si="0"/>
        <v>3.384829189882971</v>
      </c>
      <c r="R18">
        <f>VLOOKUP($A18,'Star Score'!$A$2:$C$60,2,FALSE)</f>
        <v>5</v>
      </c>
      <c r="S18" t="s">
        <v>11</v>
      </c>
      <c r="T18" t="s">
        <v>12</v>
      </c>
      <c r="U18">
        <v>44013</v>
      </c>
      <c r="V18">
        <v>44075</v>
      </c>
      <c r="W18" t="s">
        <v>164</v>
      </c>
      <c r="X18" t="s">
        <v>110</v>
      </c>
      <c r="Y18" t="s">
        <v>111</v>
      </c>
      <c r="Z18" t="s">
        <v>86</v>
      </c>
      <c r="AA18" t="s">
        <v>87</v>
      </c>
      <c r="AB18" t="s">
        <v>88</v>
      </c>
      <c r="AC18" t="s">
        <v>10</v>
      </c>
      <c r="AE18" t="s">
        <v>89</v>
      </c>
    </row>
    <row r="19" spans="1:31" x14ac:dyDescent="0.3">
      <c r="A19" t="s">
        <v>31</v>
      </c>
      <c r="B19">
        <v>251</v>
      </c>
      <c r="C19" s="26">
        <f>IF(AND($B19 &gt;= Quartiles1!$E$1, $B19 &lt;= Quartiles1!$E$2), 1, IF(AND($B19 &gt; Quartiles1!$E$2, $B19 &lt;= Quartiles1!$E$3), 2, IF(AND($B19 &gt; Quartiles1!$E$3, $B19 &lt;= Quartiles1!$E$4), 3, 4)))</f>
        <v>4</v>
      </c>
      <c r="D19" s="7">
        <v>0</v>
      </c>
      <c r="E19">
        <v>1.2637924</v>
      </c>
      <c r="F19" s="26">
        <f>IF(AND($E19 &gt;= Quartiles1!$A$1, $E19 &lt;= Quartiles1!$A$2), 1, IF(AND($E19 &gt; Quartiles1!$A$2, $E19 &lt;= Quartiles1!$A$3), 2, IF(AND($E19 &gt; Quartiles1!$A$3, $E19 &lt;= Quartiles1!$A$4), 3, 4)))</f>
        <v>4</v>
      </c>
      <c r="G19" s="7">
        <f>F19*PCAWeights!$E$21</f>
        <v>0.76945805462427908</v>
      </c>
      <c r="H19">
        <v>80</v>
      </c>
      <c r="I19" s="20">
        <f>IF(AND($H19 &gt;= Quartiles1!B$1, $H19 &lt;= Quartiles1!$B$2), 1, IF(AND($H19 &gt; Quartiles1!$B$2, $H19 &lt;= Quartiles1!$B$3), 2, IF(AND($H19 &gt; Quartiles1!$B$3, $H19 &lt;= Quartiles1!$B$4), 3, 4)))</f>
        <v>4</v>
      </c>
      <c r="J19" s="7">
        <f>I19*PCAWeights!$E$22</f>
        <v>0.83285286429189209</v>
      </c>
      <c r="K19">
        <v>4</v>
      </c>
      <c r="L19" s="20">
        <f>IF(AND($K19 &gt;= Quartiles1!$C$1, $K19 &lt;= Quartiles1!$C$2), 1, IF(AND($K19 &gt; Quartiles1!$C$2, $K19 &lt;= Quartiles1!$C$3), 2, IF(AND($K19 &gt; Quartiles1!$C$3, $K19 &lt;= Quartiles1!$C$4), 3, 4)))</f>
        <v>2</v>
      </c>
      <c r="M19" s="7">
        <f>L19*PCAWeights!$E$23</f>
        <v>0.49551513356726523</v>
      </c>
      <c r="N19">
        <v>3</v>
      </c>
      <c r="O19" s="20">
        <v>2</v>
      </c>
      <c r="P19" s="7">
        <f>O19*PCAWeights!$E$24</f>
        <v>0.49985060995262121</v>
      </c>
      <c r="Q19" s="21">
        <f t="shared" si="0"/>
        <v>2.5976766624360579</v>
      </c>
      <c r="R19">
        <f>VLOOKUP($A19,'Star Score'!$A$2:$C$60,2,FALSE)</f>
        <v>4</v>
      </c>
      <c r="S19" t="s">
        <v>11</v>
      </c>
      <c r="T19" t="s">
        <v>32</v>
      </c>
      <c r="U19">
        <v>44044</v>
      </c>
      <c r="V19">
        <v>44105</v>
      </c>
      <c r="W19" t="s">
        <v>149</v>
      </c>
      <c r="X19" t="s">
        <v>112</v>
      </c>
      <c r="Y19" t="s">
        <v>112</v>
      </c>
      <c r="Z19" t="s">
        <v>91</v>
      </c>
      <c r="AA19" t="s">
        <v>88</v>
      </c>
      <c r="AB19" t="s">
        <v>113</v>
      </c>
      <c r="AC19" t="s">
        <v>10</v>
      </c>
      <c r="AD19" t="s">
        <v>105</v>
      </c>
      <c r="AE19" t="s">
        <v>152</v>
      </c>
    </row>
    <row r="20" spans="1:31" x14ac:dyDescent="0.3">
      <c r="A20" t="s">
        <v>33</v>
      </c>
      <c r="B20" t="s">
        <v>157</v>
      </c>
      <c r="C20" s="26"/>
      <c r="E20">
        <v>0.59592979999999995</v>
      </c>
      <c r="F20" s="26">
        <f>IF(AND($E20 &gt;= Quartiles1!$A$1, $E20 &lt;= Quartiles1!$A$2), 1, IF(AND($E20 &gt; Quartiles1!$A$2, $E20 &lt;= Quartiles1!$A$3), 2, IF(AND($E20 &gt; Quartiles1!$A$3, $E20 &lt;= Quartiles1!$A$4), 3, 4)))</f>
        <v>2</v>
      </c>
      <c r="G20" s="7">
        <f>F20*PCAWeights!$E$21</f>
        <v>0.38472902731213954</v>
      </c>
      <c r="H20">
        <v>36</v>
      </c>
      <c r="I20" s="20">
        <f>IF(AND($H20 &gt;= Quartiles1!B$1, $H20 &lt;= Quartiles1!$B$2), 1, IF(AND($H20 &gt; Quartiles1!$B$2, $H20 &lt;= Quartiles1!$B$3), 2, IF(AND($H20 &gt; Quartiles1!$B$3, $H20 &lt;= Quartiles1!$B$4), 3, 4)))</f>
        <v>4</v>
      </c>
      <c r="J20" s="7">
        <f>I20*PCAWeights!$E$22</f>
        <v>0.83285286429189209</v>
      </c>
      <c r="K20">
        <v>7</v>
      </c>
      <c r="L20" s="20">
        <f>IF(AND($K20 &gt;= Quartiles1!$C$1, $K20 &lt;= Quartiles1!$C$2), 1, IF(AND($K20 &gt; Quartiles1!$C$2, $K20 &lt;= Quartiles1!$C$3), 2, IF(AND($K20 &gt; Quartiles1!$C$3, $K20 &lt;= Quartiles1!$C$4), 3, 4)))</f>
        <v>4</v>
      </c>
      <c r="M20" s="7">
        <f>L20*PCAWeights!$E$23</f>
        <v>0.99103026713453046</v>
      </c>
      <c r="N20">
        <v>3</v>
      </c>
      <c r="O20" s="20">
        <v>2</v>
      </c>
      <c r="P20" s="7">
        <f>O20*PCAWeights!$E$24</f>
        <v>0.49985060995262121</v>
      </c>
      <c r="Q20" s="21">
        <f t="shared" si="0"/>
        <v>2.7084627686911831</v>
      </c>
      <c r="R20">
        <f>VLOOKUP($A20,'Star Score'!$A$2:$C$60,2,FALSE)</f>
        <v>5</v>
      </c>
      <c r="S20" t="s">
        <v>34</v>
      </c>
      <c r="T20" t="s">
        <v>12</v>
      </c>
      <c r="U20">
        <v>43983</v>
      </c>
      <c r="V20">
        <v>44013</v>
      </c>
      <c r="W20" t="s">
        <v>170</v>
      </c>
      <c r="X20">
        <v>7</v>
      </c>
      <c r="Y20">
        <v>7</v>
      </c>
      <c r="Z20" t="s">
        <v>134</v>
      </c>
      <c r="AA20" t="s">
        <v>93</v>
      </c>
      <c r="AB20" t="s">
        <v>93</v>
      </c>
      <c r="AC20" t="s">
        <v>7</v>
      </c>
      <c r="AD20" t="s">
        <v>177</v>
      </c>
      <c r="AE20" t="s">
        <v>135</v>
      </c>
    </row>
    <row r="21" spans="1:31" x14ac:dyDescent="0.3">
      <c r="A21" t="s">
        <v>35</v>
      </c>
      <c r="B21" t="s">
        <v>157</v>
      </c>
      <c r="C21" s="26"/>
      <c r="E21">
        <v>0</v>
      </c>
      <c r="F21" s="26">
        <f>IF(AND($E21 &gt;= Quartiles1!$A$1, $E21 &lt;= Quartiles1!$A$2), 1, IF(AND($E21 &gt; Quartiles1!$A$2, $E21 &lt;= Quartiles1!$A$3), 2, IF(AND($E21 &gt; Quartiles1!$A$3, $E21 &lt;= Quartiles1!$A$4), 3, 4)))</f>
        <v>1</v>
      </c>
      <c r="G21" s="7">
        <f>F21*PCAWeights!$E$21</f>
        <v>0.19236451365606977</v>
      </c>
      <c r="H21">
        <v>2</v>
      </c>
      <c r="I21" s="20">
        <f>IF(AND($H21 &gt;= Quartiles1!B$1, $H21 &lt;= Quartiles1!$B$2), 1, IF(AND($H21 &gt; Quartiles1!$B$2, $H21 &lt;= Quartiles1!$B$3), 2, IF(AND($H21 &gt; Quartiles1!$B$3, $H21 &lt;= Quartiles1!$B$4), 3, 4)))</f>
        <v>1</v>
      </c>
      <c r="J21" s="7">
        <f>I21*PCAWeights!$E$22</f>
        <v>0.20821321607297302</v>
      </c>
      <c r="K21">
        <v>1</v>
      </c>
      <c r="L21" s="20">
        <f>IF(AND($K21 &gt;= Quartiles1!$C$1, $K21 &lt;= Quartiles1!$C$2), 1, IF(AND($K21 &gt; Quartiles1!$C$2, $K21 &lt;= Quartiles1!$C$3), 2, IF(AND($K21 &gt; Quartiles1!$C$3, $K21 &lt;= Quartiles1!$C$4), 3, 4)))</f>
        <v>1</v>
      </c>
      <c r="M21" s="7">
        <f>L21*PCAWeights!$E$23</f>
        <v>0.24775756678363262</v>
      </c>
      <c r="N21">
        <v>3</v>
      </c>
      <c r="O21" s="20">
        <v>2</v>
      </c>
      <c r="P21" s="7">
        <f>O21*PCAWeights!$E$24</f>
        <v>0.49985060995262121</v>
      </c>
      <c r="Q21" s="21">
        <f t="shared" si="0"/>
        <v>1.1481859064652966</v>
      </c>
      <c r="R21">
        <f>VLOOKUP($A21,'Star Score'!$A$2:$C$60,2,FALSE)</f>
        <v>1</v>
      </c>
      <c r="S21" t="s">
        <v>8</v>
      </c>
      <c r="T21" t="s">
        <v>12</v>
      </c>
      <c r="W21" t="s">
        <v>209</v>
      </c>
      <c r="X21" t="s">
        <v>207</v>
      </c>
      <c r="Y21" t="s">
        <v>208</v>
      </c>
      <c r="Z21" t="s">
        <v>80</v>
      </c>
      <c r="AA21" t="s">
        <v>87</v>
      </c>
      <c r="AB21" t="s">
        <v>82</v>
      </c>
      <c r="AC21" t="s">
        <v>7</v>
      </c>
      <c r="AD21" t="s">
        <v>177</v>
      </c>
      <c r="AE21" t="s">
        <v>210</v>
      </c>
    </row>
    <row r="22" spans="1:31" x14ac:dyDescent="0.3">
      <c r="A22" t="s">
        <v>36</v>
      </c>
      <c r="B22">
        <v>322</v>
      </c>
      <c r="C22" s="26">
        <f>IF(AND($B22 &gt;= Quartiles1!$E$1, $B22 &lt;= Quartiles1!$E$2), 1, IF(AND($B22 &gt; Quartiles1!$E$2, $B22 &lt;= Quartiles1!$E$3), 2, IF(AND($B22 &gt; Quartiles1!$E$3, $B22 &lt;= Quartiles1!$E$4), 3, 4)))</f>
        <v>4</v>
      </c>
      <c r="D22" s="7">
        <v>0</v>
      </c>
      <c r="E22">
        <v>0.97886019999999996</v>
      </c>
      <c r="F22" s="26">
        <f>IF(AND($E22 &gt;= Quartiles1!$A$1, $E22 &lt;= Quartiles1!$A$2), 1, IF(AND($E22 &gt; Quartiles1!$A$2, $E22 &lt;= Quartiles1!$A$3), 2, IF(AND($E22 &gt; Quartiles1!$A$3, $E22 &lt;= Quartiles1!$A$4), 3, 4)))</f>
        <v>3</v>
      </c>
      <c r="G22" s="7">
        <f>F22*PCAWeights!$E$21</f>
        <v>0.57709354096820931</v>
      </c>
      <c r="H22">
        <v>50</v>
      </c>
      <c r="I22" s="20">
        <f>IF(AND($H22 &gt;= Quartiles1!B$1, $H22 &lt;= Quartiles1!$B$2), 1, IF(AND($H22 &gt; Quartiles1!$B$2, $H22 &lt;= Quartiles1!$B$3), 2, IF(AND($H22 &gt; Quartiles1!$B$3, $H22 &lt;= Quartiles1!$B$4), 3, 4)))</f>
        <v>4</v>
      </c>
      <c r="J22" s="7">
        <f>I22*PCAWeights!$E$22</f>
        <v>0.83285286429189209</v>
      </c>
      <c r="K22">
        <v>4</v>
      </c>
      <c r="L22" s="20">
        <f>IF(AND($K22 &gt;= Quartiles1!$C$1, $K22 &lt;= Quartiles1!$C$2), 1, IF(AND($K22 &gt; Quartiles1!$C$2, $K22 &lt;= Quartiles1!$C$3), 2, IF(AND($K22 &gt; Quartiles1!$C$3, $K22 &lt;= Quartiles1!$C$4), 3, 4)))</f>
        <v>2</v>
      </c>
      <c r="M22" s="7">
        <f>L22*PCAWeights!$E$23</f>
        <v>0.49551513356726523</v>
      </c>
      <c r="N22">
        <v>4</v>
      </c>
      <c r="O22" s="20">
        <v>4</v>
      </c>
      <c r="P22" s="7">
        <f>O22*PCAWeights!$E$24</f>
        <v>0.99970121990524241</v>
      </c>
      <c r="Q22" s="21">
        <f t="shared" si="0"/>
        <v>2.905162758732609</v>
      </c>
      <c r="R22">
        <f>VLOOKUP($A22,'Star Score'!$A$2:$C$60,2,FALSE)</f>
        <v>5</v>
      </c>
      <c r="S22" t="s">
        <v>11</v>
      </c>
      <c r="T22" t="s">
        <v>12</v>
      </c>
      <c r="U22">
        <v>44013</v>
      </c>
      <c r="V22">
        <v>44105</v>
      </c>
      <c r="W22" t="s">
        <v>168</v>
      </c>
      <c r="X22">
        <v>15</v>
      </c>
      <c r="Y22">
        <v>7</v>
      </c>
      <c r="Z22" t="s">
        <v>97</v>
      </c>
      <c r="AA22" t="s">
        <v>93</v>
      </c>
      <c r="AB22" t="s">
        <v>88</v>
      </c>
      <c r="AC22" t="s">
        <v>10</v>
      </c>
      <c r="AD22" t="s">
        <v>128</v>
      </c>
      <c r="AE22" t="s">
        <v>129</v>
      </c>
    </row>
    <row r="23" spans="1:31" x14ac:dyDescent="0.3">
      <c r="A23" t="s">
        <v>37</v>
      </c>
      <c r="B23" t="s">
        <v>157</v>
      </c>
      <c r="C23" s="26"/>
      <c r="E23">
        <v>0.41937340000000001</v>
      </c>
      <c r="F23" s="26">
        <f>IF(AND($E23 &gt;= Quartiles1!$A$1, $E23 &lt;= Quartiles1!$A$2), 1, IF(AND($E23 &gt; Quartiles1!$A$2, $E23 &lt;= Quartiles1!$A$3), 2, IF(AND($E23 &gt; Quartiles1!$A$3, $E23 &lt;= Quartiles1!$A$4), 3, 4)))</f>
        <v>1</v>
      </c>
      <c r="G23" s="7">
        <f>F23*PCAWeights!$E$21</f>
        <v>0.19236451365606977</v>
      </c>
      <c r="H23">
        <v>4</v>
      </c>
      <c r="I23" s="20">
        <f>IF(AND($H23 &gt;= Quartiles1!B$1, $H23 &lt;= Quartiles1!$B$2), 1, IF(AND($H23 &gt; Quartiles1!$B$2, $H23 &lt;= Quartiles1!$B$3), 2, IF(AND($H23 &gt; Quartiles1!$B$3, $H23 &lt;= Quartiles1!$B$4), 3, 4)))</f>
        <v>1</v>
      </c>
      <c r="J23" s="7">
        <f>I23*PCAWeights!$E$22</f>
        <v>0.20821321607297302</v>
      </c>
      <c r="K23">
        <v>8</v>
      </c>
      <c r="L23" s="20">
        <f>IF(AND($K23 &gt;= Quartiles1!$C$1, $K23 &lt;= Quartiles1!$C$2), 1, IF(AND($K23 &gt; Quartiles1!$C$2, $K23 &lt;= Quartiles1!$C$3), 2, IF(AND($K23 &gt; Quartiles1!$C$3, $K23 &lt;= Quartiles1!$C$4), 3, 4)))</f>
        <v>4</v>
      </c>
      <c r="M23" s="7">
        <f>L23*PCAWeights!$E$23</f>
        <v>0.99103026713453046</v>
      </c>
      <c r="N23">
        <v>3</v>
      </c>
      <c r="O23" s="20">
        <v>2</v>
      </c>
      <c r="P23" s="7">
        <f>O23*PCAWeights!$E$24</f>
        <v>0.49985060995262121</v>
      </c>
      <c r="Q23" s="21">
        <f t="shared" si="0"/>
        <v>1.8914586068161945</v>
      </c>
      <c r="R23">
        <f>VLOOKUP($A23,'Star Score'!$A$2:$C$60,2,FALSE)</f>
        <v>3</v>
      </c>
      <c r="S23" t="s">
        <v>8</v>
      </c>
      <c r="T23" t="s">
        <v>12</v>
      </c>
      <c r="U23">
        <v>44013</v>
      </c>
      <c r="V23">
        <v>44044</v>
      </c>
      <c r="W23" t="s">
        <v>171</v>
      </c>
      <c r="X23" t="s">
        <v>124</v>
      </c>
      <c r="Y23" t="s">
        <v>124</v>
      </c>
      <c r="Z23" t="s">
        <v>91</v>
      </c>
      <c r="AA23" t="s">
        <v>93</v>
      </c>
      <c r="AB23" t="s">
        <v>93</v>
      </c>
      <c r="AC23" t="s">
        <v>7</v>
      </c>
      <c r="AD23" t="s">
        <v>260</v>
      </c>
      <c r="AE23" t="s">
        <v>130</v>
      </c>
    </row>
    <row r="24" spans="1:31" x14ac:dyDescent="0.3">
      <c r="A24" t="s">
        <v>258</v>
      </c>
      <c r="B24" t="s">
        <v>157</v>
      </c>
      <c r="C24" s="26"/>
      <c r="E24">
        <v>0.6648307</v>
      </c>
      <c r="F24" s="26">
        <f>IF(AND($E24 &gt;= Quartiles1!$A$1, $E24 &lt;= Quartiles1!$A$2), 1, IF(AND($E24 &gt; Quartiles1!$A$2, $E24 &lt;= Quartiles1!$A$3), 2, IF(AND($E24 &gt; Quartiles1!$A$3, $E24 &lt;= Quartiles1!$A$4), 3, 4)))</f>
        <v>2</v>
      </c>
      <c r="G24" s="7">
        <f>F24*PCAWeights!$E$21</f>
        <v>0.38472902731213954</v>
      </c>
      <c r="H24">
        <v>6</v>
      </c>
      <c r="I24" s="20">
        <f>IF(AND($H24 &gt;= Quartiles1!B$1, $H24 &lt;= Quartiles1!$B$2), 1, IF(AND($H24 &gt; Quartiles1!$B$2, $H24 &lt;= Quartiles1!$B$3), 2, IF(AND($H24 &gt; Quartiles1!$B$3, $H24 &lt;= Quartiles1!$B$4), 3, 4)))</f>
        <v>1</v>
      </c>
      <c r="J24" s="7">
        <f>I24*PCAWeights!$E$22</f>
        <v>0.20821321607297302</v>
      </c>
      <c r="K24">
        <v>2</v>
      </c>
      <c r="L24" s="20">
        <f>IF(AND($K24 &gt;= Quartiles1!$C$1, $K24 &lt;= Quartiles1!$C$2), 1, IF(AND($K24 &gt; Quartiles1!$C$2, $K24 &lt;= Quartiles1!$C$3), 2, IF(AND($K24 &gt; Quartiles1!$C$3, $K24 &lt;= Quartiles1!$C$4), 3, 4)))</f>
        <v>1</v>
      </c>
      <c r="M24" s="7">
        <f>L24*PCAWeights!$E$23</f>
        <v>0.24775756678363262</v>
      </c>
      <c r="N24">
        <v>3</v>
      </c>
      <c r="O24" s="20">
        <v>2</v>
      </c>
      <c r="P24" s="7">
        <f>O24*PCAWeights!$E$24</f>
        <v>0.49985060995262121</v>
      </c>
      <c r="Q24" s="21">
        <f t="shared" si="0"/>
        <v>1.3405504201213665</v>
      </c>
      <c r="R24">
        <f>VLOOKUP($A24,'Star Score'!$A$2:$C$60,2,FALSE)</f>
        <v>1</v>
      </c>
      <c r="S24" t="s">
        <v>8</v>
      </c>
      <c r="T24" t="s">
        <v>12</v>
      </c>
      <c r="W24" t="s">
        <v>169</v>
      </c>
      <c r="X24" t="s">
        <v>124</v>
      </c>
      <c r="Y24" t="s">
        <v>124</v>
      </c>
      <c r="Z24" t="s">
        <v>91</v>
      </c>
      <c r="AA24" t="s">
        <v>87</v>
      </c>
      <c r="AB24" t="s">
        <v>175</v>
      </c>
      <c r="AC24" t="s">
        <v>7</v>
      </c>
      <c r="AD24" t="s">
        <v>177</v>
      </c>
      <c r="AE24" t="s">
        <v>197</v>
      </c>
    </row>
    <row r="25" spans="1:31" x14ac:dyDescent="0.3">
      <c r="A25" t="s">
        <v>38</v>
      </c>
      <c r="B25" t="s">
        <v>157</v>
      </c>
      <c r="C25" s="26"/>
      <c r="E25">
        <v>0.27725889999999997</v>
      </c>
      <c r="F25" s="26">
        <f>IF(AND($E25 &gt;= Quartiles1!$A$1, $E25 &lt;= Quartiles1!$A$2), 1, IF(AND($E25 &gt; Quartiles1!$A$2, $E25 &lt;= Quartiles1!$A$3), 2, IF(AND($E25 &gt; Quartiles1!$A$3, $E25 &lt;= Quartiles1!$A$4), 3, 4)))</f>
        <v>1</v>
      </c>
      <c r="G25" s="7">
        <f>F25*PCAWeights!$E$21</f>
        <v>0.19236451365606977</v>
      </c>
      <c r="H25">
        <v>2.5</v>
      </c>
      <c r="I25" s="20">
        <f>IF(AND($H25 &gt;= Quartiles1!B$1, $H25 &lt;= Quartiles1!$B$2), 1, IF(AND($H25 &gt; Quartiles1!$B$2, $H25 &lt;= Quartiles1!$B$3), 2, IF(AND($H25 &gt; Quartiles1!$B$3, $H25 &lt;= Quartiles1!$B$4), 3, 4)))</f>
        <v>1</v>
      </c>
      <c r="J25" s="7">
        <f>I25*PCAWeights!$E$22</f>
        <v>0.20821321607297302</v>
      </c>
      <c r="K25">
        <v>5</v>
      </c>
      <c r="L25" s="20">
        <f>IF(AND($K25 &gt;= Quartiles1!$C$1, $K25 &lt;= Quartiles1!$C$2), 1, IF(AND($K25 &gt; Quartiles1!$C$2, $K25 &lt;= Quartiles1!$C$3), 2, IF(AND($K25 &gt; Quartiles1!$C$3, $K25 &lt;= Quartiles1!$C$4), 3, 4)))</f>
        <v>3</v>
      </c>
      <c r="M25" s="7">
        <f>L25*PCAWeights!$E$23</f>
        <v>0.74327270035089787</v>
      </c>
      <c r="N25">
        <v>3</v>
      </c>
      <c r="O25" s="20">
        <v>2</v>
      </c>
      <c r="P25" s="7">
        <f>O25*PCAWeights!$E$24</f>
        <v>0.49985060995262121</v>
      </c>
      <c r="Q25" s="21">
        <f t="shared" si="0"/>
        <v>1.6437010400325618</v>
      </c>
      <c r="R25">
        <f>VLOOKUP($A25,'Star Score'!$A$2:$C$60,2,FALSE)</f>
        <v>2</v>
      </c>
      <c r="S25" t="s">
        <v>8</v>
      </c>
      <c r="T25" t="s">
        <v>28</v>
      </c>
      <c r="W25" t="s">
        <v>164</v>
      </c>
      <c r="X25" t="s">
        <v>200</v>
      </c>
      <c r="Y25" t="s">
        <v>200</v>
      </c>
      <c r="Z25" t="s">
        <v>198</v>
      </c>
      <c r="AA25" t="s">
        <v>87</v>
      </c>
      <c r="AB25" t="s">
        <v>175</v>
      </c>
      <c r="AC25" t="s">
        <v>7</v>
      </c>
      <c r="AD25" t="s">
        <v>177</v>
      </c>
      <c r="AE25" t="s">
        <v>201</v>
      </c>
    </row>
    <row r="26" spans="1:31" x14ac:dyDescent="0.3">
      <c r="A26" t="s">
        <v>180</v>
      </c>
      <c r="B26" t="s">
        <v>157</v>
      </c>
      <c r="C26" s="26"/>
      <c r="E26">
        <v>0</v>
      </c>
      <c r="F26" s="26">
        <f>IF(AND($E26 &gt;= Quartiles1!$A$1, $E26 &lt;= Quartiles1!$A$2), 1, IF(AND($E26 &gt; Quartiles1!$A$2, $E26 &lt;= Quartiles1!$A$3), 2, IF(AND($E26 &gt; Quartiles1!$A$3, $E26 &lt;= Quartiles1!$A$4), 3, 4)))</f>
        <v>1</v>
      </c>
      <c r="G26" s="7">
        <f>F26*PCAWeights!$E$21</f>
        <v>0.19236451365606977</v>
      </c>
      <c r="H26">
        <v>0</v>
      </c>
      <c r="I26" s="20">
        <f>IF(AND($H26 &gt;= Quartiles1!B$1, $H26 &lt;= Quartiles1!$B$2), 1, IF(AND($H26 &gt; Quartiles1!$B$2, $H26 &lt;= Quartiles1!$B$3), 2, IF(AND($H26 &gt; Quartiles1!$B$3, $H26 &lt;= Quartiles1!$B$4), 3, 4)))</f>
        <v>1</v>
      </c>
      <c r="J26" s="7">
        <f>I26*PCAWeights!$E$22</f>
        <v>0.20821321607297302</v>
      </c>
      <c r="K26">
        <v>1</v>
      </c>
      <c r="L26" s="20">
        <f>IF(AND($K26 &gt;= Quartiles1!$C$1, $K26 &lt;= Quartiles1!$C$2), 1, IF(AND($K26 &gt; Quartiles1!$C$2, $K26 &lt;= Quartiles1!$C$3), 2, IF(AND($K26 &gt; Quartiles1!$C$3, $K26 &lt;= Quartiles1!$C$4), 3, 4)))</f>
        <v>1</v>
      </c>
      <c r="M26" s="7">
        <f>L26*PCAWeights!$E$23</f>
        <v>0.24775756678363262</v>
      </c>
      <c r="N26">
        <v>3</v>
      </c>
      <c r="O26" s="20">
        <v>2</v>
      </c>
      <c r="P26" s="7">
        <f>O26*PCAWeights!$E$24</f>
        <v>0.49985060995262121</v>
      </c>
      <c r="Q26" s="21">
        <f t="shared" si="0"/>
        <v>1.1481859064652966</v>
      </c>
      <c r="R26">
        <f>VLOOKUP($A26,'Star Score'!$A$2:$C$60,2,FALSE)</f>
        <v>1</v>
      </c>
      <c r="S26" t="s">
        <v>8</v>
      </c>
      <c r="T26" t="s">
        <v>28</v>
      </c>
      <c r="W26" t="s">
        <v>164</v>
      </c>
      <c r="X26" t="s">
        <v>174</v>
      </c>
      <c r="Y26" t="s">
        <v>174</v>
      </c>
      <c r="Z26" t="s">
        <v>198</v>
      </c>
      <c r="AA26" t="s">
        <v>87</v>
      </c>
      <c r="AB26" t="s">
        <v>175</v>
      </c>
      <c r="AC26" t="s">
        <v>7</v>
      </c>
      <c r="AD26" t="s">
        <v>206</v>
      </c>
      <c r="AE26" t="s">
        <v>199</v>
      </c>
    </row>
    <row r="27" spans="1:31" x14ac:dyDescent="0.3">
      <c r="A27" t="s">
        <v>181</v>
      </c>
      <c r="B27" t="s">
        <v>157</v>
      </c>
      <c r="C27" s="26"/>
      <c r="E27">
        <v>0</v>
      </c>
      <c r="F27" s="26">
        <f>IF(AND($E27 &gt;= Quartiles1!$A$1, $E27 &lt;= Quartiles1!$A$2), 1, IF(AND($E27 &gt; Quartiles1!$A$2, $E27 &lt;= Quartiles1!$A$3), 2, IF(AND($E27 &gt; Quartiles1!$A$3, $E27 &lt;= Quartiles1!$A$4), 3, 4)))</f>
        <v>1</v>
      </c>
      <c r="G27" s="7">
        <f>F27*PCAWeights!$E$21</f>
        <v>0.19236451365606977</v>
      </c>
      <c r="H27">
        <v>0</v>
      </c>
      <c r="I27" s="20">
        <f>IF(AND($H27 &gt;= Quartiles1!B$1, $H27 &lt;= Quartiles1!$B$2), 1, IF(AND($H27 &gt; Quartiles1!$B$2, $H27 &lt;= Quartiles1!$B$3), 2, IF(AND($H27 &gt; Quartiles1!$B$3, $H27 &lt;= Quartiles1!$B$4), 3, 4)))</f>
        <v>1</v>
      </c>
      <c r="J27" s="7">
        <f>I27*PCAWeights!$E$22</f>
        <v>0.20821321607297302</v>
      </c>
      <c r="K27">
        <v>1</v>
      </c>
      <c r="L27" s="20">
        <f>IF(AND($K27 &gt;= Quartiles1!$C$1, $K27 &lt;= Quartiles1!$C$2), 1, IF(AND($K27 &gt; Quartiles1!$C$2, $K27 &lt;= Quartiles1!$C$3), 2, IF(AND($K27 &gt; Quartiles1!$C$3, $K27 &lt;= Quartiles1!$C$4), 3, 4)))</f>
        <v>1</v>
      </c>
      <c r="M27" s="7">
        <f>L27*PCAWeights!$E$23</f>
        <v>0.24775756678363262</v>
      </c>
      <c r="N27">
        <v>3</v>
      </c>
      <c r="O27" s="20">
        <v>2</v>
      </c>
      <c r="P27" s="7">
        <f>O27*PCAWeights!$E$24</f>
        <v>0.49985060995262121</v>
      </c>
      <c r="Q27" s="21">
        <f t="shared" si="0"/>
        <v>1.1481859064652966</v>
      </c>
      <c r="R27">
        <f>VLOOKUP($A27,'Star Score'!$A$2:$C$60,2,FALSE)</f>
        <v>1</v>
      </c>
      <c r="S27" t="s">
        <v>8</v>
      </c>
      <c r="T27" t="s">
        <v>12</v>
      </c>
      <c r="W27" t="s">
        <v>164</v>
      </c>
      <c r="X27" t="s">
        <v>202</v>
      </c>
      <c r="Y27" t="s">
        <v>203</v>
      </c>
      <c r="Z27" t="s">
        <v>198</v>
      </c>
      <c r="AA27" t="s">
        <v>205</v>
      </c>
      <c r="AB27" t="s">
        <v>175</v>
      </c>
      <c r="AC27" t="s">
        <v>7</v>
      </c>
      <c r="AD27" t="s">
        <v>206</v>
      </c>
      <c r="AE27" t="s">
        <v>204</v>
      </c>
    </row>
    <row r="28" spans="1:31" x14ac:dyDescent="0.3">
      <c r="A28" t="s">
        <v>39</v>
      </c>
      <c r="B28">
        <v>261</v>
      </c>
      <c r="C28" s="26">
        <f>IF(AND($B28 &gt;= Quartiles1!$E$1, $B28 &lt;= Quartiles1!$E$2), 1, IF(AND($B28 &gt; Quartiles1!$E$2, $B28 &lt;= Quartiles1!$E$3), 2, IF(AND($B28 &gt; Quartiles1!$E$3, $B28 &lt;= Quartiles1!$E$4), 3, 4)))</f>
        <v>4</v>
      </c>
      <c r="D28" s="7">
        <v>0</v>
      </c>
      <c r="E28">
        <v>1.4416310999999999</v>
      </c>
      <c r="F28" s="26">
        <f>IF(AND($E28 &gt;= Quartiles1!$A$1, $E28 &lt;= Quartiles1!$A$2), 1, IF(AND($E28 &gt; Quartiles1!$A$2, $E28 &lt;= Quartiles1!$A$3), 2, IF(AND($E28 &gt; Quartiles1!$A$3, $E28 &lt;= Quartiles1!$A$4), 3, 4)))</f>
        <v>4</v>
      </c>
      <c r="G28" s="7">
        <f>F28*PCAWeights!$E$21</f>
        <v>0.76945805462427908</v>
      </c>
      <c r="H28">
        <v>54</v>
      </c>
      <c r="I28" s="20">
        <f>IF(AND($H28 &gt;= Quartiles1!B$1, $H28 &lt;= Quartiles1!$B$2), 1, IF(AND($H28 &gt; Quartiles1!$B$2, $H28 &lt;= Quartiles1!$B$3), 2, IF(AND($H28 &gt; Quartiles1!$B$3, $H28 &lt;= Quartiles1!$B$4), 3, 4)))</f>
        <v>4</v>
      </c>
      <c r="J28" s="7">
        <f>I28*PCAWeights!$E$22</f>
        <v>0.83285286429189209</v>
      </c>
      <c r="K28">
        <v>5</v>
      </c>
      <c r="L28" s="20">
        <f>IF(AND($K28 &gt;= Quartiles1!$C$1, $K28 &lt;= Quartiles1!$C$2), 1, IF(AND($K28 &gt; Quartiles1!$C$2, $K28 &lt;= Quartiles1!$C$3), 2, IF(AND($K28 &gt; Quartiles1!$C$3, $K28 &lt;= Quartiles1!$C$4), 3, 4)))</f>
        <v>3</v>
      </c>
      <c r="M28" s="7">
        <f>L28*PCAWeights!$E$23</f>
        <v>0.74327270035089787</v>
      </c>
      <c r="N28">
        <v>5</v>
      </c>
      <c r="O28" s="20">
        <v>4</v>
      </c>
      <c r="P28" s="7">
        <f>O28*PCAWeights!$E$24</f>
        <v>0.99970121990524241</v>
      </c>
      <c r="Q28" s="21">
        <f t="shared" si="0"/>
        <v>3.3452848391723116</v>
      </c>
      <c r="R28">
        <f>VLOOKUP($A28,'Star Score'!$A$2:$C$60,2,FALSE)</f>
        <v>5</v>
      </c>
      <c r="S28" t="s">
        <v>11</v>
      </c>
      <c r="T28" t="s">
        <v>12</v>
      </c>
      <c r="U28">
        <v>43952</v>
      </c>
      <c r="V28">
        <v>44105</v>
      </c>
      <c r="W28" t="s">
        <v>150</v>
      </c>
      <c r="X28" t="s">
        <v>84</v>
      </c>
      <c r="Y28" t="s">
        <v>84</v>
      </c>
      <c r="Z28" t="s">
        <v>86</v>
      </c>
      <c r="AA28" t="s">
        <v>87</v>
      </c>
      <c r="AB28" t="s">
        <v>93</v>
      </c>
      <c r="AC28" t="s">
        <v>10</v>
      </c>
      <c r="AE28" t="s">
        <v>151</v>
      </c>
    </row>
    <row r="29" spans="1:31" x14ac:dyDescent="0.3">
      <c r="A29" t="s">
        <v>182</v>
      </c>
      <c r="B29" t="s">
        <v>157</v>
      </c>
      <c r="C29" s="26"/>
      <c r="E29">
        <v>0</v>
      </c>
      <c r="F29" s="26">
        <f>IF(AND($E29 &gt;= Quartiles1!$A$1, $E29 &lt;= Quartiles1!$A$2), 1, IF(AND($E29 &gt; Quartiles1!$A$2, $E29 &lt;= Quartiles1!$A$3), 2, IF(AND($E29 &gt; Quartiles1!$A$3, $E29 &lt;= Quartiles1!$A$4), 3, 4)))</f>
        <v>1</v>
      </c>
      <c r="G29" s="7">
        <f>F29*PCAWeights!$E$21</f>
        <v>0.19236451365606977</v>
      </c>
      <c r="H29">
        <v>0</v>
      </c>
      <c r="I29" s="20">
        <f>IF(AND($H29 &gt;= Quartiles1!B$1, $H29 &lt;= Quartiles1!$B$2), 1, IF(AND($H29 &gt; Quartiles1!$B$2, $H29 &lt;= Quartiles1!$B$3), 2, IF(AND($H29 &gt; Quartiles1!$B$3, $H29 &lt;= Quartiles1!$B$4), 3, 4)))</f>
        <v>1</v>
      </c>
      <c r="J29" s="7">
        <f>I29*PCAWeights!$E$22</f>
        <v>0.20821321607297302</v>
      </c>
      <c r="K29">
        <v>3</v>
      </c>
      <c r="L29" s="20">
        <f>IF(AND($K29 &gt;= Quartiles1!$C$1, $K29 &lt;= Quartiles1!$C$2), 1, IF(AND($K29 &gt; Quartiles1!$C$2, $K29 &lt;= Quartiles1!$C$3), 2, IF(AND($K29 &gt; Quartiles1!$C$3, $K29 &lt;= Quartiles1!$C$4), 3, 4)))</f>
        <v>1</v>
      </c>
      <c r="M29" s="7">
        <f>L29*PCAWeights!$E$23</f>
        <v>0.24775756678363262</v>
      </c>
      <c r="N29">
        <v>3</v>
      </c>
      <c r="O29" s="20">
        <v>2</v>
      </c>
      <c r="P29" s="7">
        <f>O29*PCAWeights!$E$24</f>
        <v>0.49985060995262121</v>
      </c>
      <c r="Q29" s="21">
        <f t="shared" si="0"/>
        <v>1.1481859064652966</v>
      </c>
      <c r="R29">
        <f>VLOOKUP($A29,'Star Score'!$A$2:$C$60,2,FALSE)</f>
        <v>1</v>
      </c>
      <c r="S29" t="s">
        <v>8</v>
      </c>
      <c r="T29" t="s">
        <v>211</v>
      </c>
      <c r="W29" t="s">
        <v>168</v>
      </c>
      <c r="X29" t="s">
        <v>124</v>
      </c>
      <c r="Y29" t="s">
        <v>124</v>
      </c>
      <c r="Z29" t="s">
        <v>91</v>
      </c>
      <c r="AA29" t="s">
        <v>87</v>
      </c>
      <c r="AB29" t="s">
        <v>175</v>
      </c>
      <c r="AC29" t="s">
        <v>7</v>
      </c>
      <c r="AE29" t="s">
        <v>212</v>
      </c>
    </row>
    <row r="30" spans="1:31" x14ac:dyDescent="0.3">
      <c r="A30" t="s">
        <v>40</v>
      </c>
      <c r="B30" t="s">
        <v>157</v>
      </c>
      <c r="C30" s="26"/>
      <c r="E30">
        <v>1.0741605999999999</v>
      </c>
      <c r="F30" s="26">
        <f>IF(AND($E30 &gt;= Quartiles1!$A$1, $E30 &lt;= Quartiles1!$A$2), 1, IF(AND($E30 &gt; Quartiles1!$A$2, $E30 &lt;= Quartiles1!$A$3), 2, IF(AND($E30 &gt; Quartiles1!$A$3, $E30 &lt;= Quartiles1!$A$4), 3, 4)))</f>
        <v>3</v>
      </c>
      <c r="G30" s="7">
        <f>F30*PCAWeights!$E$21</f>
        <v>0.57709354096820931</v>
      </c>
      <c r="H30">
        <v>22.5</v>
      </c>
      <c r="I30" s="20">
        <f>IF(AND($H30 &gt;= Quartiles1!B$1, $H30 &lt;= Quartiles1!$B$2), 1, IF(AND($H30 &gt; Quartiles1!$B$2, $H30 &lt;= Quartiles1!$B$3), 2, IF(AND($H30 &gt; Quartiles1!$B$3, $H30 &lt;= Quartiles1!$B$4), 3, 4)))</f>
        <v>3</v>
      </c>
      <c r="J30" s="7">
        <f>I30*PCAWeights!$E$22</f>
        <v>0.62463964821891904</v>
      </c>
      <c r="K30">
        <v>6</v>
      </c>
      <c r="L30" s="20">
        <f>IF(AND($K30 &gt;= Quartiles1!$C$1, $K30 &lt;= Quartiles1!$C$2), 1, IF(AND($K30 &gt; Quartiles1!$C$2, $K30 &lt;= Quartiles1!$C$3), 2, IF(AND($K30 &gt; Quartiles1!$C$3, $K30 &lt;= Quartiles1!$C$4), 3, 4)))</f>
        <v>3</v>
      </c>
      <c r="M30" s="7">
        <f>L30*PCAWeights!$E$23</f>
        <v>0.74327270035089787</v>
      </c>
      <c r="N30">
        <v>1</v>
      </c>
      <c r="O30" s="20">
        <v>1</v>
      </c>
      <c r="P30" s="7">
        <f>O30*PCAWeights!$E$24</f>
        <v>0.2499253049763106</v>
      </c>
      <c r="Q30" s="21">
        <f t="shared" si="0"/>
        <v>2.1949311945143366</v>
      </c>
      <c r="R30">
        <f>VLOOKUP($A30,'Star Score'!$A$2:$C$60,2,FALSE)</f>
        <v>3</v>
      </c>
      <c r="S30" t="s">
        <v>17</v>
      </c>
      <c r="T30" t="s">
        <v>32</v>
      </c>
      <c r="W30" t="s">
        <v>149</v>
      </c>
      <c r="X30" t="s">
        <v>84</v>
      </c>
      <c r="Y30" t="s">
        <v>84</v>
      </c>
      <c r="Z30" t="s">
        <v>91</v>
      </c>
      <c r="AA30" t="s">
        <v>87</v>
      </c>
      <c r="AB30" t="s">
        <v>175</v>
      </c>
      <c r="AC30" t="s">
        <v>10</v>
      </c>
      <c r="AD30" t="s">
        <v>214</v>
      </c>
      <c r="AE30" t="s">
        <v>213</v>
      </c>
    </row>
    <row r="31" spans="1:31" x14ac:dyDescent="0.3">
      <c r="A31" t="s">
        <v>41</v>
      </c>
      <c r="B31" t="s">
        <v>157</v>
      </c>
      <c r="C31" s="26"/>
      <c r="E31">
        <v>0.49254540000000002</v>
      </c>
      <c r="F31" s="26">
        <f>IF(AND($E31 &gt;= Quartiles1!$A$1, $E31 &lt;= Quartiles1!$A$2), 1, IF(AND($E31 &gt; Quartiles1!$A$2, $E31 &lt;= Quartiles1!$A$3), 2, IF(AND($E31 &gt; Quartiles1!$A$3, $E31 &lt;= Quartiles1!$A$4), 3, 4)))</f>
        <v>1</v>
      </c>
      <c r="G31" s="7">
        <f>F31*PCAWeights!$E$21</f>
        <v>0.19236451365606977</v>
      </c>
      <c r="H31">
        <v>11</v>
      </c>
      <c r="I31" s="20">
        <f>IF(AND($H31 &gt;= Quartiles1!B$1, $H31 &lt;= Quartiles1!$B$2), 1, IF(AND($H31 &gt; Quartiles1!$B$2, $H31 &lt;= Quartiles1!$B$3), 2, IF(AND($H31 &gt; Quartiles1!$B$3, $H31 &lt;= Quartiles1!$B$4), 3, 4)))</f>
        <v>2</v>
      </c>
      <c r="J31" s="7">
        <f>I31*PCAWeights!$E$22</f>
        <v>0.41642643214594605</v>
      </c>
      <c r="K31">
        <v>4</v>
      </c>
      <c r="L31" s="20">
        <f>IF(AND($K31 &gt;= Quartiles1!$C$1, $K31 &lt;= Quartiles1!$C$2), 1, IF(AND($K31 &gt; Quartiles1!$C$2, $K31 &lt;= Quartiles1!$C$3), 2, IF(AND($K31 &gt; Quartiles1!$C$3, $K31 &lt;= Quartiles1!$C$4), 3, 4)))</f>
        <v>2</v>
      </c>
      <c r="M31" s="7">
        <f>L31*PCAWeights!$E$23</f>
        <v>0.49551513356726523</v>
      </c>
      <c r="N31">
        <v>3</v>
      </c>
      <c r="O31" s="20">
        <v>2</v>
      </c>
      <c r="P31" s="7">
        <f>O31*PCAWeights!$E$24</f>
        <v>0.49985060995262121</v>
      </c>
      <c r="Q31" s="21">
        <f t="shared" si="0"/>
        <v>1.6041566893219021</v>
      </c>
      <c r="R31">
        <f>VLOOKUP($A31,'Star Score'!$A$2:$C$60,2,FALSE)</f>
        <v>2</v>
      </c>
      <c r="S31" t="s">
        <v>17</v>
      </c>
      <c r="T31" t="s">
        <v>218</v>
      </c>
      <c r="W31" t="s">
        <v>169</v>
      </c>
      <c r="X31" t="s">
        <v>215</v>
      </c>
      <c r="Y31" t="s">
        <v>216</v>
      </c>
      <c r="Z31" t="s">
        <v>91</v>
      </c>
      <c r="AA31" t="s">
        <v>87</v>
      </c>
      <c r="AB31" t="s">
        <v>175</v>
      </c>
      <c r="AC31" t="s">
        <v>10</v>
      </c>
      <c r="AD31" t="s">
        <v>177</v>
      </c>
      <c r="AE31" t="s">
        <v>217</v>
      </c>
    </row>
    <row r="32" spans="1:31" x14ac:dyDescent="0.3">
      <c r="A32" t="s">
        <v>42</v>
      </c>
      <c r="B32">
        <v>57</v>
      </c>
      <c r="C32" s="26">
        <f>IF(AND($B32 &gt;= Quartiles1!$E$1, $B32 &lt;= Quartiles1!$E$2), 1, IF(AND($B32 &gt; Quartiles1!$E$2, $B32 &lt;= Quartiles1!$E$3), 2, IF(AND($B32 &gt; Quartiles1!$E$3, $B32 &lt;= Quartiles1!$E$4), 3, 4)))</f>
        <v>2</v>
      </c>
      <c r="D32" s="7">
        <f>-$J$61*0.125*1</f>
        <v>-6.3963805785129446E-2</v>
      </c>
      <c r="E32">
        <v>1.4686503</v>
      </c>
      <c r="F32" s="26">
        <f>IF(AND($E32 &gt;= Quartiles1!$A$1, $E32 &lt;= Quartiles1!$A$2), 1, IF(AND($E32 &gt; Quartiles1!$A$2, $E32 &lt;= Quartiles1!$A$3), 2, IF(AND($E32 &gt; Quartiles1!$A$3, $E32 &lt;= Quartiles1!$A$4), 3, 4)))</f>
        <v>4</v>
      </c>
      <c r="G32" s="7">
        <f>F32*PCAWeights!$E$21</f>
        <v>0.76945805462427908</v>
      </c>
      <c r="H32">
        <v>23</v>
      </c>
      <c r="I32" s="20">
        <f>IF(AND($H32 &gt;= Quartiles1!B$1, $H32 &lt;= Quartiles1!$B$2), 1, IF(AND($H32 &gt; Quartiles1!$B$2, $H32 &lt;= Quartiles1!$B$3), 2, IF(AND($H32 &gt; Quartiles1!$B$3, $H32 &lt;= Quartiles1!$B$4), 3, 4)))</f>
        <v>3</v>
      </c>
      <c r="J32" s="7">
        <f>I32*PCAWeights!$E$22</f>
        <v>0.62463964821891904</v>
      </c>
      <c r="K32">
        <v>4</v>
      </c>
      <c r="L32" s="20">
        <f>IF(AND($K32 &gt;= Quartiles1!$C$1, $K32 &lt;= Quartiles1!$C$2), 1, IF(AND($K32 &gt; Quartiles1!$C$2, $K32 &lt;= Quartiles1!$C$3), 2, IF(AND($K32 &gt; Quartiles1!$C$3, $K32 &lt;= Quartiles1!$C$4), 3, 4)))</f>
        <v>2</v>
      </c>
      <c r="M32" s="7">
        <f>L32*PCAWeights!$E$23</f>
        <v>0.49551513356726523</v>
      </c>
      <c r="N32">
        <v>2</v>
      </c>
      <c r="O32" s="20">
        <v>1</v>
      </c>
      <c r="P32" s="7">
        <f>O32*PCAWeights!$E$24</f>
        <v>0.2499253049763106</v>
      </c>
      <c r="Q32" s="21">
        <f t="shared" si="0"/>
        <v>2.0755743356016447</v>
      </c>
      <c r="R32">
        <f>VLOOKUP($A32,'Star Score'!$A$2:$C$60,2,FALSE)</f>
        <v>3</v>
      </c>
      <c r="S32" t="s">
        <v>17</v>
      </c>
      <c r="T32" t="s">
        <v>12</v>
      </c>
      <c r="W32" t="s">
        <v>164</v>
      </c>
      <c r="X32" t="s">
        <v>215</v>
      </c>
      <c r="Y32" t="s">
        <v>215</v>
      </c>
      <c r="Z32" t="s">
        <v>91</v>
      </c>
      <c r="AA32" t="s">
        <v>87</v>
      </c>
      <c r="AB32" t="s">
        <v>175</v>
      </c>
      <c r="AC32" t="s">
        <v>10</v>
      </c>
      <c r="AD32" t="s">
        <v>214</v>
      </c>
      <c r="AE32" t="s">
        <v>219</v>
      </c>
    </row>
    <row r="33" spans="1:31" x14ac:dyDescent="0.3">
      <c r="A33" t="s">
        <v>43</v>
      </c>
      <c r="B33">
        <v>1</v>
      </c>
      <c r="C33" s="26">
        <f>IF(AND($B33 &gt;= Quartiles1!$E$1, $B33 &lt;= Quartiles1!$E$2), 1, IF(AND($B33 &gt; Quartiles1!$E$2, $B33 &lt;= Quartiles1!$E$3), 2, IF(AND($B33 &gt; Quartiles1!$E$3, $B33 &lt;= Quartiles1!$E$4), 3, 4)))</f>
        <v>1</v>
      </c>
      <c r="D33" s="7">
        <v>0</v>
      </c>
      <c r="E33">
        <v>0.84400660000000005</v>
      </c>
      <c r="F33" s="26">
        <f>IF(AND($E33 &gt;= Quartiles1!$A$1, $E33 &lt;= Quartiles1!$A$2), 1, IF(AND($E33 &gt; Quartiles1!$A$2, $E33 &lt;= Quartiles1!$A$3), 2, IF(AND($E33 &gt; Quartiles1!$A$3, $E33 &lt;= Quartiles1!$A$4), 3, 4)))</f>
        <v>2</v>
      </c>
      <c r="G33" s="7">
        <f>F33*PCAWeights!$E$21</f>
        <v>0.38472902731213954</v>
      </c>
      <c r="H33">
        <v>6</v>
      </c>
      <c r="I33" s="20">
        <f>IF(AND($H33 &gt;= Quartiles1!B$1, $H33 &lt;= Quartiles1!$B$2), 1, IF(AND($H33 &gt; Quartiles1!$B$2, $H33 &lt;= Quartiles1!$B$3), 2, IF(AND($H33 &gt; Quartiles1!$B$3, $H33 &lt;= Quartiles1!$B$4), 3, 4)))</f>
        <v>1</v>
      </c>
      <c r="J33" s="7">
        <f>I33*PCAWeights!$E$22</f>
        <v>0.20821321607297302</v>
      </c>
      <c r="K33">
        <v>5</v>
      </c>
      <c r="L33" s="20">
        <f>IF(AND($K33 &gt;= Quartiles1!$C$1, $K33 &lt;= Quartiles1!$C$2), 1, IF(AND($K33 &gt; Quartiles1!$C$2, $K33 &lt;= Quartiles1!$C$3), 2, IF(AND($K33 &gt; Quartiles1!$C$3, $K33 &lt;= Quartiles1!$C$4), 3, 4)))</f>
        <v>3</v>
      </c>
      <c r="M33" s="7">
        <f>L33*PCAWeights!$E$23</f>
        <v>0.74327270035089787</v>
      </c>
      <c r="N33">
        <v>3</v>
      </c>
      <c r="O33" s="20">
        <v>2</v>
      </c>
      <c r="P33" s="7">
        <f>O33*PCAWeights!$E$24</f>
        <v>0.49985060995262121</v>
      </c>
      <c r="Q33" s="21">
        <f t="shared" si="0"/>
        <v>1.8360655536886317</v>
      </c>
      <c r="R33">
        <f>VLOOKUP($A33,'Star Score'!$A$2:$C$60,2,FALSE)</f>
        <v>3</v>
      </c>
      <c r="S33" t="s">
        <v>17</v>
      </c>
      <c r="T33" t="s">
        <v>32</v>
      </c>
      <c r="W33" t="s">
        <v>169</v>
      </c>
      <c r="X33" t="s">
        <v>77</v>
      </c>
      <c r="Y33" t="s">
        <v>77</v>
      </c>
      <c r="Z33" t="s">
        <v>91</v>
      </c>
      <c r="AA33" t="s">
        <v>87</v>
      </c>
      <c r="AB33" t="s">
        <v>175</v>
      </c>
      <c r="AC33" t="s">
        <v>10</v>
      </c>
      <c r="AD33" t="s">
        <v>177</v>
      </c>
    </row>
    <row r="34" spans="1:31" x14ac:dyDescent="0.3">
      <c r="A34" t="s">
        <v>44</v>
      </c>
      <c r="B34" t="s">
        <v>157</v>
      </c>
      <c r="C34" s="26"/>
      <c r="E34">
        <v>0.25020120000000001</v>
      </c>
      <c r="F34" s="26">
        <f>IF(AND($E34 &gt;= Quartiles1!$A$1, $E34 &lt;= Quartiles1!$A$2), 1, IF(AND($E34 &gt; Quartiles1!$A$2, $E34 &lt;= Quartiles1!$A$3), 2, IF(AND($E34 &gt; Quartiles1!$A$3, $E34 &lt;= Quartiles1!$A$4), 3, 4)))</f>
        <v>1</v>
      </c>
      <c r="G34" s="7">
        <f>F34*PCAWeights!$E$21</f>
        <v>0.19236451365606977</v>
      </c>
      <c r="H34">
        <v>6</v>
      </c>
      <c r="I34" s="20">
        <f>IF(AND($H34 &gt;= Quartiles1!B$1, $H34 &lt;= Quartiles1!$B$2), 1, IF(AND($H34 &gt; Quartiles1!$B$2, $H34 &lt;= Quartiles1!$B$3), 2, IF(AND($H34 &gt; Quartiles1!$B$3, $H34 &lt;= Quartiles1!$B$4), 3, 4)))</f>
        <v>1</v>
      </c>
      <c r="J34" s="7">
        <f>I34*PCAWeights!$E$22</f>
        <v>0.20821321607297302</v>
      </c>
      <c r="K34">
        <v>2</v>
      </c>
      <c r="L34" s="20">
        <f>IF(AND($K34 &gt;= Quartiles1!$C$1, $K34 &lt;= Quartiles1!$C$2), 1, IF(AND($K34 &gt; Quartiles1!$C$2, $K34 &lt;= Quartiles1!$C$3), 2, IF(AND($K34 &gt; Quartiles1!$C$3, $K34 &lt;= Quartiles1!$C$4), 3, 4)))</f>
        <v>1</v>
      </c>
      <c r="M34" s="7">
        <f>L34*PCAWeights!$E$23</f>
        <v>0.24775756678363262</v>
      </c>
      <c r="N34">
        <v>3</v>
      </c>
      <c r="O34" s="20">
        <v>2</v>
      </c>
      <c r="P34" s="7">
        <f>O34*PCAWeights!$E$24</f>
        <v>0.49985060995262121</v>
      </c>
      <c r="Q34" s="21">
        <f t="shared" si="0"/>
        <v>1.1481859064652966</v>
      </c>
      <c r="R34">
        <f>VLOOKUP($A34,'Star Score'!$A$2:$C$60,2,FALSE)</f>
        <v>1</v>
      </c>
      <c r="S34" t="s">
        <v>17</v>
      </c>
      <c r="T34" t="s">
        <v>22</v>
      </c>
      <c r="W34" t="s">
        <v>169</v>
      </c>
      <c r="X34" t="s">
        <v>220</v>
      </c>
      <c r="Y34" t="s">
        <v>77</v>
      </c>
      <c r="Z34" t="s">
        <v>91</v>
      </c>
      <c r="AA34" t="s">
        <v>87</v>
      </c>
      <c r="AB34" t="s">
        <v>221</v>
      </c>
      <c r="AC34" t="s">
        <v>10</v>
      </c>
      <c r="AD34" t="s">
        <v>177</v>
      </c>
    </row>
    <row r="35" spans="1:31" x14ac:dyDescent="0.3">
      <c r="A35" t="s">
        <v>45</v>
      </c>
      <c r="B35" t="s">
        <v>157</v>
      </c>
      <c r="C35" s="26"/>
      <c r="E35">
        <v>1.2018749</v>
      </c>
      <c r="F35" s="26">
        <f>IF(AND($E35 &gt;= Quartiles1!$A$1, $E35 &lt;= Quartiles1!$A$2), 1, IF(AND($E35 &gt; Quartiles1!$A$2, $E35 &lt;= Quartiles1!$A$3), 2, IF(AND($E35 &gt; Quartiles1!$A$3, $E35 &lt;= Quartiles1!$A$4), 3, 4)))</f>
        <v>4</v>
      </c>
      <c r="G35" s="7">
        <f>F35*PCAWeights!$E$21</f>
        <v>0.76945805462427908</v>
      </c>
      <c r="H35">
        <v>20.5</v>
      </c>
      <c r="I35" s="20">
        <f>IF(AND($H35 &gt;= Quartiles1!B$1, $H35 &lt;= Quartiles1!$B$2), 1, IF(AND($H35 &gt; Quartiles1!$B$2, $H35 &lt;= Quartiles1!$B$3), 2, IF(AND($H35 &gt; Quartiles1!$B$3, $H35 &lt;= Quartiles1!$B$4), 3, 4)))</f>
        <v>3</v>
      </c>
      <c r="J35" s="7">
        <f>I35*PCAWeights!$E$22</f>
        <v>0.62463964821891904</v>
      </c>
      <c r="K35">
        <v>6</v>
      </c>
      <c r="L35" s="20">
        <f>IF(AND($K35 &gt;= Quartiles1!$C$1, $K35 &lt;= Quartiles1!$C$2), 1, IF(AND($K35 &gt; Quartiles1!$C$2, $K35 &lt;= Quartiles1!$C$3), 2, IF(AND($K35 &gt; Quartiles1!$C$3, $K35 &lt;= Quartiles1!$C$4), 3, 4)))</f>
        <v>3</v>
      </c>
      <c r="M35" s="7">
        <f>L35*PCAWeights!$E$23</f>
        <v>0.74327270035089787</v>
      </c>
      <c r="N35">
        <v>3</v>
      </c>
      <c r="O35" s="20">
        <v>2</v>
      </c>
      <c r="P35" s="7">
        <f>O35*PCAWeights!$E$24</f>
        <v>0.49985060995262121</v>
      </c>
      <c r="Q35" s="21">
        <f t="shared" si="0"/>
        <v>2.6372210131467173</v>
      </c>
      <c r="R35">
        <f>VLOOKUP($A35,'Star Score'!$A$2:$C$60,2,FALSE)</f>
        <v>4</v>
      </c>
      <c r="S35" t="s">
        <v>11</v>
      </c>
      <c r="T35" t="s">
        <v>28</v>
      </c>
      <c r="U35">
        <v>44013</v>
      </c>
      <c r="V35">
        <v>44105</v>
      </c>
      <c r="W35" t="s">
        <v>168</v>
      </c>
      <c r="X35" t="s">
        <v>77</v>
      </c>
      <c r="Y35" t="s">
        <v>77</v>
      </c>
      <c r="Z35" t="s">
        <v>91</v>
      </c>
      <c r="AA35" t="s">
        <v>87</v>
      </c>
      <c r="AB35" t="s">
        <v>93</v>
      </c>
      <c r="AC35" t="s">
        <v>10</v>
      </c>
      <c r="AD35" t="s">
        <v>222</v>
      </c>
      <c r="AE35" t="s">
        <v>92</v>
      </c>
    </row>
    <row r="36" spans="1:31" x14ac:dyDescent="0.3">
      <c r="A36" t="s">
        <v>47</v>
      </c>
      <c r="B36">
        <v>164</v>
      </c>
      <c r="C36" s="26">
        <f>IF(AND($B36 &gt;= Quartiles1!$E$1, $B36 &lt;= Quartiles1!$E$2), 1, IF(AND($B36 &gt; Quartiles1!$E$2, $B36 &lt;= Quartiles1!$E$3), 2, IF(AND($B36 &gt; Quartiles1!$E$3, $B36 &lt;= Quartiles1!$E$4), 3, 4)))</f>
        <v>3</v>
      </c>
      <c r="D36" s="7">
        <f>-$J$61*0.125*1</f>
        <v>-6.3963805785129446E-2</v>
      </c>
      <c r="E36">
        <v>1.1663076000000001</v>
      </c>
      <c r="F36" s="26">
        <f>IF(AND($E36 &gt;= Quartiles1!$A$1, $E36 &lt;= Quartiles1!$A$2), 1, IF(AND($E36 &gt; Quartiles1!$A$2, $E36 &lt;= Quartiles1!$A$3), 2, IF(AND($E36 &gt; Quartiles1!$A$3, $E36 &lt;= Quartiles1!$A$4), 3, 4)))</f>
        <v>4</v>
      </c>
      <c r="G36" s="7">
        <f>F36*PCAWeights!$E$21</f>
        <v>0.76945805462427908</v>
      </c>
      <c r="H36">
        <v>35</v>
      </c>
      <c r="I36" s="20">
        <f>IF(AND($H36 &gt;= Quartiles1!B$1, $H36 &lt;= Quartiles1!$B$2), 1, IF(AND($H36 &gt; Quartiles1!$B$2, $H36 &lt;= Quartiles1!$B$3), 2, IF(AND($H36 &gt; Quartiles1!$B$3, $H36 &lt;= Quartiles1!$B$4), 3, 4)))</f>
        <v>4</v>
      </c>
      <c r="J36" s="7">
        <f>I36*PCAWeights!$E$22</f>
        <v>0.83285286429189209</v>
      </c>
      <c r="K36">
        <v>8</v>
      </c>
      <c r="L36" s="20">
        <f>IF(AND($K36 &gt;= Quartiles1!$C$1, $K36 &lt;= Quartiles1!$C$2), 1, IF(AND($K36 &gt; Quartiles1!$C$2, $K36 &lt;= Quartiles1!$C$3), 2, IF(AND($K36 &gt; Quartiles1!$C$3, $K36 &lt;= Quartiles1!$C$4), 3, 4)))</f>
        <v>4</v>
      </c>
      <c r="M36" s="7">
        <f>L36*PCAWeights!$E$23</f>
        <v>0.99103026713453046</v>
      </c>
      <c r="N36">
        <v>4</v>
      </c>
      <c r="O36" s="20">
        <f>IF(AND($N36 &gt;= Quartiles1!$D$1, $N36 &lt; Quartiles1!$D$2), 1, IF(AND($N36 &gt; Quartiles1!$D$2, $N36 &lt;= Quartiles1!$D$3), 2, IF(AND($N36 &gt; Quartiles1!$D$3, $N36 &lt;= Quartiles1!$D$4), 3, 4)))</f>
        <v>4</v>
      </c>
      <c r="P36" s="7">
        <f>O36*PCAWeights!$E$24</f>
        <v>0.99970121990524241</v>
      </c>
      <c r="Q36" s="21">
        <f t="shared" si="0"/>
        <v>3.5290786001708145</v>
      </c>
      <c r="R36">
        <f>VLOOKUP($A36,'Star Score'!$A$2:$C$60,2,FALSE)</f>
        <v>5</v>
      </c>
      <c r="S36" t="s">
        <v>17</v>
      </c>
      <c r="T36" t="s">
        <v>22</v>
      </c>
      <c r="U36">
        <v>44013</v>
      </c>
      <c r="V36">
        <v>44105</v>
      </c>
      <c r="W36" t="s">
        <v>168</v>
      </c>
      <c r="X36" t="s">
        <v>84</v>
      </c>
      <c r="Y36" t="s">
        <v>84</v>
      </c>
      <c r="Z36" t="s">
        <v>116</v>
      </c>
      <c r="AA36" t="s">
        <v>87</v>
      </c>
      <c r="AB36" t="s">
        <v>93</v>
      </c>
      <c r="AC36" t="s">
        <v>10</v>
      </c>
      <c r="AD36" t="s">
        <v>114</v>
      </c>
      <c r="AE36" t="s">
        <v>115</v>
      </c>
    </row>
    <row r="37" spans="1:31" x14ac:dyDescent="0.3">
      <c r="A37" t="s">
        <v>48</v>
      </c>
      <c r="B37">
        <v>55</v>
      </c>
      <c r="C37" s="26">
        <f>IF(AND($B37 &gt;= Quartiles1!$E$1, $B37 &lt;= Quartiles1!$E$2), 1, IF(AND($B37 &gt; Quartiles1!$E$2, $B37 &lt;= Quartiles1!$E$3), 2, IF(AND($B37 &gt; Quartiles1!$E$3, $B37 &lt;= Quartiles1!$E$4), 3, 4)))</f>
        <v>2</v>
      </c>
      <c r="D37" s="7">
        <f>-$J$61*0.125*1</f>
        <v>-6.3963805785129446E-2</v>
      </c>
      <c r="E37">
        <v>0.89955309999999999</v>
      </c>
      <c r="F37" s="26">
        <f>IF(AND($E37 &gt;= Quartiles1!$A$1, $E37 &lt;= Quartiles1!$A$2), 1, IF(AND($E37 &gt; Quartiles1!$A$2, $E37 &lt;= Quartiles1!$A$3), 2, IF(AND($E37 &gt; Quartiles1!$A$3, $E37 &lt;= Quartiles1!$A$4), 3, 4)))</f>
        <v>3</v>
      </c>
      <c r="G37" s="7">
        <f>F37*PCAWeights!$E$21</f>
        <v>0.57709354096820931</v>
      </c>
      <c r="H37">
        <v>26.5</v>
      </c>
      <c r="I37" s="20">
        <f>IF(AND($H37 &gt;= Quartiles1!B$1, $H37 &lt;= Quartiles1!$B$2), 1, IF(AND($H37 &gt; Quartiles1!$B$2, $H37 &lt;= Quartiles1!$B$3), 2, IF(AND($H37 &gt; Quartiles1!$B$3, $H37 &lt;= Quartiles1!$B$4), 3, 4)))</f>
        <v>3</v>
      </c>
      <c r="J37" s="7">
        <f>I37*PCAWeights!$E$22</f>
        <v>0.62463964821891904</v>
      </c>
      <c r="K37">
        <v>8</v>
      </c>
      <c r="L37" s="20">
        <f>IF(AND($K37 &gt;= Quartiles1!$C$1, $K37 &lt;= Quartiles1!$C$2), 1, IF(AND($K37 &gt; Quartiles1!$C$2, $K37 &lt;= Quartiles1!$C$3), 2, IF(AND($K37 &gt; Quartiles1!$C$3, $K37 &lt;= Quartiles1!$C$4), 3, 4)))</f>
        <v>4</v>
      </c>
      <c r="M37" s="7">
        <f>L37*PCAWeights!$E$23</f>
        <v>0.99103026713453046</v>
      </c>
      <c r="N37">
        <v>2</v>
      </c>
      <c r="O37" s="20">
        <v>1</v>
      </c>
      <c r="P37" s="7">
        <f>O37*PCAWeights!$E$24</f>
        <v>0.2499253049763106</v>
      </c>
      <c r="Q37" s="21">
        <f t="shared" si="0"/>
        <v>2.37872495551284</v>
      </c>
      <c r="R37">
        <f>VLOOKUP($A37,'Star Score'!$A$2:$C$60,2,FALSE)</f>
        <v>4</v>
      </c>
      <c r="S37" t="s">
        <v>17</v>
      </c>
      <c r="T37" t="s">
        <v>12</v>
      </c>
      <c r="U37">
        <v>44013</v>
      </c>
      <c r="V37">
        <v>44105</v>
      </c>
      <c r="W37" t="s">
        <v>164</v>
      </c>
      <c r="X37">
        <v>6</v>
      </c>
      <c r="Y37">
        <v>6</v>
      </c>
      <c r="Z37" t="s">
        <v>86</v>
      </c>
      <c r="AA37" t="s">
        <v>87</v>
      </c>
      <c r="AB37" t="s">
        <v>93</v>
      </c>
      <c r="AC37" t="s">
        <v>10</v>
      </c>
      <c r="AE37" t="s">
        <v>224</v>
      </c>
    </row>
    <row r="38" spans="1:31" x14ac:dyDescent="0.3">
      <c r="A38" t="s">
        <v>49</v>
      </c>
      <c r="B38">
        <v>7</v>
      </c>
      <c r="C38" s="26">
        <f>IF(AND($B38 &gt;= Quartiles1!$E$1, $B38 &lt;= Quartiles1!$E$2), 1, IF(AND($B38 &gt; Quartiles1!$E$2, $B38 &lt;= Quartiles1!$E$3), 2, IF(AND($B38 &gt; Quartiles1!$E$3, $B38 &lt;= Quartiles1!$E$4), 3, 4)))</f>
        <v>1</v>
      </c>
      <c r="D38" s="7">
        <v>0</v>
      </c>
      <c r="E38">
        <v>0.54930610000000002</v>
      </c>
      <c r="F38" s="26">
        <f>IF(AND($E38 &gt;= Quartiles1!$A$1, $E38 &lt;= Quartiles1!$A$2), 1, IF(AND($E38 &gt; Quartiles1!$A$2, $E38 &lt;= Quartiles1!$A$3), 2, IF(AND($E38 &gt; Quartiles1!$A$3, $E38 &lt;= Quartiles1!$A$4), 3, 4)))</f>
        <v>2</v>
      </c>
      <c r="G38" s="7">
        <f>F38*PCAWeights!$E$21</f>
        <v>0.38472902731213954</v>
      </c>
      <c r="H38">
        <v>4</v>
      </c>
      <c r="I38" s="20">
        <f>IF(AND($H38 &gt;= Quartiles1!B$1, $H38 &lt;= Quartiles1!$B$2), 1, IF(AND($H38 &gt; Quartiles1!$B$2, $H38 &lt;= Quartiles1!$B$3), 2, IF(AND($H38 &gt; Quartiles1!$B$3, $H38 &lt;= Quartiles1!$B$4), 3, 4)))</f>
        <v>1</v>
      </c>
      <c r="J38" s="7">
        <f>I38*PCAWeights!$E$22</f>
        <v>0.20821321607297302</v>
      </c>
      <c r="K38">
        <v>2</v>
      </c>
      <c r="L38" s="20">
        <f>IF(AND($K38 &gt;= Quartiles1!$C$1, $K38 &lt;= Quartiles1!$C$2), 1, IF(AND($K38 &gt; Quartiles1!$C$2, $K38 &lt;= Quartiles1!$C$3), 2, IF(AND($K38 &gt; Quartiles1!$C$3, $K38 &lt;= Quartiles1!$C$4), 3, 4)))</f>
        <v>1</v>
      </c>
      <c r="M38" s="7">
        <f>L38*PCAWeights!$E$23</f>
        <v>0.24775756678363262</v>
      </c>
      <c r="N38">
        <v>3</v>
      </c>
      <c r="O38" s="20">
        <v>2</v>
      </c>
      <c r="P38" s="7">
        <f>O38*PCAWeights!$E$24</f>
        <v>0.49985060995262121</v>
      </c>
      <c r="Q38" s="21">
        <f t="shared" si="0"/>
        <v>1.3405504201213665</v>
      </c>
      <c r="R38">
        <f>VLOOKUP($A38,'Star Score'!$A$2:$C$60,2,FALSE)</f>
        <v>1</v>
      </c>
      <c r="S38" t="s">
        <v>17</v>
      </c>
      <c r="T38" t="s">
        <v>22</v>
      </c>
      <c r="W38" t="s">
        <v>164</v>
      </c>
      <c r="X38" t="s">
        <v>84</v>
      </c>
      <c r="Y38" t="s">
        <v>102</v>
      </c>
      <c r="Z38" t="s">
        <v>91</v>
      </c>
      <c r="AA38" t="s">
        <v>87</v>
      </c>
      <c r="AB38" t="s">
        <v>93</v>
      </c>
      <c r="AC38" t="s">
        <v>10</v>
      </c>
      <c r="AD38" t="s">
        <v>177</v>
      </c>
      <c r="AE38" t="s">
        <v>225</v>
      </c>
    </row>
    <row r="39" spans="1:31" x14ac:dyDescent="0.3">
      <c r="A39" t="s">
        <v>50</v>
      </c>
      <c r="B39">
        <v>155</v>
      </c>
      <c r="C39" s="26">
        <f>IF(AND($B39 &gt;= Quartiles1!$E$1, $B39 &lt;= Quartiles1!$E$2), 1, IF(AND($B39 &gt; Quartiles1!$E$2, $B39 &lt;= Quartiles1!$E$3), 2, IF(AND($B39 &gt; Quartiles1!$E$3, $B39 &lt;= Quartiles1!$E$4), 3, 4)))</f>
        <v>3</v>
      </c>
      <c r="D39" s="7">
        <f>$J$61*0.125*1</f>
        <v>6.3963805785129446E-2</v>
      </c>
      <c r="E39">
        <v>1.5613189999999999</v>
      </c>
      <c r="F39" s="26">
        <f>IF(AND($E39 &gt;= Quartiles1!$A$1, $E39 &lt;= Quartiles1!$A$2), 1, IF(AND($E39 &gt; Quartiles1!$A$2, $E39 &lt;= Quartiles1!$A$3), 2, IF(AND($E39 &gt; Quartiles1!$A$3, $E39 &lt;= Quartiles1!$A$4), 3, 4)))</f>
        <v>4</v>
      </c>
      <c r="G39" s="7">
        <f>F39*PCAWeights!$E$21</f>
        <v>0.76945805462427908</v>
      </c>
      <c r="H39">
        <v>66</v>
      </c>
      <c r="I39" s="20">
        <f>IF(AND($H39 &gt;= Quartiles1!B$1, $H39 &lt;= Quartiles1!$B$2), 1, IF(AND($H39 &gt; Quartiles1!$B$2, $H39 &lt;= Quartiles1!$B$3), 2, IF(AND($H39 &gt; Quartiles1!$B$3, $H39 &lt;= Quartiles1!$B$4), 3, 4)))</f>
        <v>4</v>
      </c>
      <c r="J39" s="7">
        <f>I39*PCAWeights!$E$22</f>
        <v>0.83285286429189209</v>
      </c>
      <c r="K39">
        <v>4</v>
      </c>
      <c r="L39" s="20">
        <f>IF(AND($K39 &gt;= Quartiles1!$C$1, $K39 &lt;= Quartiles1!$C$2), 1, IF(AND($K39 &gt; Quartiles1!$C$2, $K39 &lt;= Quartiles1!$C$3), 2, IF(AND($K39 &gt; Quartiles1!$C$3, $K39 &lt;= Quartiles1!$C$4), 3, 4)))</f>
        <v>2</v>
      </c>
      <c r="M39" s="7">
        <f>L39*PCAWeights!$E$23</f>
        <v>0.49551513356726523</v>
      </c>
      <c r="N39">
        <v>2</v>
      </c>
      <c r="O39" s="20">
        <v>1</v>
      </c>
      <c r="P39" s="7">
        <f>O39*PCAWeights!$E$24</f>
        <v>0.2499253049763106</v>
      </c>
      <c r="Q39" s="21">
        <f t="shared" si="0"/>
        <v>2.4117151632448768</v>
      </c>
      <c r="R39">
        <f>VLOOKUP($A39,'Star Score'!$A$2:$C$60,2,FALSE)</f>
        <v>4</v>
      </c>
      <c r="S39" t="s">
        <v>11</v>
      </c>
      <c r="T39" t="s">
        <v>28</v>
      </c>
      <c r="U39">
        <v>44013</v>
      </c>
      <c r="V39">
        <v>44075</v>
      </c>
      <c r="W39" t="s">
        <v>164</v>
      </c>
      <c r="X39" t="s">
        <v>90</v>
      </c>
      <c r="Y39" t="s">
        <v>90</v>
      </c>
      <c r="Z39" t="s">
        <v>86</v>
      </c>
      <c r="AA39" t="s">
        <v>87</v>
      </c>
      <c r="AB39" t="s">
        <v>88</v>
      </c>
      <c r="AC39" t="s">
        <v>10</v>
      </c>
      <c r="AE39" t="s">
        <v>89</v>
      </c>
    </row>
    <row r="40" spans="1:31" x14ac:dyDescent="0.3">
      <c r="A40" t="s">
        <v>51</v>
      </c>
      <c r="B40">
        <v>2</v>
      </c>
      <c r="C40" s="26">
        <f>IF(AND($B40 &gt;= Quartiles1!$E$1, $B40 &lt;= Quartiles1!$E$2), 1, IF(AND($B40 &gt; Quartiles1!$E$2, $B40 &lt;= Quartiles1!$E$3), 2, IF(AND($B40 &gt; Quartiles1!$E$3, $B40 &lt;= Quartiles1!$E$4), 3, 4)))</f>
        <v>1</v>
      </c>
      <c r="D40" s="7">
        <f>-$J$61*0.125*2</f>
        <v>-0.12792761157025889</v>
      </c>
      <c r="E40">
        <v>1.0919433000000001</v>
      </c>
      <c r="F40" s="26">
        <f>IF(AND($E40 &gt;= Quartiles1!$A$1, $E40 &lt;= Quartiles1!$A$2), 1, IF(AND($E40 &gt; Quartiles1!$A$2, $E40 &lt;= Quartiles1!$A$3), 2, IF(AND($E40 &gt; Quartiles1!$A$3, $E40 &lt;= Quartiles1!$A$4), 3, 4)))</f>
        <v>3</v>
      </c>
      <c r="G40" s="7">
        <f>F40*PCAWeights!$E$21</f>
        <v>0.57709354096820931</v>
      </c>
      <c r="H40">
        <v>18.5</v>
      </c>
      <c r="I40" s="20">
        <f>IF(AND($H40 &gt;= Quartiles1!B$1, $H40 &lt;= Quartiles1!$B$2), 1, IF(AND($H40 &gt; Quartiles1!$B$2, $H40 &lt;= Quartiles1!$B$3), 2, IF(AND($H40 &gt; Quartiles1!$B$3, $H40 &lt;= Quartiles1!$B$4), 3, 4)))</f>
        <v>3</v>
      </c>
      <c r="J40" s="7">
        <f>I40*PCAWeights!$E$22</f>
        <v>0.62463964821891904</v>
      </c>
      <c r="K40">
        <v>6</v>
      </c>
      <c r="L40" s="20">
        <f>IF(AND($K40 &gt;= Quartiles1!$C$1, $K40 &lt;= Quartiles1!$C$2), 1, IF(AND($K40 &gt; Quartiles1!$C$2, $K40 &lt;= Quartiles1!$C$3), 2, IF(AND($K40 &gt; Quartiles1!$C$3, $K40 &lt;= Quartiles1!$C$4), 3, 4)))</f>
        <v>3</v>
      </c>
      <c r="M40" s="7">
        <f>L40*PCAWeights!$E$23</f>
        <v>0.74327270035089787</v>
      </c>
      <c r="N40">
        <v>3</v>
      </c>
      <c r="O40" s="20">
        <v>2</v>
      </c>
      <c r="P40" s="7">
        <f>O40*PCAWeights!$E$24</f>
        <v>0.49985060995262121</v>
      </c>
      <c r="Q40" s="21">
        <f t="shared" si="0"/>
        <v>2.3169288879203886</v>
      </c>
      <c r="R40">
        <f>VLOOKUP($A40,'Star Score'!$A$2:$C$60,2,FALSE)</f>
        <v>4</v>
      </c>
      <c r="S40" t="s">
        <v>17</v>
      </c>
      <c r="T40" t="s">
        <v>22</v>
      </c>
      <c r="W40" t="s">
        <v>169</v>
      </c>
      <c r="X40" t="s">
        <v>188</v>
      </c>
      <c r="Y40" t="s">
        <v>188</v>
      </c>
      <c r="Z40" t="s">
        <v>95</v>
      </c>
      <c r="AA40" t="s">
        <v>108</v>
      </c>
      <c r="AC40" t="s">
        <v>10</v>
      </c>
      <c r="AD40" t="s">
        <v>177</v>
      </c>
      <c r="AE40" t="s">
        <v>226</v>
      </c>
    </row>
    <row r="41" spans="1:31" x14ac:dyDescent="0.3">
      <c r="A41" t="s">
        <v>52</v>
      </c>
      <c r="B41" t="s">
        <v>157</v>
      </c>
      <c r="C41" s="26"/>
      <c r="E41">
        <v>0</v>
      </c>
      <c r="F41" s="26">
        <f>IF(AND($E41 &gt;= Quartiles1!$A$1, $E41 &lt;= Quartiles1!$A$2), 1, IF(AND($E41 &gt; Quartiles1!$A$2, $E41 &lt;= Quartiles1!$A$3), 2, IF(AND($E41 &gt; Quartiles1!$A$3, $E41 &lt;= Quartiles1!$A$4), 3, 4)))</f>
        <v>1</v>
      </c>
      <c r="G41" s="7">
        <f>F41*PCAWeights!$E$21</f>
        <v>0.19236451365606977</v>
      </c>
      <c r="H41">
        <v>2</v>
      </c>
      <c r="I41" s="20">
        <f>IF(AND($H41 &gt;= Quartiles1!B$1, $H41 &lt;= Quartiles1!$B$2), 1, IF(AND($H41 &gt; Quartiles1!$B$2, $H41 &lt;= Quartiles1!$B$3), 2, IF(AND($H41 &gt; Quartiles1!$B$3, $H41 &lt;= Quartiles1!$B$4), 3, 4)))</f>
        <v>1</v>
      </c>
      <c r="J41" s="7">
        <f>I41*PCAWeights!$E$22</f>
        <v>0.20821321607297302</v>
      </c>
      <c r="K41">
        <v>2</v>
      </c>
      <c r="L41" s="20">
        <f>IF(AND($K41 &gt;= Quartiles1!$C$1, $K41 &lt;= Quartiles1!$C$2), 1, IF(AND($K41 &gt; Quartiles1!$C$2, $K41 &lt;= Quartiles1!$C$3), 2, IF(AND($K41 &gt; Quartiles1!$C$3, $K41 &lt;= Quartiles1!$C$4), 3, 4)))</f>
        <v>1</v>
      </c>
      <c r="M41" s="7">
        <f>L41*PCAWeights!$E$23</f>
        <v>0.24775756678363262</v>
      </c>
      <c r="N41">
        <v>3</v>
      </c>
      <c r="O41" s="20">
        <v>2</v>
      </c>
      <c r="P41" s="7">
        <f>O41*PCAWeights!$E$24</f>
        <v>0.49985060995262121</v>
      </c>
      <c r="Q41" s="21">
        <f t="shared" si="0"/>
        <v>1.1481859064652966</v>
      </c>
      <c r="R41">
        <f>VLOOKUP($A41,'Star Score'!$A$2:$C$60,2,FALSE)</f>
        <v>1</v>
      </c>
      <c r="S41" t="s">
        <v>34</v>
      </c>
      <c r="T41" t="s">
        <v>28</v>
      </c>
      <c r="W41" t="s">
        <v>227</v>
      </c>
      <c r="X41" t="s">
        <v>228</v>
      </c>
      <c r="Y41" t="s">
        <v>228</v>
      </c>
      <c r="Z41" t="s">
        <v>116</v>
      </c>
      <c r="AC41" t="s">
        <v>7</v>
      </c>
      <c r="AD41" t="s">
        <v>177</v>
      </c>
      <c r="AE41" t="s">
        <v>229</v>
      </c>
    </row>
    <row r="42" spans="1:31" x14ac:dyDescent="0.3">
      <c r="A42" t="s">
        <v>53</v>
      </c>
      <c r="B42">
        <v>586</v>
      </c>
      <c r="C42" s="26">
        <f>IF(AND($B42 &gt;= Quartiles1!$E$1, $B42 &lt;= Quartiles1!$E$2), 1, IF(AND($B42 &gt; Quartiles1!$E$2, $B42 &lt;= Quartiles1!$E$3), 2, IF(AND($B42 &gt; Quartiles1!$E$3, $B42 &lt;= Quartiles1!$E$4), 3, 4)))</f>
        <v>4</v>
      </c>
      <c r="D42" s="7">
        <f>$J$61*0.125*1</f>
        <v>6.3963805785129446E-2</v>
      </c>
      <c r="E42">
        <v>1.1124984</v>
      </c>
      <c r="F42" s="26">
        <f>IF(AND($E42 &gt;= Quartiles1!$A$1, $E42 &lt;= Quartiles1!$A$2), 1, IF(AND($E42 &gt; Quartiles1!$A$2, $E42 &lt;= Quartiles1!$A$3), 2, IF(AND($E42 &gt; Quartiles1!$A$3, $E42 &lt;= Quartiles1!$A$4), 3, 4)))</f>
        <v>3</v>
      </c>
      <c r="G42" s="7">
        <f>F42*PCAWeights!$E$21</f>
        <v>0.57709354096820931</v>
      </c>
      <c r="H42">
        <v>24</v>
      </c>
      <c r="I42" s="20">
        <f>IF(AND($H42 &gt;= Quartiles1!B$1, $H42 &lt;= Quartiles1!$B$2), 1, IF(AND($H42 &gt; Quartiles1!$B$2, $H42 &lt;= Quartiles1!$B$3), 2, IF(AND($H42 &gt; Quartiles1!$B$3, $H42 &lt;= Quartiles1!$B$4), 3, 4)))</f>
        <v>3</v>
      </c>
      <c r="J42" s="7">
        <f>I42*PCAWeights!$E$22</f>
        <v>0.62463964821891904</v>
      </c>
      <c r="K42">
        <v>9</v>
      </c>
      <c r="L42" s="20">
        <f>IF(AND($K42 &gt;= Quartiles1!$C$1, $K42 &lt;= Quartiles1!$C$2), 1, IF(AND($K42 &gt; Quartiles1!$C$2, $K42 &lt;= Quartiles1!$C$3), 2, IF(AND($K42 &gt; Quartiles1!$C$3, $K42 &lt;= Quartiles1!$C$4), 3, 4)))</f>
        <v>4</v>
      </c>
      <c r="M42" s="7">
        <f>L42*PCAWeights!$E$23</f>
        <v>0.99103026713453046</v>
      </c>
      <c r="N42">
        <v>8</v>
      </c>
      <c r="O42" s="20">
        <v>4</v>
      </c>
      <c r="P42" s="7">
        <f>O42*PCAWeights!$E$24</f>
        <v>0.99970121990524241</v>
      </c>
      <c r="Q42" s="21">
        <f t="shared" si="0"/>
        <v>3.2564284820120304</v>
      </c>
      <c r="R42">
        <f>VLOOKUP($A42,'Star Score'!$A$2:$C$60,2,FALSE)</f>
        <v>5</v>
      </c>
      <c r="S42" t="s">
        <v>11</v>
      </c>
      <c r="T42" t="s">
        <v>22</v>
      </c>
      <c r="U42">
        <v>44013</v>
      </c>
      <c r="V42">
        <v>44075</v>
      </c>
      <c r="W42" t="s">
        <v>164</v>
      </c>
      <c r="X42" t="s">
        <v>84</v>
      </c>
      <c r="Y42" t="s">
        <v>85</v>
      </c>
      <c r="Z42" t="s">
        <v>86</v>
      </c>
      <c r="AA42" t="s">
        <v>87</v>
      </c>
      <c r="AB42" t="s">
        <v>88</v>
      </c>
      <c r="AC42" t="s">
        <v>10</v>
      </c>
      <c r="AE42" t="s">
        <v>89</v>
      </c>
    </row>
    <row r="43" spans="1:31" x14ac:dyDescent="0.3">
      <c r="A43" t="s">
        <v>54</v>
      </c>
      <c r="B43">
        <v>37</v>
      </c>
      <c r="C43" s="26">
        <f>IF(AND($B43 &gt;= Quartiles1!$E$1, $B43 &lt;= Quartiles1!$E$2), 1, IF(AND($B43 &gt; Quartiles1!$E$2, $B43 &lt;= Quartiles1!$E$3), 2, IF(AND($B43 &gt; Quartiles1!$E$3, $B43 &lt;= Quartiles1!$E$4), 3, 4)))</f>
        <v>2</v>
      </c>
      <c r="D43" s="7">
        <v>0</v>
      </c>
      <c r="E43">
        <v>0.67701259999999996</v>
      </c>
      <c r="F43" s="26">
        <f>IF(AND($E43 &gt;= Quartiles1!$A$1, $E43 &lt;= Quartiles1!$A$2), 1, IF(AND($E43 &gt; Quartiles1!$A$2, $E43 &lt;= Quartiles1!$A$3), 2, IF(AND($E43 &gt; Quartiles1!$A$3, $E43 &lt;= Quartiles1!$A$4), 3, 4)))</f>
        <v>2</v>
      </c>
      <c r="G43" s="7">
        <f>F43*PCAWeights!$E$21</f>
        <v>0.38472902731213954</v>
      </c>
      <c r="H43">
        <v>8</v>
      </c>
      <c r="I43" s="20">
        <f>IF(AND($H43 &gt;= Quartiles1!B$1, $H43 &lt;= Quartiles1!$B$2), 1, IF(AND($H43 &gt; Quartiles1!$B$2, $H43 &lt;= Quartiles1!$B$3), 2, IF(AND($H43 &gt; Quartiles1!$B$3, $H43 &lt;= Quartiles1!$B$4), 3, 4)))</f>
        <v>2</v>
      </c>
      <c r="J43" s="7">
        <f>I43*PCAWeights!$E$22</f>
        <v>0.41642643214594605</v>
      </c>
      <c r="K43">
        <v>4</v>
      </c>
      <c r="L43" s="20">
        <f>IF(AND($K43 &gt;= Quartiles1!$C$1, $K43 &lt;= Quartiles1!$C$2), 1, IF(AND($K43 &gt; Quartiles1!$C$2, $K43 &lt;= Quartiles1!$C$3), 2, IF(AND($K43 &gt; Quartiles1!$C$3, $K43 &lt;= Quartiles1!$C$4), 3, 4)))</f>
        <v>2</v>
      </c>
      <c r="M43" s="7">
        <f>L43*PCAWeights!$E$23</f>
        <v>0.49551513356726523</v>
      </c>
      <c r="N43">
        <v>3</v>
      </c>
      <c r="O43" s="20">
        <v>2</v>
      </c>
      <c r="P43" s="7">
        <f>O43*PCAWeights!$E$24</f>
        <v>0.49985060995262121</v>
      </c>
      <c r="Q43" s="21">
        <f t="shared" si="0"/>
        <v>1.796521202977972</v>
      </c>
      <c r="R43">
        <f>VLOOKUP($A43,'Star Score'!$A$2:$C$60,2,FALSE)</f>
        <v>2</v>
      </c>
      <c r="S43" t="s">
        <v>17</v>
      </c>
      <c r="T43" t="s">
        <v>12</v>
      </c>
      <c r="W43" t="s">
        <v>171</v>
      </c>
      <c r="X43" t="s">
        <v>84</v>
      </c>
      <c r="Y43" t="s">
        <v>84</v>
      </c>
      <c r="Z43" t="s">
        <v>91</v>
      </c>
      <c r="AA43" t="s">
        <v>93</v>
      </c>
      <c r="AB43" t="s">
        <v>93</v>
      </c>
      <c r="AC43" t="s">
        <v>10</v>
      </c>
      <c r="AD43" t="s">
        <v>177</v>
      </c>
      <c r="AE43" t="s">
        <v>230</v>
      </c>
    </row>
    <row r="44" spans="1:31" x14ac:dyDescent="0.3">
      <c r="A44" t="s">
        <v>55</v>
      </c>
      <c r="B44" t="s">
        <v>157</v>
      </c>
      <c r="C44" s="26"/>
      <c r="E44">
        <v>0.84796269999999996</v>
      </c>
      <c r="F44" s="26">
        <f>IF(AND($E44 &gt;= Quartiles1!$A$1, $E44 &lt;= Quartiles1!$A$2), 1, IF(AND($E44 &gt; Quartiles1!$A$2, $E44 &lt;= Quartiles1!$A$3), 2, IF(AND($E44 &gt; Quartiles1!$A$3, $E44 &lt;= Quartiles1!$A$4), 3, 4)))</f>
        <v>2</v>
      </c>
      <c r="G44" s="7">
        <f>F44*PCAWeights!$E$21</f>
        <v>0.38472902731213954</v>
      </c>
      <c r="H44">
        <v>28</v>
      </c>
      <c r="I44" s="20">
        <f>IF(AND($H44 &gt;= Quartiles1!B$1, $H44 &lt;= Quartiles1!$B$2), 1, IF(AND($H44 &gt; Quartiles1!$B$2, $H44 &lt;= Quartiles1!$B$3), 2, IF(AND($H44 &gt; Quartiles1!$B$3, $H44 &lt;= Quartiles1!$B$4), 3, 4)))</f>
        <v>4</v>
      </c>
      <c r="J44" s="7">
        <f>I44*PCAWeights!$E$22</f>
        <v>0.83285286429189209</v>
      </c>
      <c r="K44">
        <v>5</v>
      </c>
      <c r="L44" s="20">
        <f>IF(AND($K44 &gt;= Quartiles1!$C$1, $K44 &lt;= Quartiles1!$C$2), 1, IF(AND($K44 &gt; Quartiles1!$C$2, $K44 &lt;= Quartiles1!$C$3), 2, IF(AND($K44 &gt; Quartiles1!$C$3, $K44 &lt;= Quartiles1!$C$4), 3, 4)))</f>
        <v>3</v>
      </c>
      <c r="M44" s="7">
        <f>L44*PCAWeights!$E$23</f>
        <v>0.74327270035089787</v>
      </c>
      <c r="N44">
        <v>3</v>
      </c>
      <c r="O44" s="20">
        <v>2</v>
      </c>
      <c r="P44" s="7">
        <f>O44*PCAWeights!$E$24</f>
        <v>0.49985060995262121</v>
      </c>
      <c r="Q44" s="21">
        <f t="shared" si="0"/>
        <v>2.4607052019075506</v>
      </c>
      <c r="R44">
        <f>VLOOKUP($A44,'Star Score'!$A$2:$C$60,2,FALSE)</f>
        <v>4</v>
      </c>
      <c r="S44" t="s">
        <v>17</v>
      </c>
      <c r="T44" t="s">
        <v>12</v>
      </c>
      <c r="W44" t="s">
        <v>164</v>
      </c>
      <c r="X44" t="s">
        <v>220</v>
      </c>
      <c r="Y44" t="s">
        <v>220</v>
      </c>
      <c r="Z44" t="s">
        <v>91</v>
      </c>
      <c r="AA44" t="s">
        <v>205</v>
      </c>
      <c r="AB44" t="s">
        <v>175</v>
      </c>
      <c r="AC44" t="s">
        <v>10</v>
      </c>
      <c r="AD44" t="s">
        <v>231</v>
      </c>
      <c r="AE44" t="s">
        <v>232</v>
      </c>
    </row>
    <row r="45" spans="1:31" x14ac:dyDescent="0.3">
      <c r="A45" t="s">
        <v>56</v>
      </c>
      <c r="B45">
        <v>818</v>
      </c>
      <c r="C45" s="26">
        <f>IF(AND($B45 &gt;= Quartiles1!$E$1, $B45 &lt;= Quartiles1!$E$2), 1, IF(AND($B45 &gt; Quartiles1!$E$2, $B45 &lt;= Quartiles1!$E$3), 2, IF(AND($B45 &gt; Quartiles1!$E$3, $B45 &lt;= Quartiles1!$E$4), 3, 4)))</f>
        <v>4</v>
      </c>
      <c r="D45" s="7">
        <f>$J$61*0.125*1</f>
        <v>6.3963805785129446E-2</v>
      </c>
      <c r="E45">
        <v>1.4234023</v>
      </c>
      <c r="F45" s="26">
        <f>IF(AND($E45 &gt;= Quartiles1!$A$1, $E45 &lt;= Quartiles1!$A$2), 1, IF(AND($E45 &gt; Quartiles1!$A$2, $E45 &lt;= Quartiles1!$A$3), 2, IF(AND($E45 &gt; Quartiles1!$A$3, $E45 &lt;= Quartiles1!$A$4), 3, 4)))</f>
        <v>4</v>
      </c>
      <c r="G45" s="7">
        <f>F45*PCAWeights!$E$21</f>
        <v>0.76945805462427908</v>
      </c>
      <c r="H45">
        <v>26</v>
      </c>
      <c r="I45" s="20">
        <f>IF(AND($H45 &gt;= Quartiles1!B$1, $H45 &lt;= Quartiles1!$B$2), 1, IF(AND($H45 &gt; Quartiles1!$B$2, $H45 &lt;= Quartiles1!$B$3), 2, IF(AND($H45 &gt; Quartiles1!$B$3, $H45 &lt;= Quartiles1!$B$4), 3, 4)))</f>
        <v>3</v>
      </c>
      <c r="J45" s="7">
        <f>I45*PCAWeights!$E$22</f>
        <v>0.62463964821891904</v>
      </c>
      <c r="K45">
        <v>9</v>
      </c>
      <c r="L45" s="20">
        <f>IF(AND($K45 &gt;= Quartiles1!$C$1, $K45 &lt;= Quartiles1!$C$2), 1, IF(AND($K45 &gt; Quartiles1!$C$2, $K45 &lt;= Quartiles1!$C$3), 2, IF(AND($K45 &gt; Quartiles1!$C$3, $K45 &lt;= Quartiles1!$C$4), 3, 4)))</f>
        <v>4</v>
      </c>
      <c r="M45" s="7">
        <f>L45*PCAWeights!$E$23</f>
        <v>0.99103026713453046</v>
      </c>
      <c r="N45">
        <v>11</v>
      </c>
      <c r="O45" s="20">
        <v>4</v>
      </c>
      <c r="P45" s="7">
        <f>O45*PCAWeights!$E$24</f>
        <v>0.99970121990524241</v>
      </c>
      <c r="Q45" s="21">
        <f t="shared" si="0"/>
        <v>3.4487929956681005</v>
      </c>
      <c r="R45">
        <f>VLOOKUP($A45,'Star Score'!$A$2:$C$60,2,FALSE)</f>
        <v>5</v>
      </c>
      <c r="S45" t="s">
        <v>11</v>
      </c>
      <c r="T45" t="s">
        <v>28</v>
      </c>
      <c r="U45">
        <v>44013</v>
      </c>
      <c r="V45">
        <v>44105</v>
      </c>
      <c r="W45" t="s">
        <v>168</v>
      </c>
      <c r="X45" t="s">
        <v>84</v>
      </c>
      <c r="Y45" t="s">
        <v>84</v>
      </c>
      <c r="Z45" t="s">
        <v>91</v>
      </c>
      <c r="AA45" t="s">
        <v>93</v>
      </c>
      <c r="AB45" t="s">
        <v>93</v>
      </c>
      <c r="AC45" t="s">
        <v>10</v>
      </c>
      <c r="AD45" t="s">
        <v>118</v>
      </c>
      <c r="AE45" t="s">
        <v>119</v>
      </c>
    </row>
    <row r="46" spans="1:31" x14ac:dyDescent="0.3">
      <c r="A46" t="s">
        <v>57</v>
      </c>
      <c r="B46" t="s">
        <v>157</v>
      </c>
      <c r="C46" s="26"/>
      <c r="E46">
        <v>0.72274119999999997</v>
      </c>
      <c r="F46" s="26">
        <f>IF(AND($E46 &gt;= Quartiles1!$A$1, $E46 &lt;= Quartiles1!$A$2), 1, IF(AND($E46 &gt; Quartiles1!$A$2, $E46 &lt;= Quartiles1!$A$3), 2, IF(AND($E46 &gt; Quartiles1!$A$3, $E46 &lt;= Quartiles1!$A$4), 3, 4)))</f>
        <v>2</v>
      </c>
      <c r="G46" s="7">
        <f>F46*PCAWeights!$E$21</f>
        <v>0.38472902731213954</v>
      </c>
      <c r="H46">
        <v>10</v>
      </c>
      <c r="I46" s="20">
        <f>IF(AND($H46 &gt;= Quartiles1!B$1, $H46 &lt;= Quartiles1!$B$2), 1, IF(AND($H46 &gt; Quartiles1!$B$2, $H46 &lt;= Quartiles1!$B$3), 2, IF(AND($H46 &gt; Quartiles1!$B$3, $H46 &lt;= Quartiles1!$B$4), 3, 4)))</f>
        <v>2</v>
      </c>
      <c r="J46" s="7">
        <f>I46*PCAWeights!$E$22</f>
        <v>0.41642643214594605</v>
      </c>
      <c r="K46">
        <v>3</v>
      </c>
      <c r="L46" s="20">
        <f>IF(AND($K46 &gt;= Quartiles1!$C$1, $K46 &lt;= Quartiles1!$C$2), 1, IF(AND($K46 &gt; Quartiles1!$C$2, $K46 &lt;= Quartiles1!$C$3), 2, IF(AND($K46 &gt; Quartiles1!$C$3, $K46 &lt;= Quartiles1!$C$4), 3, 4)))</f>
        <v>1</v>
      </c>
      <c r="M46" s="7">
        <f>L46*PCAWeights!$E$23</f>
        <v>0.24775756678363262</v>
      </c>
      <c r="N46">
        <v>3</v>
      </c>
      <c r="O46" s="20">
        <v>2</v>
      </c>
      <c r="P46" s="7">
        <f>O46*PCAWeights!$E$24</f>
        <v>0.49985060995262121</v>
      </c>
      <c r="Q46" s="21">
        <f t="shared" si="0"/>
        <v>1.5487636361943395</v>
      </c>
      <c r="R46">
        <f>VLOOKUP($A46,'Star Score'!$A$2:$C$60,2,FALSE)</f>
        <v>2</v>
      </c>
      <c r="S46" t="s">
        <v>17</v>
      </c>
      <c r="T46" t="s">
        <v>22</v>
      </c>
      <c r="W46" t="s">
        <v>171</v>
      </c>
      <c r="X46" t="s">
        <v>84</v>
      </c>
      <c r="Y46" t="s">
        <v>188</v>
      </c>
      <c r="Z46" t="s">
        <v>91</v>
      </c>
      <c r="AA46" t="s">
        <v>205</v>
      </c>
      <c r="AB46" t="s">
        <v>175</v>
      </c>
      <c r="AC46" t="s">
        <v>10</v>
      </c>
      <c r="AD46" t="s">
        <v>177</v>
      </c>
      <c r="AE46" t="s">
        <v>233</v>
      </c>
    </row>
    <row r="47" spans="1:31" x14ac:dyDescent="0.3">
      <c r="A47" t="s">
        <v>58</v>
      </c>
      <c r="B47" t="s">
        <v>157</v>
      </c>
      <c r="C47" s="26"/>
      <c r="E47">
        <v>1.0691664999999999</v>
      </c>
      <c r="F47" s="26">
        <f>IF(AND($E47 &gt;= Quartiles1!$A$1, $E47 &lt;= Quartiles1!$A$2), 1, IF(AND($E47 &gt; Quartiles1!$A$2, $E47 &lt;= Quartiles1!$A$3), 2, IF(AND($E47 &gt; Quartiles1!$A$3, $E47 &lt;= Quartiles1!$A$4), 3, 4)))</f>
        <v>3</v>
      </c>
      <c r="G47" s="7">
        <f>F47*PCAWeights!$E$21</f>
        <v>0.57709354096820931</v>
      </c>
      <c r="H47">
        <v>7</v>
      </c>
      <c r="I47" s="20">
        <f>IF(AND($H47 &gt;= Quartiles1!B$1, $H47 &lt;= Quartiles1!$B$2), 1, IF(AND($H47 &gt; Quartiles1!$B$2, $H47 &lt;= Quartiles1!$B$3), 2, IF(AND($H47 &gt; Quartiles1!$B$3, $H47 &lt;= Quartiles1!$B$4), 3, 4)))</f>
        <v>2</v>
      </c>
      <c r="J47" s="7">
        <f>I47*PCAWeights!$E$22</f>
        <v>0.41642643214594605</v>
      </c>
      <c r="K47">
        <v>2</v>
      </c>
      <c r="L47" s="20">
        <f>IF(AND($K47 &gt;= Quartiles1!$C$1, $K47 &lt;= Quartiles1!$C$2), 1, IF(AND($K47 &gt; Quartiles1!$C$2, $K47 &lt;= Quartiles1!$C$3), 2, IF(AND($K47 &gt; Quartiles1!$C$3, $K47 &lt;= Quartiles1!$C$4), 3, 4)))</f>
        <v>1</v>
      </c>
      <c r="M47" s="7">
        <f>L47*PCAWeights!$E$23</f>
        <v>0.24775756678363262</v>
      </c>
      <c r="N47">
        <v>3</v>
      </c>
      <c r="O47" s="20">
        <v>2</v>
      </c>
      <c r="P47" s="7">
        <f>O47*PCAWeights!$E$24</f>
        <v>0.49985060995262121</v>
      </c>
      <c r="Q47" s="21">
        <f t="shared" si="0"/>
        <v>1.7411281498504092</v>
      </c>
      <c r="R47">
        <f>VLOOKUP($A47,'Star Score'!$A$2:$C$60,2,FALSE)</f>
        <v>2</v>
      </c>
      <c r="S47" t="s">
        <v>34</v>
      </c>
      <c r="T47" t="s">
        <v>12</v>
      </c>
      <c r="W47" t="s">
        <v>227</v>
      </c>
      <c r="X47" t="s">
        <v>124</v>
      </c>
      <c r="Y47" t="s">
        <v>216</v>
      </c>
      <c r="Z47" t="s">
        <v>234</v>
      </c>
      <c r="AA47" t="s">
        <v>93</v>
      </c>
      <c r="AB47" t="s">
        <v>93</v>
      </c>
      <c r="AC47" t="s">
        <v>7</v>
      </c>
      <c r="AD47" t="s">
        <v>177</v>
      </c>
      <c r="AE47" t="s">
        <v>235</v>
      </c>
    </row>
    <row r="48" spans="1:31" x14ac:dyDescent="0.3">
      <c r="A48" t="s">
        <v>120</v>
      </c>
      <c r="B48">
        <v>73</v>
      </c>
      <c r="C48" s="26">
        <f>IF(AND($B48 &gt;= Quartiles1!$E$1, $B48 &lt;= Quartiles1!$E$2), 1, IF(AND($B48 &gt; Quartiles1!$E$2, $B48 &lt;= Quartiles1!$E$3), 2, IF(AND($B48 &gt; Quartiles1!$E$3, $B48 &lt;= Quartiles1!$E$4), 3, 4)))</f>
        <v>3</v>
      </c>
      <c r="D48" s="7">
        <f>$J$61*0.125*1</f>
        <v>6.3963805785129446E-2</v>
      </c>
      <c r="E48">
        <v>1.2143702000000001</v>
      </c>
      <c r="F48" s="26">
        <f>IF(AND($E48 &gt;= Quartiles1!$A$1, $E48 &lt;= Quartiles1!$A$2), 1, IF(AND($E48 &gt; Quartiles1!$A$2, $E48 &lt;= Quartiles1!$A$3), 2, IF(AND($E48 &gt; Quartiles1!$A$3, $E48 &lt;= Quartiles1!$A$4), 3, 4)))</f>
        <v>4</v>
      </c>
      <c r="G48" s="7">
        <f>F48*PCAWeights!$E$21</f>
        <v>0.76945805462427908</v>
      </c>
      <c r="H48">
        <v>31.5</v>
      </c>
      <c r="I48" s="20">
        <f>IF(AND($H48 &gt;= Quartiles1!B$1, $H48 &lt;= Quartiles1!$B$2), 1, IF(AND($H48 &gt; Quartiles1!$B$2, $H48 &lt;= Quartiles1!$B$3), 2, IF(AND($H48 &gt; Quartiles1!$B$3, $H48 &lt;= Quartiles1!$B$4), 3, 4)))</f>
        <v>4</v>
      </c>
      <c r="J48" s="7">
        <f>I48*PCAWeights!$E$22</f>
        <v>0.83285286429189209</v>
      </c>
      <c r="K48">
        <v>6</v>
      </c>
      <c r="L48" s="20">
        <f>IF(AND($K48 &gt;= Quartiles1!$C$1, $K48 &lt;= Quartiles1!$C$2), 1, IF(AND($K48 &gt; Quartiles1!$C$2, $K48 &lt;= Quartiles1!$C$3), 2, IF(AND($K48 &gt; Quartiles1!$C$3, $K48 &lt;= Quartiles1!$C$4), 3, 4)))</f>
        <v>3</v>
      </c>
      <c r="M48" s="7">
        <f>L48*PCAWeights!$E$23</f>
        <v>0.74327270035089787</v>
      </c>
      <c r="N48">
        <v>3</v>
      </c>
      <c r="O48" s="20">
        <v>2</v>
      </c>
      <c r="P48" s="7">
        <f>O48*PCAWeights!$E$24</f>
        <v>0.49985060995262121</v>
      </c>
      <c r="Q48" s="21">
        <f t="shared" si="0"/>
        <v>2.9093980350048199</v>
      </c>
      <c r="R48">
        <f>VLOOKUP($A48,'Star Score'!$A$2:$C$60,2,FALSE)</f>
        <v>5</v>
      </c>
      <c r="S48" t="s">
        <v>17</v>
      </c>
      <c r="T48" t="s">
        <v>28</v>
      </c>
      <c r="U48">
        <v>44013</v>
      </c>
      <c r="V48">
        <v>44105</v>
      </c>
      <c r="W48" t="s">
        <v>168</v>
      </c>
      <c r="X48" t="s">
        <v>123</v>
      </c>
      <c r="Y48" t="s">
        <v>112</v>
      </c>
      <c r="Z48" t="s">
        <v>91</v>
      </c>
      <c r="AA48" t="s">
        <v>93</v>
      </c>
      <c r="AB48" t="s">
        <v>93</v>
      </c>
      <c r="AC48" t="s">
        <v>10</v>
      </c>
      <c r="AD48" t="s">
        <v>121</v>
      </c>
      <c r="AE48" t="s">
        <v>122</v>
      </c>
    </row>
    <row r="49" spans="1:31" x14ac:dyDescent="0.3">
      <c r="A49" t="s">
        <v>59</v>
      </c>
      <c r="B49" t="s">
        <v>157</v>
      </c>
      <c r="C49" s="26"/>
      <c r="E49">
        <v>0</v>
      </c>
      <c r="F49" s="26">
        <f>IF(AND($E49 &gt;= Quartiles1!$A$1, $E49 &lt;= Quartiles1!$A$2), 1, IF(AND($E49 &gt; Quartiles1!$A$2, $E49 &lt;= Quartiles1!$A$3), 2, IF(AND($E49 &gt; Quartiles1!$A$3, $E49 &lt;= Quartiles1!$A$4), 3, 4)))</f>
        <v>1</v>
      </c>
      <c r="G49" s="7">
        <f>F49*PCAWeights!$E$21</f>
        <v>0.19236451365606977</v>
      </c>
      <c r="H49">
        <v>1</v>
      </c>
      <c r="I49" s="20">
        <f>IF(AND($H49 &gt;= Quartiles1!B$1, $H49 &lt;= Quartiles1!$B$2), 1, IF(AND($H49 &gt; Quartiles1!$B$2, $H49 &lt;= Quartiles1!$B$3), 2, IF(AND($H49 &gt; Quartiles1!$B$3, $H49 &lt;= Quartiles1!$B$4), 3, 4)))</f>
        <v>1</v>
      </c>
      <c r="J49" s="7">
        <f>I49*PCAWeights!$E$22</f>
        <v>0.20821321607297302</v>
      </c>
      <c r="K49">
        <v>1</v>
      </c>
      <c r="L49" s="20">
        <f>IF(AND($K49 &gt;= Quartiles1!$C$1, $K49 &lt;= Quartiles1!$C$2), 1, IF(AND($K49 &gt; Quartiles1!$C$2, $K49 &lt;= Quartiles1!$C$3), 2, IF(AND($K49 &gt; Quartiles1!$C$3, $K49 &lt;= Quartiles1!$C$4), 3, 4)))</f>
        <v>1</v>
      </c>
      <c r="M49" s="7">
        <f>L49*PCAWeights!$E$23</f>
        <v>0.24775756678363262</v>
      </c>
      <c r="N49">
        <v>3</v>
      </c>
      <c r="O49" s="20">
        <v>2</v>
      </c>
      <c r="P49" s="7">
        <f>O49*PCAWeights!$E$24</f>
        <v>0.49985060995262121</v>
      </c>
      <c r="Q49" s="21">
        <f t="shared" si="0"/>
        <v>1.1481859064652966</v>
      </c>
      <c r="R49">
        <f>VLOOKUP($A49,'Star Score'!$A$2:$C$60,2,FALSE)</f>
        <v>1</v>
      </c>
      <c r="S49" t="s">
        <v>8</v>
      </c>
      <c r="T49" t="s">
        <v>12</v>
      </c>
      <c r="W49" t="s">
        <v>172</v>
      </c>
      <c r="X49" t="s">
        <v>94</v>
      </c>
      <c r="Y49" t="s">
        <v>94</v>
      </c>
      <c r="Z49" t="s">
        <v>166</v>
      </c>
      <c r="AA49" t="s">
        <v>88</v>
      </c>
      <c r="AB49" t="s">
        <v>82</v>
      </c>
      <c r="AC49" t="s">
        <v>7</v>
      </c>
      <c r="AD49" t="s">
        <v>177</v>
      </c>
      <c r="AE49" t="s">
        <v>237</v>
      </c>
    </row>
    <row r="50" spans="1:31" x14ac:dyDescent="0.3">
      <c r="A50" t="s">
        <v>60</v>
      </c>
      <c r="B50" t="s">
        <v>157</v>
      </c>
      <c r="C50" s="26"/>
      <c r="E50">
        <v>0.15004149999999999</v>
      </c>
      <c r="F50" s="26">
        <f>IF(AND($E50 &gt;= Quartiles1!$A$1, $E50 &lt;= Quartiles1!$A$2), 1, IF(AND($E50 &gt; Quartiles1!$A$2, $E50 &lt;= Quartiles1!$A$3), 2, IF(AND($E50 &gt; Quartiles1!$A$3, $E50 &lt;= Quartiles1!$A$4), 3, 4)))</f>
        <v>1</v>
      </c>
      <c r="G50" s="7">
        <f>F50*PCAWeights!$E$21</f>
        <v>0.19236451365606977</v>
      </c>
      <c r="H50">
        <v>11</v>
      </c>
      <c r="I50" s="20">
        <f>IF(AND($H50 &gt;= Quartiles1!B$1, $H50 &lt;= Quartiles1!$B$2), 1, IF(AND($H50 &gt; Quartiles1!$B$2, $H50 &lt;= Quartiles1!$B$3), 2, IF(AND($H50 &gt; Quartiles1!$B$3, $H50 &lt;= Quartiles1!$B$4), 3, 4)))</f>
        <v>2</v>
      </c>
      <c r="J50" s="7">
        <f>I50*PCAWeights!$E$22</f>
        <v>0.41642643214594605</v>
      </c>
      <c r="K50">
        <v>4</v>
      </c>
      <c r="L50" s="20">
        <f>IF(AND($K50 &gt;= Quartiles1!$C$1, $K50 &lt;= Quartiles1!$C$2), 1, IF(AND($K50 &gt; Quartiles1!$C$2, $K50 &lt;= Quartiles1!$C$3), 2, IF(AND($K50 &gt; Quartiles1!$C$3, $K50 &lt;= Quartiles1!$C$4), 3, 4)))</f>
        <v>2</v>
      </c>
      <c r="M50" s="7">
        <f>L50*PCAWeights!$E$23</f>
        <v>0.49551513356726523</v>
      </c>
      <c r="N50">
        <v>3</v>
      </c>
      <c r="O50" s="20">
        <v>2</v>
      </c>
      <c r="P50" s="7">
        <f>O50*PCAWeights!$E$24</f>
        <v>0.49985060995262121</v>
      </c>
      <c r="Q50" s="21">
        <f t="shared" si="0"/>
        <v>1.6041566893219021</v>
      </c>
      <c r="R50">
        <f>VLOOKUP($A50,'Star Score'!$A$2:$C$60,2,FALSE)</f>
        <v>2</v>
      </c>
      <c r="S50" t="s">
        <v>8</v>
      </c>
      <c r="T50" t="s">
        <v>12</v>
      </c>
      <c r="W50" t="s">
        <v>171</v>
      </c>
      <c r="X50">
        <v>4</v>
      </c>
      <c r="Y50">
        <v>4</v>
      </c>
      <c r="Z50" t="s">
        <v>91</v>
      </c>
      <c r="AA50" t="s">
        <v>108</v>
      </c>
      <c r="AB50" t="s">
        <v>175</v>
      </c>
      <c r="AC50" t="s">
        <v>7</v>
      </c>
      <c r="AD50" t="s">
        <v>177</v>
      </c>
      <c r="AE50" t="s">
        <v>238</v>
      </c>
    </row>
    <row r="51" spans="1:31" x14ac:dyDescent="0.3">
      <c r="A51" t="s">
        <v>61</v>
      </c>
      <c r="B51">
        <v>15</v>
      </c>
      <c r="C51" s="26">
        <f>IF(AND($B51 &gt;= Quartiles1!$E$1, $B51 &lt;= Quartiles1!$E$2), 1, IF(AND($B51 &gt; Quartiles1!$E$2, $B51 &lt;= Quartiles1!$E$3), 2, IF(AND($B51 &gt; Quartiles1!$E$3, $B51 &lt;= Quartiles1!$E$4), 3, 4)))</f>
        <v>1</v>
      </c>
      <c r="D51" s="7">
        <f>-$J$61*0.125*1</f>
        <v>-6.3963805785129446E-2</v>
      </c>
      <c r="E51">
        <v>1.4059249</v>
      </c>
      <c r="F51" s="26">
        <f>IF(AND($E51 &gt;= Quartiles1!$A$1, $E51 &lt;= Quartiles1!$A$2), 1, IF(AND($E51 &gt; Quartiles1!$A$2, $E51 &lt;= Quartiles1!$A$3), 2, IF(AND($E51 &gt; Quartiles1!$A$3, $E51 &lt;= Quartiles1!$A$4), 3, 4)))</f>
        <v>4</v>
      </c>
      <c r="G51" s="7">
        <f>F51*PCAWeights!$E$21</f>
        <v>0.76945805462427908</v>
      </c>
      <c r="H51">
        <v>14</v>
      </c>
      <c r="I51" s="20">
        <f>IF(AND($H51 &gt;= Quartiles1!B$1, $H51 &lt;= Quartiles1!$B$2), 1, IF(AND($H51 &gt; Quartiles1!$B$2, $H51 &lt;= Quartiles1!$B$3), 2, IF(AND($H51 &gt; Quartiles1!$B$3, $H51 &lt;= Quartiles1!$B$4), 3, 4)))</f>
        <v>2</v>
      </c>
      <c r="J51" s="7">
        <f>I51*PCAWeights!$E$22</f>
        <v>0.41642643214594605</v>
      </c>
      <c r="K51">
        <v>3</v>
      </c>
      <c r="L51" s="20">
        <f>IF(AND($K51 &gt;= Quartiles1!$C$1, $K51 &lt;= Quartiles1!$C$2), 1, IF(AND($K51 &gt; Quartiles1!$C$2, $K51 &lt;= Quartiles1!$C$3), 2, IF(AND($K51 &gt; Quartiles1!$C$3, $K51 &lt;= Quartiles1!$C$4), 3, 4)))</f>
        <v>1</v>
      </c>
      <c r="M51" s="7">
        <f>L51*PCAWeights!$E$23</f>
        <v>0.24775756678363262</v>
      </c>
      <c r="N51">
        <v>3</v>
      </c>
      <c r="O51" s="20">
        <v>2</v>
      </c>
      <c r="P51" s="7">
        <f>O51*PCAWeights!$E$24</f>
        <v>0.49985060995262121</v>
      </c>
      <c r="Q51" s="21">
        <f t="shared" si="0"/>
        <v>1.8695288577213496</v>
      </c>
      <c r="R51">
        <f>VLOOKUP($A51,'Star Score'!$A$2:$C$60,2,FALSE)</f>
        <v>3</v>
      </c>
      <c r="S51" t="s">
        <v>17</v>
      </c>
      <c r="T51" t="s">
        <v>12</v>
      </c>
      <c r="W51" t="s">
        <v>239</v>
      </c>
      <c r="X51" t="s">
        <v>124</v>
      </c>
      <c r="Y51" t="s">
        <v>216</v>
      </c>
      <c r="Z51" t="s">
        <v>116</v>
      </c>
      <c r="AA51" t="s">
        <v>221</v>
      </c>
      <c r="AB51" t="s">
        <v>175</v>
      </c>
      <c r="AC51" t="s">
        <v>10</v>
      </c>
      <c r="AD51" t="s">
        <v>177</v>
      </c>
      <c r="AE51" t="s">
        <v>240</v>
      </c>
    </row>
    <row r="52" spans="1:31" x14ac:dyDescent="0.3">
      <c r="A52" t="s">
        <v>62</v>
      </c>
      <c r="B52" t="s">
        <v>157</v>
      </c>
      <c r="C52" s="26"/>
      <c r="E52">
        <v>0.87331119999999995</v>
      </c>
      <c r="F52" s="26">
        <f>IF(AND($E52 &gt;= Quartiles1!$A$1, $E52 &lt;= Quartiles1!$A$2), 1, IF(AND($E52 &gt; Quartiles1!$A$2, $E52 &lt;= Quartiles1!$A$3), 2, IF(AND($E52 &gt; Quartiles1!$A$3, $E52 &lt;= Quartiles1!$A$4), 3, 4)))</f>
        <v>2</v>
      </c>
      <c r="G52" s="7">
        <f>F52*PCAWeights!$E$21</f>
        <v>0.38472902731213954</v>
      </c>
      <c r="H52">
        <v>22</v>
      </c>
      <c r="I52" s="20">
        <f>IF(AND($H52 &gt;= Quartiles1!B$1, $H52 &lt;= Quartiles1!$B$2), 1, IF(AND($H52 &gt; Quartiles1!$B$2, $H52 &lt;= Quartiles1!$B$3), 2, IF(AND($H52 &gt; Quartiles1!$B$3, $H52 &lt;= Quartiles1!$B$4), 3, 4)))</f>
        <v>3</v>
      </c>
      <c r="J52" s="7">
        <f>I52*PCAWeights!$E$22</f>
        <v>0.62463964821891904</v>
      </c>
      <c r="K52">
        <v>6</v>
      </c>
      <c r="L52" s="20">
        <f>IF(AND($K52 &gt;= Quartiles1!$C$1, $K52 &lt;= Quartiles1!$C$2), 1, IF(AND($K52 &gt; Quartiles1!$C$2, $K52 &lt;= Quartiles1!$C$3), 2, IF(AND($K52 &gt; Quartiles1!$C$3, $K52 &lt;= Quartiles1!$C$4), 3, 4)))</f>
        <v>3</v>
      </c>
      <c r="M52" s="7">
        <f>L52*PCAWeights!$E$23</f>
        <v>0.74327270035089787</v>
      </c>
      <c r="N52">
        <v>3</v>
      </c>
      <c r="O52" s="20">
        <v>2</v>
      </c>
      <c r="P52" s="7">
        <f>O52*PCAWeights!$E$24</f>
        <v>0.49985060995262121</v>
      </c>
      <c r="Q52" s="21">
        <f t="shared" si="0"/>
        <v>2.2524919858345775</v>
      </c>
      <c r="R52">
        <f>VLOOKUP($A52,'Star Score'!$A$2:$C$60,2,FALSE)</f>
        <v>4</v>
      </c>
      <c r="S52" t="s">
        <v>34</v>
      </c>
      <c r="T52" t="s">
        <v>12</v>
      </c>
      <c r="W52" t="s">
        <v>242</v>
      </c>
      <c r="X52" t="s">
        <v>241</v>
      </c>
      <c r="Y52" t="s">
        <v>241</v>
      </c>
      <c r="Z52" t="s">
        <v>80</v>
      </c>
      <c r="AA52" t="s">
        <v>243</v>
      </c>
      <c r="AB52" t="s">
        <v>93</v>
      </c>
      <c r="AC52" t="s">
        <v>7</v>
      </c>
      <c r="AD52" t="s">
        <v>177</v>
      </c>
      <c r="AE52" t="s">
        <v>244</v>
      </c>
    </row>
    <row r="53" spans="1:31" x14ac:dyDescent="0.3">
      <c r="A53" t="s">
        <v>63</v>
      </c>
      <c r="B53">
        <v>3</v>
      </c>
      <c r="C53" s="26">
        <f>IF(AND($B53 &gt;= Quartiles1!$E$1, $B53 &lt;= Quartiles1!$E$2), 1, IF(AND($B53 &gt; Quartiles1!$E$2, $B53 &lt;= Quartiles1!$E$3), 2, IF(AND($B53 &gt; Quartiles1!$E$3, $B53 &lt;= Quartiles1!$E$4), 3, 4)))</f>
        <v>1</v>
      </c>
      <c r="D53" s="7">
        <f>-$J$61*0.125*1</f>
        <v>-6.3963805785129446E-2</v>
      </c>
      <c r="E53">
        <v>0.63192800000000005</v>
      </c>
      <c r="F53" s="26">
        <f>IF(AND($E53 &gt;= Quartiles1!$A$1, $E53 &lt;= Quartiles1!$A$2), 1, IF(AND($E53 &gt; Quartiles1!$A$2, $E53 &lt;= Quartiles1!$A$3), 2, IF(AND($E53 &gt; Quartiles1!$A$3, $E53 &lt;= Quartiles1!$A$4), 3, 4)))</f>
        <v>2</v>
      </c>
      <c r="G53" s="7">
        <f>F53*PCAWeights!$E$21</f>
        <v>0.38472902731213954</v>
      </c>
      <c r="H53">
        <v>15</v>
      </c>
      <c r="I53" s="20">
        <f>IF(AND($H53 &gt;= Quartiles1!B$1, $H53 &lt;= Quartiles1!$B$2), 1, IF(AND($H53 &gt; Quartiles1!$B$2, $H53 &lt;= Quartiles1!$B$3), 2, IF(AND($H53 &gt; Quartiles1!$B$3, $H53 &lt;= Quartiles1!$B$4), 3, 4)))</f>
        <v>2</v>
      </c>
      <c r="J53" s="7">
        <f>I53*PCAWeights!$E$22</f>
        <v>0.41642643214594605</v>
      </c>
      <c r="K53">
        <v>9</v>
      </c>
      <c r="L53" s="20">
        <f>IF(AND($K53 &gt;= Quartiles1!$C$1, $K53 &lt;= Quartiles1!$C$2), 1, IF(AND($K53 &gt; Quartiles1!$C$2, $K53 &lt;= Quartiles1!$C$3), 2, IF(AND($K53 &gt; Quartiles1!$C$3, $K53 &lt;= Quartiles1!$C$4), 3, 4)))</f>
        <v>4</v>
      </c>
      <c r="M53" s="7">
        <f>L53*PCAWeights!$E$23</f>
        <v>0.99103026713453046</v>
      </c>
      <c r="N53">
        <v>3</v>
      </c>
      <c r="O53" s="20">
        <v>2</v>
      </c>
      <c r="P53" s="7">
        <f>O53*PCAWeights!$E$24</f>
        <v>0.49985060995262121</v>
      </c>
      <c r="Q53" s="21">
        <f t="shared" si="0"/>
        <v>2.2280725307601079</v>
      </c>
      <c r="R53">
        <f>VLOOKUP($A53,'Star Score'!$A$2:$C$60,2,FALSE)</f>
        <v>3</v>
      </c>
      <c r="S53" t="s">
        <v>17</v>
      </c>
      <c r="T53" t="s">
        <v>22</v>
      </c>
      <c r="U53">
        <v>44013</v>
      </c>
      <c r="V53">
        <v>44044</v>
      </c>
      <c r="W53" t="s">
        <v>171</v>
      </c>
      <c r="X53" t="s">
        <v>124</v>
      </c>
      <c r="Y53">
        <v>4</v>
      </c>
      <c r="Z53" t="s">
        <v>86</v>
      </c>
      <c r="AA53" t="s">
        <v>93</v>
      </c>
      <c r="AB53" t="s">
        <v>93</v>
      </c>
      <c r="AC53" t="s">
        <v>10</v>
      </c>
      <c r="AD53" t="s">
        <v>121</v>
      </c>
      <c r="AE53" t="s">
        <v>125</v>
      </c>
    </row>
    <row r="54" spans="1:31" x14ac:dyDescent="0.3">
      <c r="A54" t="s">
        <v>64</v>
      </c>
      <c r="B54">
        <v>14</v>
      </c>
      <c r="C54" s="26">
        <f>IF(AND($B54 &gt;= Quartiles1!$E$1, $B54 &lt;= Quartiles1!$E$2), 1, IF(AND($B54 &gt; Quartiles1!$E$2, $B54 &lt;= Quartiles1!$E$3), 2, IF(AND($B54 &gt; Quartiles1!$E$3, $B54 &lt;= Quartiles1!$E$4), 3, 4)))</f>
        <v>1</v>
      </c>
      <c r="D54" s="7">
        <f>-$J$61*0.125*2</f>
        <v>-0.12792761157025889</v>
      </c>
      <c r="E54">
        <v>1.1696059000000001</v>
      </c>
      <c r="F54" s="26">
        <f>IF(AND($E54 &gt;= Quartiles1!$A$1, $E54 &lt;= Quartiles1!$A$2), 1, IF(AND($E54 &gt; Quartiles1!$A$2, $E54 &lt;= Quartiles1!$A$3), 2, IF(AND($E54 &gt; Quartiles1!$A$3, $E54 &lt;= Quartiles1!$A$4), 3, 4)))</f>
        <v>4</v>
      </c>
      <c r="G54" s="7">
        <f>F54*PCAWeights!$E$21</f>
        <v>0.76945805462427908</v>
      </c>
      <c r="H54">
        <v>37</v>
      </c>
      <c r="I54" s="20">
        <f>IF(AND($H54 &gt;= Quartiles1!B$1, $H54 &lt;= Quartiles1!$B$2), 1, IF(AND($H54 &gt; Quartiles1!$B$2, $H54 &lt;= Quartiles1!$B$3), 2, IF(AND($H54 &gt; Quartiles1!$B$3, $H54 &lt;= Quartiles1!$B$4), 3, 4)))</f>
        <v>4</v>
      </c>
      <c r="J54" s="7">
        <f>I54*PCAWeights!$E$22</f>
        <v>0.83285286429189209</v>
      </c>
      <c r="K54">
        <v>11</v>
      </c>
      <c r="L54" s="20">
        <f>IF(AND($K54 &gt;= Quartiles1!$C$1, $K54 &lt;= Quartiles1!$C$2), 1, IF(AND($K54 &gt; Quartiles1!$C$2, $K54 &lt;= Quartiles1!$C$3), 2, IF(AND($K54 &gt; Quartiles1!$C$3, $K54 &lt;= Quartiles1!$C$4), 3, 4)))</f>
        <v>4</v>
      </c>
      <c r="M54" s="7">
        <f>L54*PCAWeights!$E$23</f>
        <v>0.99103026713453046</v>
      </c>
      <c r="N54">
        <v>2</v>
      </c>
      <c r="O54" s="20">
        <v>1</v>
      </c>
      <c r="P54" s="7">
        <f>O54*PCAWeights!$E$24</f>
        <v>0.2499253049763106</v>
      </c>
      <c r="Q54" s="21">
        <f t="shared" si="0"/>
        <v>2.7153388794567532</v>
      </c>
      <c r="R54">
        <f>VLOOKUP($A54,'Star Score'!$A$2:$C$60,2,FALSE)</f>
        <v>5</v>
      </c>
      <c r="S54" t="s">
        <v>17</v>
      </c>
      <c r="T54" t="s">
        <v>22</v>
      </c>
      <c r="U54">
        <v>44013</v>
      </c>
      <c r="V54">
        <v>44075</v>
      </c>
      <c r="W54" t="s">
        <v>164</v>
      </c>
      <c r="X54" t="s">
        <v>124</v>
      </c>
      <c r="Y54" t="s">
        <v>94</v>
      </c>
      <c r="Z54" t="s">
        <v>91</v>
      </c>
      <c r="AA54" t="s">
        <v>87</v>
      </c>
      <c r="AB54" t="s">
        <v>93</v>
      </c>
      <c r="AC54" t="s">
        <v>10</v>
      </c>
      <c r="AE54" t="s">
        <v>126</v>
      </c>
    </row>
    <row r="55" spans="1:31" x14ac:dyDescent="0.3">
      <c r="A55" t="s">
        <v>65</v>
      </c>
      <c r="B55">
        <v>63</v>
      </c>
      <c r="C55" s="26">
        <f>IF(AND($B55 &gt;= Quartiles1!$E$1, $B55 &lt;= Quartiles1!$E$2), 1, IF(AND($B55 &gt; Quartiles1!$E$2, $B55 &lt;= Quartiles1!$E$3), 2, IF(AND($B55 &gt; Quartiles1!$E$3, $B55 &lt;= Quartiles1!$E$4), 3, 4)))</f>
        <v>2</v>
      </c>
      <c r="D55" s="7">
        <f>-$J$61*0.125*2</f>
        <v>-0.12792761157025889</v>
      </c>
      <c r="E55">
        <v>1.4549943999999999</v>
      </c>
      <c r="F55" s="26">
        <f>IF(AND($E55 &gt;= Quartiles1!$A$1, $E55 &lt;= Quartiles1!$A$2), 1, IF(AND($E55 &gt; Quartiles1!$A$2, $E55 &lt;= Quartiles1!$A$3), 2, IF(AND($E55 &gt; Quartiles1!$A$3, $E55 &lt;= Quartiles1!$A$4), 3, 4)))</f>
        <v>4</v>
      </c>
      <c r="G55" s="7">
        <f>F55*PCAWeights!$E$21</f>
        <v>0.76945805462427908</v>
      </c>
      <c r="H55">
        <v>31</v>
      </c>
      <c r="I55" s="20">
        <f>IF(AND($H55 &gt;= Quartiles1!B$1, $H55 &lt;= Quartiles1!$B$2), 1, IF(AND($H55 &gt; Quartiles1!$B$2, $H55 &lt;= Quartiles1!$B$3), 2, IF(AND($H55 &gt; Quartiles1!$B$3, $H55 &lt;= Quartiles1!$B$4), 3, 4)))</f>
        <v>4</v>
      </c>
      <c r="J55" s="7">
        <f>I55*PCAWeights!$E$22</f>
        <v>0.83285286429189209</v>
      </c>
      <c r="K55">
        <v>4</v>
      </c>
      <c r="L55" s="20">
        <f>IF(AND($K55 &gt;= Quartiles1!$C$1, $K55 &lt;= Quartiles1!$C$2), 1, IF(AND($K55 &gt; Quartiles1!$C$2, $K55 &lt;= Quartiles1!$C$3), 2, IF(AND($K55 &gt; Quartiles1!$C$3, $K55 &lt;= Quartiles1!$C$4), 3, 4)))</f>
        <v>2</v>
      </c>
      <c r="M55" s="7">
        <f>L55*PCAWeights!$E$23</f>
        <v>0.49551513356726523</v>
      </c>
      <c r="N55">
        <v>2</v>
      </c>
      <c r="O55" s="20">
        <v>1</v>
      </c>
      <c r="P55" s="7">
        <f>O55*PCAWeights!$E$24</f>
        <v>0.2499253049763106</v>
      </c>
      <c r="Q55" s="21">
        <f t="shared" si="0"/>
        <v>2.2198237458894878</v>
      </c>
      <c r="R55">
        <f>VLOOKUP($A55,'Star Score'!$A$2:$C$60,2,FALSE)</f>
        <v>3</v>
      </c>
      <c r="S55" t="s">
        <v>17</v>
      </c>
      <c r="T55" t="s">
        <v>12</v>
      </c>
      <c r="W55" t="s">
        <v>164</v>
      </c>
      <c r="X55" t="s">
        <v>216</v>
      </c>
      <c r="Y55" t="s">
        <v>124</v>
      </c>
      <c r="Z55" t="s">
        <v>91</v>
      </c>
      <c r="AA55" t="s">
        <v>108</v>
      </c>
      <c r="AB55" t="s">
        <v>88</v>
      </c>
      <c r="AC55" t="s">
        <v>10</v>
      </c>
      <c r="AE55" t="s">
        <v>245</v>
      </c>
    </row>
    <row r="56" spans="1:31" x14ac:dyDescent="0.3">
      <c r="A56" t="s">
        <v>66</v>
      </c>
      <c r="B56">
        <v>62</v>
      </c>
      <c r="C56" s="26">
        <f>IF(AND($B56 &gt;= Quartiles1!$E$1, $B56 &lt;= Quartiles1!$E$2), 1, IF(AND($B56 &gt; Quartiles1!$E$2, $B56 &lt;= Quartiles1!$E$3), 2, IF(AND($B56 &gt; Quartiles1!$E$3, $B56 &lt;= Quartiles1!$E$4), 3, 4)))</f>
        <v>2</v>
      </c>
      <c r="D56" s="7">
        <f>$J$61*0.125*1</f>
        <v>6.3963805785129446E-2</v>
      </c>
      <c r="E56">
        <v>0.91639709999999996</v>
      </c>
      <c r="F56" s="26">
        <f>IF(AND($E56 &gt;= Quartiles1!$A$1, $E56 &lt;= Quartiles1!$A$2), 1, IF(AND($E56 &gt; Quartiles1!$A$2, $E56 &lt;= Quartiles1!$A$3), 2, IF(AND($E56 &gt; Quartiles1!$A$3, $E56 &lt;= Quartiles1!$A$4), 3, 4)))</f>
        <v>3</v>
      </c>
      <c r="G56" s="7">
        <f>F56*PCAWeights!$E$21</f>
        <v>0.57709354096820931</v>
      </c>
      <c r="H56">
        <v>22.5</v>
      </c>
      <c r="I56" s="20">
        <f>IF(AND($H56 &gt;= Quartiles1!B$1, $H56 &lt;= Quartiles1!$B$2), 1, IF(AND($H56 &gt; Quartiles1!$B$2, $H56 &lt;= Quartiles1!$B$3), 2, IF(AND($H56 &gt; Quartiles1!$B$3, $H56 &lt;= Quartiles1!$B$4), 3, 4)))</f>
        <v>3</v>
      </c>
      <c r="J56" s="7">
        <f>I56*PCAWeights!$E$22</f>
        <v>0.62463964821891904</v>
      </c>
      <c r="K56">
        <v>8</v>
      </c>
      <c r="L56" s="20">
        <f>IF(AND($K56 &gt;= Quartiles1!$C$1, $K56 &lt;= Quartiles1!$C$2), 1, IF(AND($K56 &gt; Quartiles1!$C$2, $K56 &lt;= Quartiles1!$C$3), 2, IF(AND($K56 &gt; Quartiles1!$C$3, $K56 &lt;= Quartiles1!$C$4), 3, 4)))</f>
        <v>4</v>
      </c>
      <c r="M56" s="7">
        <f>L56*PCAWeights!$E$23</f>
        <v>0.99103026713453046</v>
      </c>
      <c r="N56">
        <v>1</v>
      </c>
      <c r="O56" s="20">
        <v>1</v>
      </c>
      <c r="P56" s="7">
        <f>O56*PCAWeights!$E$24</f>
        <v>0.2499253049763106</v>
      </c>
      <c r="Q56" s="21">
        <f t="shared" si="0"/>
        <v>2.5066525670830986</v>
      </c>
      <c r="R56">
        <f>VLOOKUP($A56,'Star Score'!$A$2:$C$60,2,FALSE)</f>
        <v>4</v>
      </c>
      <c r="S56" t="s">
        <v>11</v>
      </c>
      <c r="T56" t="s">
        <v>22</v>
      </c>
      <c r="W56" t="s">
        <v>164</v>
      </c>
      <c r="X56" t="s">
        <v>124</v>
      </c>
      <c r="Y56" t="s">
        <v>236</v>
      </c>
      <c r="Z56" t="s">
        <v>116</v>
      </c>
      <c r="AA56" t="s">
        <v>87</v>
      </c>
      <c r="AB56" t="s">
        <v>93</v>
      </c>
      <c r="AC56" t="s">
        <v>10</v>
      </c>
      <c r="AD56" t="s">
        <v>246</v>
      </c>
      <c r="AE56" t="s">
        <v>247</v>
      </c>
    </row>
    <row r="57" spans="1:31" x14ac:dyDescent="0.3">
      <c r="A57" t="s">
        <v>68</v>
      </c>
      <c r="B57">
        <v>33</v>
      </c>
      <c r="C57" s="26">
        <f>IF(AND($B57 &gt;= Quartiles1!$E$1, $B57 &lt;= Quartiles1!$E$2), 1, IF(AND($B57 &gt; Quartiles1!$E$2, $B57 &lt;= Quartiles1!$E$3), 2, IF(AND($B57 &gt; Quartiles1!$E$3, $B57 &lt;= Quartiles1!$E$4), 3, 4)))</f>
        <v>1</v>
      </c>
      <c r="D57" s="7">
        <f>-$J$61*0.125*2</f>
        <v>-0.12792761157025889</v>
      </c>
      <c r="E57">
        <v>0.90562120000000002</v>
      </c>
      <c r="F57" s="26">
        <f>IF(AND($E57 &gt;= Quartiles1!$A$1, $E57 &lt;= Quartiles1!$A$2), 1, IF(AND($E57 &gt; Quartiles1!$A$2, $E57 &lt;= Quartiles1!$A$3), 2, IF(AND($E57 &gt; Quartiles1!$A$3, $E57 &lt;= Quartiles1!$A$4), 3, 4)))</f>
        <v>3</v>
      </c>
      <c r="G57" s="7">
        <f>F57*PCAWeights!$E$21</f>
        <v>0.57709354096820931</v>
      </c>
      <c r="H57">
        <v>25</v>
      </c>
      <c r="I57" s="20">
        <f>IF(AND($H57 &gt;= Quartiles1!B$1, $H57 &lt;= Quartiles1!$B$2), 1, IF(AND($H57 &gt; Quartiles1!$B$2, $H57 &lt;= Quartiles1!$B$3), 2, IF(AND($H57 &gt; Quartiles1!$B$3, $H57 &lt;= Quartiles1!$B$4), 3, 4)))</f>
        <v>3</v>
      </c>
      <c r="J57" s="7">
        <f>I57*PCAWeights!$E$22</f>
        <v>0.62463964821891904</v>
      </c>
      <c r="K57">
        <v>8</v>
      </c>
      <c r="L57" s="20">
        <f>IF(AND($K57 &gt;= Quartiles1!$C$1, $K57 &lt;= Quartiles1!$C$2), 1, IF(AND($K57 &gt; Quartiles1!$C$2, $K57 &lt;= Quartiles1!$C$3), 2, IF(AND($K57 &gt; Quartiles1!$C$3, $K57 &lt;= Quartiles1!$C$4), 3, 4)))</f>
        <v>4</v>
      </c>
      <c r="M57" s="7">
        <f>L57*PCAWeights!$E$23</f>
        <v>0.99103026713453046</v>
      </c>
      <c r="N57">
        <v>3</v>
      </c>
      <c r="O57" s="20">
        <v>2</v>
      </c>
      <c r="P57" s="7">
        <f>O57*PCAWeights!$E$24</f>
        <v>0.49985060995262121</v>
      </c>
      <c r="Q57" s="21">
        <f t="shared" si="0"/>
        <v>2.5646864547040211</v>
      </c>
      <c r="R57">
        <f>VLOOKUP($A57,'Star Score'!$A$2:$C$60,2,FALSE)</f>
        <v>4</v>
      </c>
      <c r="S57" t="s">
        <v>17</v>
      </c>
      <c r="T57" t="s">
        <v>22</v>
      </c>
      <c r="W57" t="s">
        <v>164</v>
      </c>
      <c r="X57" t="s">
        <v>110</v>
      </c>
      <c r="Y57" t="s">
        <v>249</v>
      </c>
      <c r="Z57" t="s">
        <v>91</v>
      </c>
      <c r="AB57" t="s">
        <v>93</v>
      </c>
      <c r="AC57" t="s">
        <v>10</v>
      </c>
      <c r="AD57" t="s">
        <v>177</v>
      </c>
      <c r="AE57" t="s">
        <v>250</v>
      </c>
    </row>
    <row r="58" spans="1:31" x14ac:dyDescent="0.3">
      <c r="A58" t="s">
        <v>69</v>
      </c>
      <c r="B58">
        <v>54</v>
      </c>
      <c r="C58" s="26">
        <f>IF(AND($B58 &gt;= Quartiles1!$E$1, $B58 &lt;= Quartiles1!$E$2), 1, IF(AND($B58 &gt; Quartiles1!$E$2, $B58 &lt;= Quartiles1!$E$3), 2, IF(AND($B58 &gt; Quartiles1!$E$3, $B58 &lt;= Quartiles1!$E$4), 3, 4)))</f>
        <v>2</v>
      </c>
      <c r="D58" s="7">
        <f>-$J$61*0.125*2</f>
        <v>-0.12792761157025889</v>
      </c>
      <c r="E58">
        <v>1.0286422</v>
      </c>
      <c r="F58" s="26">
        <f>IF(AND($E58 &gt;= Quartiles1!$A$1, $E58 &lt;= Quartiles1!$A$2), 1, IF(AND($E58 &gt; Quartiles1!$A$2, $E58 &lt;= Quartiles1!$A$3), 2, IF(AND($E58 &gt; Quartiles1!$A$3, $E58 &lt;= Quartiles1!$A$4), 3, 4)))</f>
        <v>3</v>
      </c>
      <c r="G58" s="7">
        <f>F58*PCAWeights!$E$21</f>
        <v>0.57709354096820931</v>
      </c>
      <c r="H58">
        <v>50</v>
      </c>
      <c r="I58" s="20">
        <f>IF(AND($H58 &gt;= Quartiles1!B$1, $H58 &lt;= Quartiles1!$B$2), 1, IF(AND($H58 &gt; Quartiles1!$B$2, $H58 &lt;= Quartiles1!$B$3), 2, IF(AND($H58 &gt; Quartiles1!$B$3, $H58 &lt;= Quartiles1!$B$4), 3, 4)))</f>
        <v>4</v>
      </c>
      <c r="J58" s="7">
        <f>I58*PCAWeights!$E$22</f>
        <v>0.83285286429189209</v>
      </c>
      <c r="K58">
        <v>7</v>
      </c>
      <c r="L58" s="20">
        <f>IF(AND($K58 &gt;= Quartiles1!$C$1, $K58 &lt;= Quartiles1!$C$2), 1, IF(AND($K58 &gt; Quartiles1!$C$2, $K58 &lt;= Quartiles1!$C$3), 2, IF(AND($K58 &gt; Quartiles1!$C$3, $K58 &lt;= Quartiles1!$C$4), 3, 4)))</f>
        <v>4</v>
      </c>
      <c r="M58" s="7">
        <f>L58*PCAWeights!$E$23</f>
        <v>0.99103026713453046</v>
      </c>
      <c r="N58">
        <v>3</v>
      </c>
      <c r="O58" s="20">
        <v>2</v>
      </c>
      <c r="P58" s="7">
        <f>O58*PCAWeights!$E$24</f>
        <v>0.49985060995262121</v>
      </c>
      <c r="Q58" s="21">
        <f t="shared" si="0"/>
        <v>2.7728996707769942</v>
      </c>
      <c r="R58">
        <f>VLOOKUP($A58,'Star Score'!$A$2:$C$60,2,FALSE)</f>
        <v>5</v>
      </c>
      <c r="S58" t="s">
        <v>17</v>
      </c>
      <c r="T58" t="s">
        <v>12</v>
      </c>
      <c r="W58" t="s">
        <v>164</v>
      </c>
      <c r="X58" t="s">
        <v>215</v>
      </c>
      <c r="Y58">
        <v>5</v>
      </c>
      <c r="Z58" t="s">
        <v>86</v>
      </c>
      <c r="AB58" t="s">
        <v>88</v>
      </c>
      <c r="AC58" t="s">
        <v>10</v>
      </c>
      <c r="AD58" t="s">
        <v>251</v>
      </c>
      <c r="AE58" t="s">
        <v>252</v>
      </c>
    </row>
    <row r="59" spans="1:31" x14ac:dyDescent="0.3">
      <c r="A59" t="s">
        <v>83</v>
      </c>
      <c r="B59" t="s">
        <v>157</v>
      </c>
      <c r="C59" s="26"/>
      <c r="E59">
        <v>0.7926512</v>
      </c>
      <c r="F59" s="26">
        <f>IF(AND($E59 &gt;= Quartiles1!$A$1, $E59 &lt;= Quartiles1!$A$2), 1, IF(AND($E59 &gt; Quartiles1!$A$2, $E59 &lt;= Quartiles1!$A$3), 2, IF(AND($E59 &gt; Quartiles1!$A$3, $E59 &lt;= Quartiles1!$A$4), 3, 4)))</f>
        <v>2</v>
      </c>
      <c r="G59" s="7">
        <f>F59*PCAWeights!$E$21</f>
        <v>0.38472902731213954</v>
      </c>
      <c r="H59">
        <v>54</v>
      </c>
      <c r="I59" s="20">
        <f>IF(AND($H59 &gt;= Quartiles1!B$1, $H59 &lt;= Quartiles1!$B$2), 1, IF(AND($H59 &gt; Quartiles1!$B$2, $H59 &lt;= Quartiles1!$B$3), 2, IF(AND($H59 &gt; Quartiles1!$B$3, $H59 &lt;= Quartiles1!$B$4), 3, 4)))</f>
        <v>4</v>
      </c>
      <c r="J59" s="7">
        <f>I59*PCAWeights!$E$22</f>
        <v>0.83285286429189209</v>
      </c>
      <c r="K59">
        <v>4</v>
      </c>
      <c r="L59" s="20">
        <f>IF(AND($K59 &gt;= Quartiles1!$C$1, $K59 &lt;= Quartiles1!$C$2), 1, IF(AND($K59 &gt; Quartiles1!$C$2, $K59 &lt;= Quartiles1!$C$3), 2, IF(AND($K59 &gt; Quartiles1!$C$3, $K59 &lt;= Quartiles1!$C$4), 3, 4)))</f>
        <v>2</v>
      </c>
      <c r="M59" s="7">
        <f>L59*PCAWeights!$E$23</f>
        <v>0.49551513356726523</v>
      </c>
      <c r="N59">
        <v>3</v>
      </c>
      <c r="O59" s="20">
        <v>2</v>
      </c>
      <c r="P59" s="7">
        <f>O59*PCAWeights!$E$24</f>
        <v>0.49985060995262121</v>
      </c>
      <c r="Q59" s="21">
        <f t="shared" si="0"/>
        <v>2.2129476351239177</v>
      </c>
      <c r="R59">
        <f>VLOOKUP($A59,'Star Score'!$A$2:$C$60,2,FALSE)</f>
        <v>3</v>
      </c>
      <c r="S59" t="s">
        <v>34</v>
      </c>
      <c r="T59" t="s">
        <v>12</v>
      </c>
      <c r="U59">
        <v>43983</v>
      </c>
      <c r="V59">
        <v>44044</v>
      </c>
      <c r="W59" t="s">
        <v>169</v>
      </c>
      <c r="X59" t="s">
        <v>77</v>
      </c>
      <c r="Y59" t="s">
        <v>94</v>
      </c>
      <c r="Z59" t="s">
        <v>80</v>
      </c>
      <c r="AA59" t="s">
        <v>87</v>
      </c>
      <c r="AB59" t="s">
        <v>175</v>
      </c>
      <c r="AC59" t="s">
        <v>7</v>
      </c>
      <c r="AD59" t="s">
        <v>177</v>
      </c>
      <c r="AE59" t="s">
        <v>127</v>
      </c>
    </row>
    <row r="60" spans="1:31" s="1" customFormat="1" x14ac:dyDescent="0.3">
      <c r="A60" t="s">
        <v>71</v>
      </c>
      <c r="B60" t="s">
        <v>157</v>
      </c>
      <c r="C60" s="26"/>
      <c r="D60" s="7"/>
      <c r="E60">
        <v>0.53647929999999999</v>
      </c>
      <c r="F60" s="26">
        <f>IF(AND($E60 &gt;= Quartiles1!$A$1, $E60 &lt;= Quartiles1!$A$2), 1, IF(AND($E60 &gt; Quartiles1!$A$2, $E60 &lt;= Quartiles1!$A$3), 2, IF(AND($E60 &gt; Quartiles1!$A$3, $E60 &lt;= Quartiles1!$A$4), 3, 4)))</f>
        <v>1</v>
      </c>
      <c r="G60" s="7">
        <f>F60*PCAWeights!$E$21</f>
        <v>0.19236451365606977</v>
      </c>
      <c r="H60">
        <v>5</v>
      </c>
      <c r="I60" s="20">
        <f>IF(AND($H60 &gt;= Quartiles1!B$1, $H60 &lt;= Quartiles1!$B$2), 1, IF(AND($H60 &gt; Quartiles1!$B$2, $H60 &lt;= Quartiles1!$B$3), 2, IF(AND($H60 &gt; Quartiles1!$B$3, $H60 &lt;= Quartiles1!$B$4), 3, 4)))</f>
        <v>1</v>
      </c>
      <c r="J60" s="7">
        <f>I60*PCAWeights!$E$22</f>
        <v>0.20821321607297302</v>
      </c>
      <c r="K60">
        <v>3</v>
      </c>
      <c r="L60" s="20">
        <f>IF(AND($K60 &gt;= Quartiles1!$C$1, $K60 &lt;= Quartiles1!$C$2), 1, IF(AND($K60 &gt; Quartiles1!$C$2, $K60 &lt;= Quartiles1!$C$3), 2, IF(AND($K60 &gt; Quartiles1!$C$3, $K60 &lt;= Quartiles1!$C$4), 3, 4)))</f>
        <v>1</v>
      </c>
      <c r="M60" s="7">
        <f>L60*PCAWeights!$E$23</f>
        <v>0.24775756678363262</v>
      </c>
      <c r="N60">
        <v>3</v>
      </c>
      <c r="O60" s="20">
        <v>2</v>
      </c>
      <c r="P60" s="7">
        <f>O60*PCAWeights!$E$24</f>
        <v>0.49985060995262121</v>
      </c>
      <c r="Q60" s="21">
        <f t="shared" si="0"/>
        <v>1.1481859064652966</v>
      </c>
      <c r="R60">
        <f>VLOOKUP($A60,'Star Score'!$A$2:$C$60,2,FALSE)</f>
        <v>1</v>
      </c>
      <c r="S60" t="s">
        <v>17</v>
      </c>
      <c r="T60"/>
      <c r="U60"/>
      <c r="V60"/>
      <c r="W60" t="s">
        <v>254</v>
      </c>
      <c r="X60" t="s">
        <v>215</v>
      </c>
      <c r="Y60" t="s">
        <v>215</v>
      </c>
      <c r="Z60" t="s">
        <v>91</v>
      </c>
      <c r="AA60" t="s">
        <v>87</v>
      </c>
      <c r="AB60" t="s">
        <v>175</v>
      </c>
      <c r="AC60" t="s">
        <v>10</v>
      </c>
      <c r="AD60" t="s">
        <v>177</v>
      </c>
      <c r="AE60" t="s">
        <v>255</v>
      </c>
    </row>
    <row r="61" spans="1:31" s="16" customFormat="1" x14ac:dyDescent="0.3">
      <c r="A61" s="16" t="s">
        <v>162</v>
      </c>
      <c r="C61" s="27"/>
      <c r="D61" s="28"/>
      <c r="F61" s="27"/>
      <c r="G61" s="28"/>
      <c r="I61" s="27"/>
      <c r="J61" s="28">
        <f>AVERAGE(J2:J60)</f>
        <v>0.51171044628103557</v>
      </c>
      <c r="L61" s="27"/>
      <c r="M61" s="28"/>
      <c r="O61" s="27"/>
      <c r="P61" s="28"/>
      <c r="Q61" s="29"/>
    </row>
  </sheetData>
  <autoFilter ref="A1:AH60" xr:uid="{774B135C-57BC-4BF1-80A6-C567D861E277}"/>
  <sortState xmlns:xlrd2="http://schemas.microsoft.com/office/spreadsheetml/2017/richdata2" ref="A2:AE60">
    <sortCondition ref="A2:A6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CA11-4DD8-4C60-9574-B8C034230025}">
  <dimension ref="A1:C61"/>
  <sheetViews>
    <sheetView topLeftCell="A31" workbookViewId="0">
      <selection activeCell="D15" sqref="D15"/>
    </sheetView>
  </sheetViews>
  <sheetFormatPr defaultRowHeight="14.4" x14ac:dyDescent="0.3"/>
  <cols>
    <col min="1" max="1" width="25.33203125" bestFit="1" customWidth="1"/>
    <col min="4" max="4" width="25.33203125" bestFit="1" customWidth="1"/>
  </cols>
  <sheetData>
    <row r="1" spans="1:3" x14ac:dyDescent="0.3">
      <c r="A1" t="s">
        <v>0</v>
      </c>
      <c r="B1" t="s">
        <v>294</v>
      </c>
      <c r="C1" t="s">
        <v>291</v>
      </c>
    </row>
    <row r="2" spans="1:3" x14ac:dyDescent="0.3">
      <c r="A2" t="s">
        <v>13</v>
      </c>
      <c r="B2">
        <v>1</v>
      </c>
      <c r="C2">
        <v>1.1481859064652966</v>
      </c>
    </row>
    <row r="3" spans="1:3" x14ac:dyDescent="0.3">
      <c r="A3" t="s">
        <v>35</v>
      </c>
      <c r="B3">
        <v>1</v>
      </c>
      <c r="C3">
        <v>1.1481859064652966</v>
      </c>
    </row>
    <row r="4" spans="1:3" x14ac:dyDescent="0.3">
      <c r="A4" t="s">
        <v>180</v>
      </c>
      <c r="B4">
        <v>1</v>
      </c>
      <c r="C4">
        <v>1.1481859064652966</v>
      </c>
    </row>
    <row r="5" spans="1:3" x14ac:dyDescent="0.3">
      <c r="A5" t="s">
        <v>181</v>
      </c>
      <c r="B5">
        <v>1</v>
      </c>
      <c r="C5">
        <v>1.1481859064652966</v>
      </c>
    </row>
    <row r="6" spans="1:3" x14ac:dyDescent="0.3">
      <c r="A6" t="s">
        <v>182</v>
      </c>
      <c r="B6">
        <v>1</v>
      </c>
      <c r="C6">
        <v>1.1481859064652966</v>
      </c>
    </row>
    <row r="7" spans="1:3" x14ac:dyDescent="0.3">
      <c r="A7" t="s">
        <v>44</v>
      </c>
      <c r="B7">
        <v>1</v>
      </c>
      <c r="C7">
        <v>1.1481859064652966</v>
      </c>
    </row>
    <row r="8" spans="1:3" x14ac:dyDescent="0.3">
      <c r="A8" t="s">
        <v>52</v>
      </c>
      <c r="B8">
        <v>1</v>
      </c>
      <c r="C8">
        <v>1.1481859064652966</v>
      </c>
    </row>
    <row r="9" spans="1:3" x14ac:dyDescent="0.3">
      <c r="A9" t="s">
        <v>59</v>
      </c>
      <c r="B9">
        <v>1</v>
      </c>
      <c r="C9">
        <v>1.1481859064652966</v>
      </c>
    </row>
    <row r="10" spans="1:3" x14ac:dyDescent="0.3">
      <c r="A10" t="s">
        <v>71</v>
      </c>
      <c r="B10">
        <v>1</v>
      </c>
      <c r="C10">
        <v>1.1481859064652966</v>
      </c>
    </row>
    <row r="11" spans="1:3" x14ac:dyDescent="0.3">
      <c r="A11" t="s">
        <v>6</v>
      </c>
      <c r="B11">
        <v>1</v>
      </c>
      <c r="C11">
        <v>1.3405504201213665</v>
      </c>
    </row>
    <row r="12" spans="1:3" x14ac:dyDescent="0.3">
      <c r="A12" t="s">
        <v>14</v>
      </c>
      <c r="B12">
        <v>1</v>
      </c>
      <c r="C12">
        <v>1.3405504201213665</v>
      </c>
    </row>
    <row r="13" spans="1:3" x14ac:dyDescent="0.3">
      <c r="A13" t="s">
        <v>258</v>
      </c>
      <c r="B13">
        <v>1</v>
      </c>
      <c r="C13">
        <v>1.3405504201213665</v>
      </c>
    </row>
    <row r="14" spans="1:3" x14ac:dyDescent="0.3">
      <c r="A14" t="s">
        <v>49</v>
      </c>
      <c r="B14">
        <v>1</v>
      </c>
      <c r="C14">
        <v>1.3405504201213665</v>
      </c>
    </row>
    <row r="15" spans="1:3" x14ac:dyDescent="0.3">
      <c r="A15" t="s">
        <v>25</v>
      </c>
      <c r="B15">
        <v>2</v>
      </c>
      <c r="C15">
        <v>1.3959434732489293</v>
      </c>
    </row>
    <row r="16" spans="1:3" x14ac:dyDescent="0.3">
      <c r="A16" t="s">
        <v>9</v>
      </c>
      <c r="B16">
        <v>2</v>
      </c>
      <c r="C16">
        <v>1.418195190130721</v>
      </c>
    </row>
    <row r="17" spans="1:3" x14ac:dyDescent="0.3">
      <c r="A17" t="s">
        <v>18</v>
      </c>
      <c r="B17">
        <v>2</v>
      </c>
      <c r="C17">
        <v>1.5487636361943395</v>
      </c>
    </row>
    <row r="18" spans="1:3" x14ac:dyDescent="0.3">
      <c r="A18" t="s">
        <v>57</v>
      </c>
      <c r="B18">
        <v>2</v>
      </c>
      <c r="C18">
        <v>1.5487636361943395</v>
      </c>
    </row>
    <row r="19" spans="1:3" x14ac:dyDescent="0.3">
      <c r="A19" t="s">
        <v>41</v>
      </c>
      <c r="B19">
        <v>2</v>
      </c>
      <c r="C19">
        <v>1.6041566893219021</v>
      </c>
    </row>
    <row r="20" spans="1:3" x14ac:dyDescent="0.3">
      <c r="A20" t="s">
        <v>60</v>
      </c>
      <c r="B20">
        <v>2</v>
      </c>
      <c r="C20">
        <v>1.6041566893219021</v>
      </c>
    </row>
    <row r="21" spans="1:3" x14ac:dyDescent="0.3">
      <c r="A21" t="s">
        <v>38</v>
      </c>
      <c r="B21">
        <v>2</v>
      </c>
      <c r="C21">
        <v>1.6437010400325618</v>
      </c>
    </row>
    <row r="22" spans="1:3" x14ac:dyDescent="0.3">
      <c r="A22" t="s">
        <v>58</v>
      </c>
      <c r="B22">
        <v>2</v>
      </c>
      <c r="C22">
        <v>1.7411281498504092</v>
      </c>
    </row>
    <row r="23" spans="1:3" x14ac:dyDescent="0.3">
      <c r="A23" t="s">
        <v>24</v>
      </c>
      <c r="B23">
        <v>2</v>
      </c>
      <c r="C23">
        <v>1.7638529630328825</v>
      </c>
    </row>
    <row r="24" spans="1:3" x14ac:dyDescent="0.3">
      <c r="A24" t="s">
        <v>21</v>
      </c>
      <c r="B24">
        <v>2</v>
      </c>
      <c r="C24">
        <v>1.796521202977972</v>
      </c>
    </row>
    <row r="25" spans="1:3" x14ac:dyDescent="0.3">
      <c r="A25" t="s">
        <v>54</v>
      </c>
      <c r="B25">
        <v>2</v>
      </c>
      <c r="C25">
        <v>1.796521202977972</v>
      </c>
    </row>
    <row r="26" spans="1:3" x14ac:dyDescent="0.3">
      <c r="A26" t="s">
        <v>43</v>
      </c>
      <c r="B26">
        <v>3</v>
      </c>
      <c r="C26">
        <v>1.8360655536886317</v>
      </c>
    </row>
    <row r="27" spans="1:3" x14ac:dyDescent="0.3">
      <c r="A27" t="s">
        <v>61</v>
      </c>
      <c r="B27">
        <v>3</v>
      </c>
      <c r="C27">
        <v>1.8695288577213496</v>
      </c>
    </row>
    <row r="28" spans="1:3" x14ac:dyDescent="0.3">
      <c r="A28" t="s">
        <v>37</v>
      </c>
      <c r="B28">
        <v>3</v>
      </c>
      <c r="C28">
        <v>1.8914586068161945</v>
      </c>
    </row>
    <row r="29" spans="1:3" x14ac:dyDescent="0.3">
      <c r="A29" t="s">
        <v>26</v>
      </c>
      <c r="B29">
        <v>3</v>
      </c>
      <c r="C29">
        <v>2.0360299848909849</v>
      </c>
    </row>
    <row r="30" spans="1:3" x14ac:dyDescent="0.3">
      <c r="A30" t="s">
        <v>42</v>
      </c>
      <c r="B30">
        <v>3</v>
      </c>
      <c r="C30">
        <v>2.0755743356016447</v>
      </c>
    </row>
    <row r="31" spans="1:3" x14ac:dyDescent="0.3">
      <c r="A31" t="s">
        <v>15</v>
      </c>
      <c r="B31">
        <v>3</v>
      </c>
      <c r="C31">
        <v>2.1130511482327714</v>
      </c>
    </row>
    <row r="32" spans="1:3" x14ac:dyDescent="0.3">
      <c r="A32" t="s">
        <v>40</v>
      </c>
      <c r="B32">
        <v>3</v>
      </c>
      <c r="C32">
        <v>2.1949311945143366</v>
      </c>
    </row>
    <row r="33" spans="1:3" x14ac:dyDescent="0.3">
      <c r="A33" t="s">
        <v>83</v>
      </c>
      <c r="B33">
        <v>3</v>
      </c>
      <c r="C33">
        <v>2.2129476351239177</v>
      </c>
    </row>
    <row r="34" spans="1:3" x14ac:dyDescent="0.3">
      <c r="A34" t="s">
        <v>65</v>
      </c>
      <c r="B34">
        <v>3</v>
      </c>
      <c r="C34">
        <v>2.2198237458894878</v>
      </c>
    </row>
    <row r="35" spans="1:3" x14ac:dyDescent="0.3">
      <c r="A35" t="s">
        <v>63</v>
      </c>
      <c r="B35">
        <v>3</v>
      </c>
      <c r="C35">
        <v>2.2280725307601079</v>
      </c>
    </row>
    <row r="36" spans="1:3" x14ac:dyDescent="0.3">
      <c r="A36" t="s">
        <v>16</v>
      </c>
      <c r="B36">
        <v>3</v>
      </c>
      <c r="C36">
        <v>2.2366432834176742</v>
      </c>
    </row>
    <row r="37" spans="1:3" x14ac:dyDescent="0.3">
      <c r="A37" t="s">
        <v>62</v>
      </c>
      <c r="B37">
        <v>4</v>
      </c>
      <c r="C37">
        <v>2.2524919858345775</v>
      </c>
    </row>
    <row r="38" spans="1:3" x14ac:dyDescent="0.3">
      <c r="A38" t="s">
        <v>27</v>
      </c>
      <c r="B38">
        <v>4</v>
      </c>
      <c r="C38">
        <v>2.3147611497277105</v>
      </c>
    </row>
    <row r="39" spans="1:3" x14ac:dyDescent="0.3">
      <c r="A39" t="s">
        <v>51</v>
      </c>
      <c r="B39">
        <v>4</v>
      </c>
      <c r="C39">
        <v>2.3169288879203886</v>
      </c>
    </row>
    <row r="40" spans="1:3" x14ac:dyDescent="0.3">
      <c r="A40" t="s">
        <v>48</v>
      </c>
      <c r="B40">
        <v>4</v>
      </c>
      <c r="C40">
        <v>2.37872495551284</v>
      </c>
    </row>
    <row r="41" spans="1:3" x14ac:dyDescent="0.3">
      <c r="A41" t="s">
        <v>50</v>
      </c>
      <c r="B41">
        <v>4</v>
      </c>
      <c r="C41">
        <v>2.4117151632448768</v>
      </c>
    </row>
    <row r="42" spans="1:3" x14ac:dyDescent="0.3">
      <c r="A42" t="s">
        <v>55</v>
      </c>
      <c r="B42">
        <v>4</v>
      </c>
      <c r="C42">
        <v>2.4607052019075506</v>
      </c>
    </row>
    <row r="43" spans="1:3" x14ac:dyDescent="0.3">
      <c r="A43" t="s">
        <v>20</v>
      </c>
      <c r="B43">
        <v>4</v>
      </c>
      <c r="C43">
        <v>2.4844008502013071</v>
      </c>
    </row>
    <row r="44" spans="1:3" x14ac:dyDescent="0.3">
      <c r="A44" t="s">
        <v>66</v>
      </c>
      <c r="B44">
        <v>4</v>
      </c>
      <c r="C44">
        <v>2.5066525670830986</v>
      </c>
    </row>
    <row r="45" spans="1:3" x14ac:dyDescent="0.3">
      <c r="A45" t="s">
        <v>68</v>
      </c>
      <c r="B45">
        <v>4</v>
      </c>
      <c r="C45">
        <v>2.5646864547040211</v>
      </c>
    </row>
    <row r="46" spans="1:3" x14ac:dyDescent="0.3">
      <c r="A46" t="s">
        <v>31</v>
      </c>
      <c r="B46">
        <v>4</v>
      </c>
      <c r="C46">
        <v>2.5976766624360579</v>
      </c>
    </row>
    <row r="47" spans="1:3" x14ac:dyDescent="0.3">
      <c r="A47" t="s">
        <v>29</v>
      </c>
      <c r="B47">
        <v>4</v>
      </c>
      <c r="C47">
        <v>2.6329857368745069</v>
      </c>
    </row>
    <row r="48" spans="1:3" x14ac:dyDescent="0.3">
      <c r="A48" t="s">
        <v>45</v>
      </c>
      <c r="B48">
        <v>4</v>
      </c>
      <c r="C48">
        <v>2.6372210131467173</v>
      </c>
    </row>
    <row r="49" spans="1:3" x14ac:dyDescent="0.3">
      <c r="A49" t="s">
        <v>23</v>
      </c>
      <c r="B49">
        <v>5</v>
      </c>
      <c r="C49">
        <v>2.7084627686911831</v>
      </c>
    </row>
    <row r="50" spans="1:3" x14ac:dyDescent="0.3">
      <c r="A50" t="s">
        <v>33</v>
      </c>
      <c r="B50">
        <v>5</v>
      </c>
      <c r="C50">
        <v>2.7084627686911831</v>
      </c>
    </row>
    <row r="51" spans="1:3" x14ac:dyDescent="0.3">
      <c r="A51" t="s">
        <v>64</v>
      </c>
      <c r="B51">
        <v>5</v>
      </c>
      <c r="C51">
        <v>2.7153388794567532</v>
      </c>
    </row>
    <row r="52" spans="1:3" x14ac:dyDescent="0.3">
      <c r="A52" t="s">
        <v>69</v>
      </c>
      <c r="B52">
        <v>5</v>
      </c>
      <c r="C52">
        <v>2.7728996707769942</v>
      </c>
    </row>
    <row r="53" spans="1:3" x14ac:dyDescent="0.3">
      <c r="A53" t="s">
        <v>36</v>
      </c>
      <c r="B53">
        <v>5</v>
      </c>
      <c r="C53">
        <v>2.905162758732609</v>
      </c>
    </row>
    <row r="54" spans="1:3" x14ac:dyDescent="0.3">
      <c r="A54" t="s">
        <v>120</v>
      </c>
      <c r="B54">
        <v>5</v>
      </c>
      <c r="C54">
        <v>2.9093980350048199</v>
      </c>
    </row>
    <row r="55" spans="1:3" x14ac:dyDescent="0.3">
      <c r="A55" t="s">
        <v>53</v>
      </c>
      <c r="B55">
        <v>5</v>
      </c>
      <c r="C55">
        <v>3.2564284820120304</v>
      </c>
    </row>
    <row r="56" spans="1:3" x14ac:dyDescent="0.3">
      <c r="A56" t="s">
        <v>19</v>
      </c>
      <c r="B56">
        <v>5</v>
      </c>
      <c r="C56">
        <v>3.3452848391723116</v>
      </c>
    </row>
    <row r="57" spans="1:3" x14ac:dyDescent="0.3">
      <c r="A57" t="s">
        <v>39</v>
      </c>
      <c r="B57">
        <v>5</v>
      </c>
      <c r="C57">
        <v>3.3452848391723116</v>
      </c>
    </row>
    <row r="58" spans="1:3" x14ac:dyDescent="0.3">
      <c r="A58" t="s">
        <v>30</v>
      </c>
      <c r="B58">
        <v>5</v>
      </c>
      <c r="C58">
        <v>3.384829189882971</v>
      </c>
    </row>
    <row r="59" spans="1:3" x14ac:dyDescent="0.3">
      <c r="A59" t="s">
        <v>56</v>
      </c>
      <c r="B59">
        <v>5</v>
      </c>
      <c r="C59">
        <v>3.4487929956681005</v>
      </c>
    </row>
    <row r="60" spans="1:3" x14ac:dyDescent="0.3">
      <c r="A60" t="s">
        <v>47</v>
      </c>
      <c r="B60">
        <v>5</v>
      </c>
      <c r="C60">
        <v>3.5290786001708145</v>
      </c>
    </row>
    <row r="61" spans="1:3" x14ac:dyDescent="0.3">
      <c r="A61" s="16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CFB6-493F-4E36-8E4A-512DD014F69C}">
  <dimension ref="A1:E5"/>
  <sheetViews>
    <sheetView workbookViewId="0">
      <selection activeCell="E1" sqref="E1"/>
    </sheetView>
  </sheetViews>
  <sheetFormatPr defaultRowHeight="14.4" x14ac:dyDescent="0.3"/>
  <sheetData>
    <row r="1" spans="1:5" x14ac:dyDescent="0.3">
      <c r="A1">
        <v>0</v>
      </c>
      <c r="B1">
        <v>0</v>
      </c>
      <c r="C1">
        <v>1</v>
      </c>
      <c r="D1">
        <v>1</v>
      </c>
      <c r="E1">
        <v>1</v>
      </c>
    </row>
    <row r="2" spans="1:5" x14ac:dyDescent="0.3">
      <c r="A2" s="25">
        <v>0.54300000000000004</v>
      </c>
      <c r="B2">
        <v>6</v>
      </c>
      <c r="C2">
        <v>3</v>
      </c>
      <c r="D2">
        <v>3</v>
      </c>
      <c r="E2">
        <v>34</v>
      </c>
    </row>
    <row r="3" spans="1:5" x14ac:dyDescent="0.3">
      <c r="A3">
        <v>0.89600000000000002</v>
      </c>
      <c r="B3">
        <v>16</v>
      </c>
      <c r="C3">
        <v>4</v>
      </c>
      <c r="D3">
        <v>3</v>
      </c>
      <c r="E3">
        <v>68</v>
      </c>
    </row>
    <row r="4" spans="1:5" x14ac:dyDescent="0.3">
      <c r="A4">
        <v>1.153</v>
      </c>
      <c r="B4">
        <v>27.25</v>
      </c>
      <c r="C4">
        <v>6.5</v>
      </c>
      <c r="D4">
        <v>3</v>
      </c>
      <c r="E4">
        <v>242</v>
      </c>
    </row>
    <row r="5" spans="1:5" x14ac:dyDescent="0.3">
      <c r="A5">
        <v>1.8360000000000001</v>
      </c>
      <c r="B5">
        <v>80</v>
      </c>
      <c r="C5">
        <v>15</v>
      </c>
      <c r="D5">
        <v>11</v>
      </c>
      <c r="E5">
        <v>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3CC3-4B69-4C5F-B83B-C5DEA0B89576}">
  <dimension ref="A1:I29"/>
  <sheetViews>
    <sheetView topLeftCell="A4" workbookViewId="0">
      <selection activeCell="A26" sqref="A26"/>
    </sheetView>
  </sheetViews>
  <sheetFormatPr defaultRowHeight="14.4" x14ac:dyDescent="0.3"/>
  <cols>
    <col min="1" max="1" width="21.44140625" bestFit="1" customWidth="1"/>
    <col min="2" max="2" width="16.5546875" customWidth="1"/>
    <col min="3" max="3" width="17.6640625" customWidth="1"/>
    <col min="4" max="4" width="10.5546875" bestFit="1" customWidth="1"/>
  </cols>
  <sheetData>
    <row r="1" spans="1:9" x14ac:dyDescent="0.3">
      <c r="A1" s="16" t="s">
        <v>273</v>
      </c>
    </row>
    <row r="2" spans="1:9" x14ac:dyDescent="0.3">
      <c r="A2" t="s">
        <v>269</v>
      </c>
      <c r="B2" t="s">
        <v>270</v>
      </c>
      <c r="C2" t="s">
        <v>276</v>
      </c>
    </row>
    <row r="3" spans="1:9" x14ac:dyDescent="0.3">
      <c r="A3">
        <v>1</v>
      </c>
      <c r="B3">
        <v>49.743580000000001</v>
      </c>
      <c r="C3">
        <f>B3/100</f>
        <v>0.49743580000000004</v>
      </c>
    </row>
    <row r="4" spans="1:9" x14ac:dyDescent="0.3">
      <c r="A4">
        <v>2</v>
      </c>
      <c r="B4">
        <v>25.192620000000002</v>
      </c>
      <c r="C4">
        <f t="shared" ref="C4:C6" si="0">B4/100</f>
        <v>0.25192619999999999</v>
      </c>
    </row>
    <row r="5" spans="1:9" x14ac:dyDescent="0.3">
      <c r="A5">
        <v>3</v>
      </c>
      <c r="B5">
        <v>14.889860000000001</v>
      </c>
      <c r="C5">
        <f t="shared" si="0"/>
        <v>0.14889859999999999</v>
      </c>
    </row>
    <row r="6" spans="1:9" x14ac:dyDescent="0.3">
      <c r="A6">
        <v>4</v>
      </c>
      <c r="B6">
        <v>10.17394</v>
      </c>
      <c r="C6">
        <f t="shared" si="0"/>
        <v>0.10173939999999999</v>
      </c>
    </row>
    <row r="8" spans="1:9" x14ac:dyDescent="0.3">
      <c r="A8" t="s">
        <v>277</v>
      </c>
    </row>
    <row r="10" spans="1:9" x14ac:dyDescent="0.3">
      <c r="A10" s="16" t="s">
        <v>271</v>
      </c>
    </row>
    <row r="11" spans="1:9" x14ac:dyDescent="0.3">
      <c r="B11" t="s">
        <v>264</v>
      </c>
      <c r="C11" t="s">
        <v>266</v>
      </c>
      <c r="D11" t="s">
        <v>267</v>
      </c>
      <c r="E11" t="s">
        <v>268</v>
      </c>
      <c r="F11" t="s">
        <v>278</v>
      </c>
      <c r="G11" t="s">
        <v>279</v>
      </c>
      <c r="H11" t="s">
        <v>280</v>
      </c>
      <c r="I11" t="s">
        <v>281</v>
      </c>
    </row>
    <row r="12" spans="1:9" x14ac:dyDescent="0.3">
      <c r="A12" t="s">
        <v>265</v>
      </c>
      <c r="B12" s="22">
        <v>36.464128799999997</v>
      </c>
      <c r="C12" s="22">
        <v>0.70471870000000003</v>
      </c>
      <c r="D12" s="22">
        <v>6.1810600000000004</v>
      </c>
      <c r="E12" t="s">
        <v>272</v>
      </c>
      <c r="F12">
        <f>B12/100</f>
        <v>0.36464128799999995</v>
      </c>
      <c r="G12">
        <f>C12/100</f>
        <v>7.0471869999999999E-3</v>
      </c>
      <c r="H12">
        <f>D12/100</f>
        <v>6.1810600000000007E-2</v>
      </c>
    </row>
    <row r="13" spans="1:9" x14ac:dyDescent="0.3">
      <c r="A13" t="s">
        <v>261</v>
      </c>
      <c r="B13" s="22">
        <v>34.370784100000002</v>
      </c>
      <c r="C13" s="22">
        <v>0.65596160000000003</v>
      </c>
      <c r="D13" s="22">
        <v>23.900891000000001</v>
      </c>
      <c r="E13" t="s">
        <v>272</v>
      </c>
      <c r="F13">
        <f t="shared" ref="F13:F15" si="1">B13/100</f>
        <v>0.34370784100000001</v>
      </c>
      <c r="G13">
        <f t="shared" ref="G13:G15" si="2">C13/100</f>
        <v>6.5596160000000008E-3</v>
      </c>
      <c r="H13">
        <f t="shared" ref="H13:H15" si="3">D13/100</f>
        <v>0.23900891000000002</v>
      </c>
    </row>
    <row r="14" spans="1:9" x14ac:dyDescent="0.3">
      <c r="A14" t="s">
        <v>262</v>
      </c>
      <c r="B14" s="22">
        <v>28.9840439</v>
      </c>
      <c r="C14" s="22">
        <v>1.0877652</v>
      </c>
      <c r="D14" s="22">
        <v>67.724069</v>
      </c>
      <c r="E14" t="s">
        <v>272</v>
      </c>
      <c r="F14">
        <f t="shared" si="1"/>
        <v>0.28984043900000001</v>
      </c>
      <c r="G14">
        <f t="shared" si="2"/>
        <v>1.0877652E-2</v>
      </c>
      <c r="H14">
        <f t="shared" si="3"/>
        <v>0.67724068999999998</v>
      </c>
    </row>
    <row r="15" spans="1:9" x14ac:dyDescent="0.3">
      <c r="A15" t="s">
        <v>263</v>
      </c>
      <c r="B15" s="22">
        <v>0.18104319999999999</v>
      </c>
      <c r="C15" s="22">
        <v>97.551554499999995</v>
      </c>
      <c r="D15" s="22">
        <v>2.193981</v>
      </c>
      <c r="E15" t="s">
        <v>272</v>
      </c>
      <c r="F15">
        <f t="shared" si="1"/>
        <v>1.8104319999999998E-3</v>
      </c>
      <c r="G15">
        <f t="shared" si="2"/>
        <v>0.97551554499999993</v>
      </c>
      <c r="H15">
        <f t="shared" si="3"/>
        <v>2.1939810000000001E-2</v>
      </c>
    </row>
    <row r="18" spans="1:5" x14ac:dyDescent="0.3">
      <c r="A18" s="16" t="s">
        <v>274</v>
      </c>
    </row>
    <row r="19" spans="1:5" x14ac:dyDescent="0.3">
      <c r="A19" s="22"/>
    </row>
    <row r="20" spans="1:5" x14ac:dyDescent="0.3">
      <c r="B20" t="s">
        <v>282</v>
      </c>
      <c r="C20" t="s">
        <v>283</v>
      </c>
      <c r="D20" t="s">
        <v>284</v>
      </c>
      <c r="E20" s="24" t="s">
        <v>285</v>
      </c>
    </row>
    <row r="21" spans="1:5" x14ac:dyDescent="0.3">
      <c r="A21" t="s">
        <v>265</v>
      </c>
      <c r="B21">
        <f>$F12*$C$3</f>
        <v>0.18138563080931039</v>
      </c>
      <c r="C21">
        <f>$G12*$C$4</f>
        <v>1.7753710415993999E-3</v>
      </c>
      <c r="D21">
        <f>$H12*$C$5</f>
        <v>9.2035118051600005E-3</v>
      </c>
      <c r="E21" s="24">
        <f>SUM($B21:$D21)</f>
        <v>0.19236451365606977</v>
      </c>
    </row>
    <row r="22" spans="1:5" x14ac:dyDescent="0.3">
      <c r="A22" t="s">
        <v>261</v>
      </c>
      <c r="B22">
        <f>$F13*$C$3</f>
        <v>0.17097258485410782</v>
      </c>
      <c r="C22">
        <f t="shared" ref="C22:C24" si="4">$G13*$C$4</f>
        <v>1.6525391323392001E-3</v>
      </c>
      <c r="D22">
        <f t="shared" ref="D22:D24" si="5">$H13*$C$5</f>
        <v>3.5588092086526003E-2</v>
      </c>
      <c r="E22" s="24">
        <f t="shared" ref="E22:E23" si="6">SUM($B22:$D22)</f>
        <v>0.20821321607297302</v>
      </c>
    </row>
    <row r="23" spans="1:5" x14ac:dyDescent="0.3">
      <c r="A23" t="s">
        <v>262</v>
      </c>
      <c r="B23">
        <f>$F14*$C$3</f>
        <v>0.14417701064631622</v>
      </c>
      <c r="C23">
        <f t="shared" si="4"/>
        <v>2.7403655332823998E-3</v>
      </c>
      <c r="D23">
        <f t="shared" si="5"/>
        <v>0.10084019060403399</v>
      </c>
      <c r="E23" s="24">
        <f t="shared" si="6"/>
        <v>0.24775756678363262</v>
      </c>
    </row>
    <row r="24" spans="1:5" x14ac:dyDescent="0.3">
      <c r="A24" t="s">
        <v>263</v>
      </c>
      <c r="B24">
        <f>$F15*$C$3</f>
        <v>9.0057369026559999E-4</v>
      </c>
      <c r="C24">
        <f t="shared" si="4"/>
        <v>0.24575792429277898</v>
      </c>
      <c r="D24">
        <f t="shared" si="5"/>
        <v>3.266806993266E-3</v>
      </c>
      <c r="E24" s="24">
        <f>SUM($B24:$D24)</f>
        <v>0.2499253049763106</v>
      </c>
    </row>
    <row r="25" spans="1:5" x14ac:dyDescent="0.3">
      <c r="A25" s="22"/>
    </row>
    <row r="26" spans="1:5" x14ac:dyDescent="0.3">
      <c r="A26" s="22"/>
    </row>
    <row r="27" spans="1:5" x14ac:dyDescent="0.3">
      <c r="A27" s="22"/>
    </row>
    <row r="28" spans="1:5" x14ac:dyDescent="0.3">
      <c r="A28" s="22"/>
    </row>
    <row r="29" spans="1:5" x14ac:dyDescent="0.3">
      <c r="A29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283E-0600-4FF6-B583-5337622F636B}">
  <dimension ref="A1:H61"/>
  <sheetViews>
    <sheetView topLeftCell="A37" workbookViewId="0">
      <selection activeCell="N63" sqref="N63"/>
    </sheetView>
  </sheetViews>
  <sheetFormatPr defaultRowHeight="14.4" x14ac:dyDescent="0.3"/>
  <cols>
    <col min="1" max="1" width="17.6640625" customWidth="1"/>
    <col min="2" max="2" width="9.21875" bestFit="1" customWidth="1"/>
    <col min="6" max="6" width="8.21875" style="31" customWidth="1"/>
    <col min="8" max="8" width="6" customWidth="1"/>
  </cols>
  <sheetData>
    <row r="1" spans="1:8" x14ac:dyDescent="0.3">
      <c r="A1" t="s">
        <v>0</v>
      </c>
      <c r="B1" t="s">
        <v>295</v>
      </c>
      <c r="C1" t="s">
        <v>296</v>
      </c>
      <c r="D1" t="s">
        <v>297</v>
      </c>
      <c r="E1" t="s">
        <v>298</v>
      </c>
      <c r="F1" s="31" t="s">
        <v>299</v>
      </c>
      <c r="G1" t="s">
        <v>300</v>
      </c>
      <c r="H1" t="s">
        <v>301</v>
      </c>
    </row>
    <row r="2" spans="1:8" x14ac:dyDescent="0.3">
      <c r="A2" t="s">
        <v>6</v>
      </c>
      <c r="B2">
        <v>1</v>
      </c>
      <c r="C2" s="30">
        <v>1.3405504201213665</v>
      </c>
      <c r="D2" s="30">
        <v>0.69314719999999996</v>
      </c>
      <c r="E2">
        <v>4</v>
      </c>
      <c r="F2" s="31" t="s">
        <v>157</v>
      </c>
      <c r="G2">
        <v>2</v>
      </c>
      <c r="H2">
        <v>3</v>
      </c>
    </row>
    <row r="3" spans="1:8" x14ac:dyDescent="0.3">
      <c r="A3" t="s">
        <v>9</v>
      </c>
      <c r="B3">
        <v>2</v>
      </c>
      <c r="C3" s="30">
        <v>1.418195190130721</v>
      </c>
      <c r="D3" s="30">
        <v>0.33304479999999997</v>
      </c>
      <c r="E3">
        <v>14</v>
      </c>
      <c r="F3" s="31">
        <v>82</v>
      </c>
      <c r="G3">
        <v>4</v>
      </c>
      <c r="H3">
        <v>2</v>
      </c>
    </row>
    <row r="4" spans="1:8" x14ac:dyDescent="0.3">
      <c r="A4" t="s">
        <v>13</v>
      </c>
      <c r="B4">
        <v>1</v>
      </c>
      <c r="C4" s="30">
        <v>1.1481859064652966</v>
      </c>
      <c r="D4" s="30">
        <v>0</v>
      </c>
      <c r="E4">
        <v>2</v>
      </c>
      <c r="F4" s="31" t="s">
        <v>157</v>
      </c>
      <c r="G4">
        <v>3</v>
      </c>
      <c r="H4">
        <v>3</v>
      </c>
    </row>
    <row r="5" spans="1:8" x14ac:dyDescent="0.3">
      <c r="A5" t="s">
        <v>14</v>
      </c>
      <c r="B5">
        <v>1</v>
      </c>
      <c r="C5" s="30">
        <v>1.3405504201213665</v>
      </c>
      <c r="D5" s="30">
        <v>0.89587969999999995</v>
      </c>
      <c r="E5">
        <v>5</v>
      </c>
      <c r="F5" s="31" t="s">
        <v>157</v>
      </c>
      <c r="G5">
        <v>2</v>
      </c>
      <c r="H5">
        <v>3</v>
      </c>
    </row>
    <row r="6" spans="1:8" x14ac:dyDescent="0.3">
      <c r="A6" t="s">
        <v>15</v>
      </c>
      <c r="B6">
        <v>3</v>
      </c>
      <c r="C6" s="30">
        <v>2.1130511482327714</v>
      </c>
      <c r="D6" s="30">
        <v>0.92761729999999998</v>
      </c>
      <c r="E6">
        <v>15</v>
      </c>
      <c r="F6" s="31">
        <v>521</v>
      </c>
      <c r="G6">
        <v>1</v>
      </c>
      <c r="H6">
        <v>7</v>
      </c>
    </row>
    <row r="7" spans="1:8" x14ac:dyDescent="0.3">
      <c r="A7" t="s">
        <v>16</v>
      </c>
      <c r="B7">
        <v>3</v>
      </c>
      <c r="C7" s="30">
        <v>2.2366432834176742</v>
      </c>
      <c r="D7" s="30">
        <v>1.0126113000000001</v>
      </c>
      <c r="E7">
        <v>14</v>
      </c>
      <c r="F7" s="31" t="s">
        <v>157</v>
      </c>
      <c r="G7">
        <v>5</v>
      </c>
      <c r="H7">
        <v>3</v>
      </c>
    </row>
    <row r="8" spans="1:8" x14ac:dyDescent="0.3">
      <c r="A8" t="s">
        <v>18</v>
      </c>
      <c r="B8">
        <v>2</v>
      </c>
      <c r="C8" s="30">
        <v>1.5487636361943395</v>
      </c>
      <c r="D8" s="30">
        <v>0.69314719999999996</v>
      </c>
      <c r="E8">
        <v>8</v>
      </c>
      <c r="F8" s="31" t="s">
        <v>157</v>
      </c>
      <c r="G8">
        <v>3</v>
      </c>
      <c r="H8">
        <v>3</v>
      </c>
    </row>
    <row r="9" spans="1:8" x14ac:dyDescent="0.3">
      <c r="A9" t="s">
        <v>19</v>
      </c>
      <c r="B9">
        <v>5</v>
      </c>
      <c r="C9" s="30">
        <v>3.3452848391723116</v>
      </c>
      <c r="D9" s="30">
        <v>1.5794589999999999</v>
      </c>
      <c r="E9">
        <v>43</v>
      </c>
      <c r="F9" s="31">
        <v>287</v>
      </c>
      <c r="G9">
        <v>5</v>
      </c>
      <c r="H9">
        <v>4</v>
      </c>
    </row>
    <row r="10" spans="1:8" x14ac:dyDescent="0.3">
      <c r="A10" t="s">
        <v>20</v>
      </c>
      <c r="B10">
        <v>4</v>
      </c>
      <c r="C10" s="30">
        <v>2.4844008502013071</v>
      </c>
      <c r="D10" s="30">
        <v>0.98028990000000005</v>
      </c>
      <c r="E10">
        <v>16</v>
      </c>
      <c r="F10" s="31" t="s">
        <v>157</v>
      </c>
      <c r="G10">
        <v>8</v>
      </c>
      <c r="H10">
        <v>3</v>
      </c>
    </row>
    <row r="11" spans="1:8" x14ac:dyDescent="0.3">
      <c r="A11" t="s">
        <v>21</v>
      </c>
      <c r="B11">
        <v>2</v>
      </c>
      <c r="C11" s="30">
        <v>1.796521202977972</v>
      </c>
      <c r="D11" s="30">
        <v>0.65167390000000003</v>
      </c>
      <c r="E11">
        <v>13</v>
      </c>
      <c r="F11" s="31">
        <v>58</v>
      </c>
      <c r="G11">
        <v>4</v>
      </c>
      <c r="H11">
        <v>3</v>
      </c>
    </row>
    <row r="12" spans="1:8" x14ac:dyDescent="0.3">
      <c r="A12" t="s">
        <v>23</v>
      </c>
      <c r="B12">
        <v>5</v>
      </c>
      <c r="C12" s="30">
        <v>2.7084627686911831</v>
      </c>
      <c r="D12" s="30">
        <v>0.8397249</v>
      </c>
      <c r="E12">
        <v>43</v>
      </c>
      <c r="F12" s="31">
        <v>458</v>
      </c>
      <c r="G12">
        <v>8</v>
      </c>
      <c r="H12">
        <v>3</v>
      </c>
    </row>
    <row r="13" spans="1:8" x14ac:dyDescent="0.3">
      <c r="A13" t="s">
        <v>24</v>
      </c>
      <c r="B13">
        <v>2</v>
      </c>
      <c r="C13" s="30">
        <v>1.7638529630328825</v>
      </c>
      <c r="D13" s="30">
        <v>1.2569249</v>
      </c>
      <c r="E13">
        <v>25</v>
      </c>
      <c r="F13" s="31">
        <v>23</v>
      </c>
      <c r="G13">
        <v>3</v>
      </c>
      <c r="H13">
        <v>1</v>
      </c>
    </row>
    <row r="14" spans="1:8" x14ac:dyDescent="0.3">
      <c r="A14" t="s">
        <v>25</v>
      </c>
      <c r="B14">
        <v>2</v>
      </c>
      <c r="C14" s="30">
        <v>1.3959434732489293</v>
      </c>
      <c r="D14" s="30">
        <v>0.17328679999999999</v>
      </c>
      <c r="E14">
        <v>1.5</v>
      </c>
      <c r="F14" s="31" t="s">
        <v>157</v>
      </c>
      <c r="G14">
        <v>4</v>
      </c>
      <c r="H14">
        <v>3</v>
      </c>
    </row>
    <row r="15" spans="1:8" x14ac:dyDescent="0.3">
      <c r="A15" t="s">
        <v>26</v>
      </c>
      <c r="B15">
        <v>3</v>
      </c>
      <c r="C15" s="30">
        <v>2.0360299848909849</v>
      </c>
      <c r="D15" s="30">
        <v>1.8356357000000001</v>
      </c>
      <c r="E15">
        <v>36</v>
      </c>
      <c r="F15" s="31">
        <v>129</v>
      </c>
      <c r="G15">
        <v>3</v>
      </c>
      <c r="H15">
        <v>1</v>
      </c>
    </row>
    <row r="16" spans="1:8" x14ac:dyDescent="0.3">
      <c r="A16" t="s">
        <v>27</v>
      </c>
      <c r="B16">
        <v>4</v>
      </c>
      <c r="C16" s="30">
        <v>2.3147611497277105</v>
      </c>
      <c r="D16" s="30">
        <v>1.1404776000000001</v>
      </c>
      <c r="E16">
        <v>25</v>
      </c>
      <c r="F16" s="31">
        <v>19</v>
      </c>
      <c r="G16">
        <v>15</v>
      </c>
      <c r="H16">
        <v>1</v>
      </c>
    </row>
    <row r="17" spans="1:8" x14ac:dyDescent="0.3">
      <c r="A17" t="s">
        <v>29</v>
      </c>
      <c r="B17">
        <v>4</v>
      </c>
      <c r="C17" s="30">
        <v>2.6329857368745069</v>
      </c>
      <c r="D17" s="30">
        <v>1.1065031999999999</v>
      </c>
      <c r="E17">
        <v>19</v>
      </c>
      <c r="F17" s="31">
        <v>286</v>
      </c>
      <c r="G17">
        <v>4</v>
      </c>
      <c r="H17">
        <v>5</v>
      </c>
    </row>
    <row r="18" spans="1:8" x14ac:dyDescent="0.3">
      <c r="A18" t="s">
        <v>30</v>
      </c>
      <c r="B18">
        <v>5</v>
      </c>
      <c r="C18" s="30">
        <v>3.384829189882971</v>
      </c>
      <c r="D18" s="30">
        <v>1.1731406</v>
      </c>
      <c r="E18">
        <v>25.5</v>
      </c>
      <c r="F18" s="31">
        <v>216</v>
      </c>
      <c r="G18">
        <v>7</v>
      </c>
      <c r="H18">
        <v>7</v>
      </c>
    </row>
    <row r="19" spans="1:8" x14ac:dyDescent="0.3">
      <c r="A19" t="s">
        <v>31</v>
      </c>
      <c r="B19">
        <v>4</v>
      </c>
      <c r="C19" s="30">
        <v>2.5976766624360579</v>
      </c>
      <c r="D19" s="30">
        <v>1.2637924</v>
      </c>
      <c r="E19">
        <v>80</v>
      </c>
      <c r="F19" s="31">
        <v>251</v>
      </c>
      <c r="G19">
        <v>4</v>
      </c>
      <c r="H19">
        <v>3</v>
      </c>
    </row>
    <row r="20" spans="1:8" x14ac:dyDescent="0.3">
      <c r="A20" t="s">
        <v>33</v>
      </c>
      <c r="B20">
        <v>5</v>
      </c>
      <c r="C20" s="30">
        <v>2.7084627686911831</v>
      </c>
      <c r="D20" s="30">
        <v>0.59592979999999995</v>
      </c>
      <c r="E20">
        <v>36</v>
      </c>
      <c r="F20" s="31" t="s">
        <v>157</v>
      </c>
      <c r="G20">
        <v>7</v>
      </c>
      <c r="H20">
        <v>3</v>
      </c>
    </row>
    <row r="21" spans="1:8" x14ac:dyDescent="0.3">
      <c r="A21" t="s">
        <v>35</v>
      </c>
      <c r="B21">
        <v>1</v>
      </c>
      <c r="C21" s="30">
        <v>1.1481859064652966</v>
      </c>
      <c r="D21" s="30">
        <v>0</v>
      </c>
      <c r="E21">
        <v>2</v>
      </c>
      <c r="F21" s="31" t="s">
        <v>157</v>
      </c>
      <c r="G21">
        <v>1</v>
      </c>
      <c r="H21">
        <v>3</v>
      </c>
    </row>
    <row r="22" spans="1:8" x14ac:dyDescent="0.3">
      <c r="A22" t="s">
        <v>36</v>
      </c>
      <c r="B22">
        <v>5</v>
      </c>
      <c r="C22" s="30">
        <v>2.905162758732609</v>
      </c>
      <c r="D22" s="30">
        <v>0.97886019999999996</v>
      </c>
      <c r="E22">
        <v>50</v>
      </c>
      <c r="F22" s="31">
        <v>322</v>
      </c>
      <c r="G22">
        <v>4</v>
      </c>
      <c r="H22">
        <v>4</v>
      </c>
    </row>
    <row r="23" spans="1:8" x14ac:dyDescent="0.3">
      <c r="A23" t="s">
        <v>37</v>
      </c>
      <c r="B23">
        <v>3</v>
      </c>
      <c r="C23" s="30">
        <v>1.8914586068161945</v>
      </c>
      <c r="D23" s="30">
        <v>0.41937340000000001</v>
      </c>
      <c r="E23">
        <v>4</v>
      </c>
      <c r="F23" s="31" t="s">
        <v>157</v>
      </c>
      <c r="G23">
        <v>8</v>
      </c>
      <c r="H23">
        <v>3</v>
      </c>
    </row>
    <row r="24" spans="1:8" x14ac:dyDescent="0.3">
      <c r="A24" t="s">
        <v>258</v>
      </c>
      <c r="B24">
        <v>1</v>
      </c>
      <c r="C24" s="30">
        <v>1.3405504201213665</v>
      </c>
      <c r="D24" s="30">
        <v>0.6648307</v>
      </c>
      <c r="E24">
        <v>6</v>
      </c>
      <c r="F24" s="31" t="s">
        <v>157</v>
      </c>
      <c r="G24">
        <v>2</v>
      </c>
      <c r="H24">
        <v>3</v>
      </c>
    </row>
    <row r="25" spans="1:8" x14ac:dyDescent="0.3">
      <c r="A25" t="s">
        <v>38</v>
      </c>
      <c r="B25">
        <v>2</v>
      </c>
      <c r="C25" s="30">
        <v>1.6437010400325618</v>
      </c>
      <c r="D25" s="30">
        <v>0.27725889999999997</v>
      </c>
      <c r="E25">
        <v>2.5</v>
      </c>
      <c r="F25" s="31" t="s">
        <v>157</v>
      </c>
      <c r="G25">
        <v>5</v>
      </c>
      <c r="H25">
        <v>3</v>
      </c>
    </row>
    <row r="26" spans="1:8" x14ac:dyDescent="0.3">
      <c r="A26" t="s">
        <v>180</v>
      </c>
      <c r="B26">
        <v>1</v>
      </c>
      <c r="C26" s="30">
        <v>1.1481859064652966</v>
      </c>
      <c r="D26" s="30">
        <v>0</v>
      </c>
      <c r="E26">
        <v>0</v>
      </c>
      <c r="F26" s="31" t="s">
        <v>157</v>
      </c>
      <c r="G26">
        <v>1</v>
      </c>
      <c r="H26">
        <v>3</v>
      </c>
    </row>
    <row r="27" spans="1:8" x14ac:dyDescent="0.3">
      <c r="A27" t="s">
        <v>181</v>
      </c>
      <c r="B27">
        <v>1</v>
      </c>
      <c r="C27" s="30">
        <v>1.1481859064652966</v>
      </c>
      <c r="D27" s="30">
        <v>0</v>
      </c>
      <c r="E27">
        <v>0</v>
      </c>
      <c r="F27" s="31" t="s">
        <v>157</v>
      </c>
      <c r="G27">
        <v>1</v>
      </c>
      <c r="H27">
        <v>3</v>
      </c>
    </row>
    <row r="28" spans="1:8" x14ac:dyDescent="0.3">
      <c r="A28" t="s">
        <v>39</v>
      </c>
      <c r="B28">
        <v>5</v>
      </c>
      <c r="C28" s="30">
        <v>3.3452848391723116</v>
      </c>
      <c r="D28" s="30">
        <v>1.4416310999999999</v>
      </c>
      <c r="E28">
        <v>54</v>
      </c>
      <c r="F28" s="31">
        <v>261</v>
      </c>
      <c r="G28">
        <v>5</v>
      </c>
      <c r="H28">
        <v>5</v>
      </c>
    </row>
    <row r="29" spans="1:8" x14ac:dyDescent="0.3">
      <c r="A29" t="s">
        <v>182</v>
      </c>
      <c r="B29">
        <v>1</v>
      </c>
      <c r="C29" s="30">
        <v>1.1481859064652966</v>
      </c>
      <c r="D29" s="30">
        <v>0</v>
      </c>
      <c r="E29">
        <v>0</v>
      </c>
      <c r="F29" s="31" t="s">
        <v>157</v>
      </c>
      <c r="G29">
        <v>3</v>
      </c>
      <c r="H29">
        <v>3</v>
      </c>
    </row>
    <row r="30" spans="1:8" x14ac:dyDescent="0.3">
      <c r="A30" t="s">
        <v>40</v>
      </c>
      <c r="B30">
        <v>3</v>
      </c>
      <c r="C30" s="30">
        <v>2.1949311945143366</v>
      </c>
      <c r="D30" s="30">
        <v>1.0741605999999999</v>
      </c>
      <c r="E30">
        <v>22.5</v>
      </c>
      <c r="F30" s="31" t="s">
        <v>157</v>
      </c>
      <c r="G30">
        <v>6</v>
      </c>
      <c r="H30">
        <v>1</v>
      </c>
    </row>
    <row r="31" spans="1:8" x14ac:dyDescent="0.3">
      <c r="A31" t="s">
        <v>41</v>
      </c>
      <c r="B31">
        <v>2</v>
      </c>
      <c r="C31" s="30">
        <v>1.6041566893219021</v>
      </c>
      <c r="D31" s="30">
        <v>0.49254540000000002</v>
      </c>
      <c r="E31">
        <v>11</v>
      </c>
      <c r="F31" s="31" t="s">
        <v>157</v>
      </c>
      <c r="G31">
        <v>4</v>
      </c>
      <c r="H31">
        <v>3</v>
      </c>
    </row>
    <row r="32" spans="1:8" x14ac:dyDescent="0.3">
      <c r="A32" t="s">
        <v>42</v>
      </c>
      <c r="B32">
        <v>3</v>
      </c>
      <c r="C32" s="30">
        <v>2.0755743356016447</v>
      </c>
      <c r="D32" s="30">
        <v>1.4686503</v>
      </c>
      <c r="E32">
        <v>23</v>
      </c>
      <c r="F32" s="31">
        <v>57</v>
      </c>
      <c r="G32">
        <v>4</v>
      </c>
      <c r="H32">
        <v>2</v>
      </c>
    </row>
    <row r="33" spans="1:8" x14ac:dyDescent="0.3">
      <c r="A33" t="s">
        <v>43</v>
      </c>
      <c r="B33">
        <v>3</v>
      </c>
      <c r="C33" s="30">
        <v>1.8360655536886317</v>
      </c>
      <c r="D33" s="30">
        <v>0.84400660000000005</v>
      </c>
      <c r="E33">
        <v>6</v>
      </c>
      <c r="F33" s="31">
        <v>1</v>
      </c>
      <c r="G33">
        <v>5</v>
      </c>
      <c r="H33">
        <v>3</v>
      </c>
    </row>
    <row r="34" spans="1:8" x14ac:dyDescent="0.3">
      <c r="A34" t="s">
        <v>44</v>
      </c>
      <c r="B34">
        <v>1</v>
      </c>
      <c r="C34" s="30">
        <v>1.1481859064652966</v>
      </c>
      <c r="D34" s="30">
        <v>0.25020120000000001</v>
      </c>
      <c r="E34">
        <v>6</v>
      </c>
      <c r="F34" s="31" t="s">
        <v>157</v>
      </c>
      <c r="G34">
        <v>2</v>
      </c>
      <c r="H34">
        <v>3</v>
      </c>
    </row>
    <row r="35" spans="1:8" x14ac:dyDescent="0.3">
      <c r="A35" t="s">
        <v>45</v>
      </c>
      <c r="B35">
        <v>4</v>
      </c>
      <c r="C35" s="30">
        <v>2.6372210131467173</v>
      </c>
      <c r="D35" s="30">
        <v>1.2018749</v>
      </c>
      <c r="E35">
        <v>20.5</v>
      </c>
      <c r="F35" s="31" t="s">
        <v>157</v>
      </c>
      <c r="G35">
        <v>6</v>
      </c>
      <c r="H35">
        <v>3</v>
      </c>
    </row>
    <row r="36" spans="1:8" x14ac:dyDescent="0.3">
      <c r="A36" t="s">
        <v>47</v>
      </c>
      <c r="B36">
        <v>5</v>
      </c>
      <c r="C36" s="30">
        <v>3.5290786001708145</v>
      </c>
      <c r="D36" s="30">
        <v>1.1663076000000001</v>
      </c>
      <c r="E36">
        <v>35</v>
      </c>
      <c r="F36" s="31">
        <v>164</v>
      </c>
      <c r="G36">
        <v>8</v>
      </c>
      <c r="H36">
        <v>4</v>
      </c>
    </row>
    <row r="37" spans="1:8" x14ac:dyDescent="0.3">
      <c r="A37" t="s">
        <v>48</v>
      </c>
      <c r="B37">
        <v>4</v>
      </c>
      <c r="C37" s="30">
        <v>2.37872495551284</v>
      </c>
      <c r="D37" s="30">
        <v>0.89955309999999999</v>
      </c>
      <c r="E37">
        <v>26.5</v>
      </c>
      <c r="F37" s="31">
        <v>55</v>
      </c>
      <c r="G37">
        <v>8</v>
      </c>
      <c r="H37">
        <v>2</v>
      </c>
    </row>
    <row r="38" spans="1:8" x14ac:dyDescent="0.3">
      <c r="A38" t="s">
        <v>49</v>
      </c>
      <c r="B38">
        <v>1</v>
      </c>
      <c r="C38" s="30">
        <v>1.3405504201213665</v>
      </c>
      <c r="D38" s="30">
        <v>0.54930610000000002</v>
      </c>
      <c r="E38">
        <v>4</v>
      </c>
      <c r="F38" s="31">
        <v>7</v>
      </c>
      <c r="G38">
        <v>2</v>
      </c>
      <c r="H38">
        <v>3</v>
      </c>
    </row>
    <row r="39" spans="1:8" x14ac:dyDescent="0.3">
      <c r="A39" t="s">
        <v>50</v>
      </c>
      <c r="B39">
        <v>4</v>
      </c>
      <c r="C39" s="30">
        <v>2.4117151632448768</v>
      </c>
      <c r="D39" s="30">
        <v>1.5613189999999999</v>
      </c>
      <c r="E39">
        <v>66</v>
      </c>
      <c r="F39" s="31">
        <v>155</v>
      </c>
      <c r="G39">
        <v>4</v>
      </c>
      <c r="H39">
        <v>2</v>
      </c>
    </row>
    <row r="40" spans="1:8" x14ac:dyDescent="0.3">
      <c r="A40" t="s">
        <v>51</v>
      </c>
      <c r="B40">
        <v>4</v>
      </c>
      <c r="C40" s="30">
        <v>2.3169288879203886</v>
      </c>
      <c r="D40" s="30">
        <v>1.0919433000000001</v>
      </c>
      <c r="E40">
        <v>18.5</v>
      </c>
      <c r="F40" s="31">
        <v>2</v>
      </c>
      <c r="G40">
        <v>6</v>
      </c>
      <c r="H40">
        <v>3</v>
      </c>
    </row>
    <row r="41" spans="1:8" x14ac:dyDescent="0.3">
      <c r="A41" t="s">
        <v>52</v>
      </c>
      <c r="B41">
        <v>1</v>
      </c>
      <c r="C41" s="30">
        <v>1.1481859064652966</v>
      </c>
      <c r="D41" s="30">
        <v>0</v>
      </c>
      <c r="E41">
        <v>2</v>
      </c>
      <c r="F41" s="31" t="s">
        <v>157</v>
      </c>
      <c r="G41">
        <v>2</v>
      </c>
      <c r="H41">
        <v>3</v>
      </c>
    </row>
    <row r="42" spans="1:8" x14ac:dyDescent="0.3">
      <c r="A42" t="s">
        <v>53</v>
      </c>
      <c r="B42">
        <v>5</v>
      </c>
      <c r="C42" s="30">
        <v>3.2564284820120304</v>
      </c>
      <c r="D42" s="30">
        <v>1.1124984</v>
      </c>
      <c r="E42">
        <v>24</v>
      </c>
      <c r="F42" s="31">
        <v>586</v>
      </c>
      <c r="G42">
        <v>9</v>
      </c>
      <c r="H42">
        <v>8</v>
      </c>
    </row>
    <row r="43" spans="1:8" x14ac:dyDescent="0.3">
      <c r="A43" t="s">
        <v>54</v>
      </c>
      <c r="B43">
        <v>2</v>
      </c>
      <c r="C43" s="30">
        <v>1.796521202977972</v>
      </c>
      <c r="D43" s="30">
        <v>0.67701259999999996</v>
      </c>
      <c r="E43">
        <v>8</v>
      </c>
      <c r="F43" s="31">
        <v>37</v>
      </c>
      <c r="G43">
        <v>4</v>
      </c>
      <c r="H43">
        <v>3</v>
      </c>
    </row>
    <row r="44" spans="1:8" x14ac:dyDescent="0.3">
      <c r="A44" t="s">
        <v>55</v>
      </c>
      <c r="B44">
        <v>4</v>
      </c>
      <c r="C44" s="30">
        <v>2.4607052019075506</v>
      </c>
      <c r="D44" s="30">
        <v>0.84796269999999996</v>
      </c>
      <c r="E44">
        <v>28</v>
      </c>
      <c r="F44" s="31" t="s">
        <v>157</v>
      </c>
      <c r="G44">
        <v>5</v>
      </c>
      <c r="H44">
        <v>3</v>
      </c>
    </row>
    <row r="45" spans="1:8" x14ac:dyDescent="0.3">
      <c r="A45" t="s">
        <v>56</v>
      </c>
      <c r="B45">
        <v>5</v>
      </c>
      <c r="C45" s="30">
        <v>3.4487929956681005</v>
      </c>
      <c r="D45" s="30">
        <v>1.4234023</v>
      </c>
      <c r="E45">
        <v>26</v>
      </c>
      <c r="F45" s="31">
        <v>818</v>
      </c>
      <c r="G45">
        <v>9</v>
      </c>
      <c r="H45">
        <v>11</v>
      </c>
    </row>
    <row r="46" spans="1:8" x14ac:dyDescent="0.3">
      <c r="A46" t="s">
        <v>57</v>
      </c>
      <c r="B46">
        <v>2</v>
      </c>
      <c r="C46" s="30">
        <v>1.5487636361943395</v>
      </c>
      <c r="D46" s="30">
        <v>0.72274119999999997</v>
      </c>
      <c r="E46">
        <v>10</v>
      </c>
      <c r="F46" s="31" t="s">
        <v>157</v>
      </c>
      <c r="G46">
        <v>3</v>
      </c>
      <c r="H46">
        <v>3</v>
      </c>
    </row>
    <row r="47" spans="1:8" x14ac:dyDescent="0.3">
      <c r="A47" t="s">
        <v>58</v>
      </c>
      <c r="B47">
        <v>2</v>
      </c>
      <c r="C47" s="30">
        <v>1.7411281498504092</v>
      </c>
      <c r="D47" s="30">
        <v>1.0691664999999999</v>
      </c>
      <c r="E47">
        <v>7</v>
      </c>
      <c r="F47" s="31" t="s">
        <v>157</v>
      </c>
      <c r="G47">
        <v>2</v>
      </c>
      <c r="H47">
        <v>3</v>
      </c>
    </row>
    <row r="48" spans="1:8" x14ac:dyDescent="0.3">
      <c r="A48" t="s">
        <v>120</v>
      </c>
      <c r="B48">
        <v>5</v>
      </c>
      <c r="C48" s="30">
        <v>2.9093980350048199</v>
      </c>
      <c r="D48" s="30">
        <v>1.2143702000000001</v>
      </c>
      <c r="E48">
        <v>31.5</v>
      </c>
      <c r="F48" s="31">
        <v>73</v>
      </c>
      <c r="G48">
        <v>6</v>
      </c>
      <c r="H48">
        <v>3</v>
      </c>
    </row>
    <row r="49" spans="1:8" x14ac:dyDescent="0.3">
      <c r="A49" t="s">
        <v>59</v>
      </c>
      <c r="B49">
        <v>1</v>
      </c>
      <c r="C49" s="30">
        <v>1.1481859064652966</v>
      </c>
      <c r="D49" s="30">
        <v>0</v>
      </c>
      <c r="E49">
        <v>1</v>
      </c>
      <c r="F49" s="31" t="s">
        <v>157</v>
      </c>
      <c r="G49">
        <v>1</v>
      </c>
      <c r="H49">
        <v>3</v>
      </c>
    </row>
    <row r="50" spans="1:8" x14ac:dyDescent="0.3">
      <c r="A50" t="s">
        <v>60</v>
      </c>
      <c r="B50">
        <v>2</v>
      </c>
      <c r="C50" s="30">
        <v>1.6041566893219021</v>
      </c>
      <c r="D50" s="30">
        <v>0.15004149999999999</v>
      </c>
      <c r="E50">
        <v>11</v>
      </c>
      <c r="F50" s="31" t="s">
        <v>157</v>
      </c>
      <c r="G50">
        <v>4</v>
      </c>
      <c r="H50">
        <v>3</v>
      </c>
    </row>
    <row r="51" spans="1:8" x14ac:dyDescent="0.3">
      <c r="A51" t="s">
        <v>61</v>
      </c>
      <c r="B51">
        <v>3</v>
      </c>
      <c r="C51" s="30">
        <v>1.8695288577213496</v>
      </c>
      <c r="D51" s="30">
        <v>1.4059249</v>
      </c>
      <c r="E51">
        <v>14</v>
      </c>
      <c r="F51" s="31">
        <v>15</v>
      </c>
      <c r="G51">
        <v>3</v>
      </c>
      <c r="H51">
        <v>3</v>
      </c>
    </row>
    <row r="52" spans="1:8" x14ac:dyDescent="0.3">
      <c r="A52" t="s">
        <v>62</v>
      </c>
      <c r="B52">
        <v>4</v>
      </c>
      <c r="C52" s="30">
        <v>2.2524919858345775</v>
      </c>
      <c r="D52" s="30">
        <v>0.87331119999999995</v>
      </c>
      <c r="E52">
        <v>22</v>
      </c>
      <c r="F52" s="31" t="s">
        <v>157</v>
      </c>
      <c r="G52">
        <v>6</v>
      </c>
      <c r="H52">
        <v>3</v>
      </c>
    </row>
    <row r="53" spans="1:8" x14ac:dyDescent="0.3">
      <c r="A53" t="s">
        <v>63</v>
      </c>
      <c r="B53">
        <v>3</v>
      </c>
      <c r="C53" s="30">
        <v>2.2280725307601079</v>
      </c>
      <c r="D53" s="30">
        <v>0.63192800000000005</v>
      </c>
      <c r="E53">
        <v>15</v>
      </c>
      <c r="F53" s="31">
        <v>3</v>
      </c>
      <c r="G53">
        <v>9</v>
      </c>
      <c r="H53">
        <v>3</v>
      </c>
    </row>
    <row r="54" spans="1:8" x14ac:dyDescent="0.3">
      <c r="A54" t="s">
        <v>64</v>
      </c>
      <c r="B54">
        <v>5</v>
      </c>
      <c r="C54" s="30">
        <v>2.7153388794567532</v>
      </c>
      <c r="D54" s="30">
        <v>1.1696059000000001</v>
      </c>
      <c r="E54">
        <v>37</v>
      </c>
      <c r="F54" s="31">
        <v>14</v>
      </c>
      <c r="G54">
        <v>11</v>
      </c>
      <c r="H54">
        <v>2</v>
      </c>
    </row>
    <row r="55" spans="1:8" x14ac:dyDescent="0.3">
      <c r="A55" t="s">
        <v>65</v>
      </c>
      <c r="B55">
        <v>3</v>
      </c>
      <c r="C55" s="30">
        <v>2.2198237458894878</v>
      </c>
      <c r="D55" s="30">
        <v>1.4549943999999999</v>
      </c>
      <c r="E55">
        <v>31</v>
      </c>
      <c r="F55" s="31">
        <v>63</v>
      </c>
      <c r="G55">
        <v>4</v>
      </c>
      <c r="H55">
        <v>2</v>
      </c>
    </row>
    <row r="56" spans="1:8" x14ac:dyDescent="0.3">
      <c r="A56" t="s">
        <v>66</v>
      </c>
      <c r="B56">
        <v>4</v>
      </c>
      <c r="C56" s="30">
        <v>2.5066525670830986</v>
      </c>
      <c r="D56" s="30">
        <v>0.91639709999999996</v>
      </c>
      <c r="E56">
        <v>22.5</v>
      </c>
      <c r="F56" s="31">
        <v>62</v>
      </c>
      <c r="G56">
        <v>8</v>
      </c>
      <c r="H56">
        <v>1</v>
      </c>
    </row>
    <row r="57" spans="1:8" x14ac:dyDescent="0.3">
      <c r="A57" t="s">
        <v>68</v>
      </c>
      <c r="B57">
        <v>4</v>
      </c>
      <c r="C57" s="30">
        <v>2.5646864547040211</v>
      </c>
      <c r="D57" s="30">
        <v>0.90562120000000002</v>
      </c>
      <c r="E57">
        <v>25</v>
      </c>
      <c r="F57" s="31">
        <v>33</v>
      </c>
      <c r="G57">
        <v>8</v>
      </c>
      <c r="H57">
        <v>3</v>
      </c>
    </row>
    <row r="58" spans="1:8" x14ac:dyDescent="0.3">
      <c r="A58" t="s">
        <v>69</v>
      </c>
      <c r="B58">
        <v>5</v>
      </c>
      <c r="C58" s="30">
        <v>2.7728996707769942</v>
      </c>
      <c r="D58" s="30">
        <v>1.0286422</v>
      </c>
      <c r="E58">
        <v>50</v>
      </c>
      <c r="F58" s="31">
        <v>54</v>
      </c>
      <c r="G58">
        <v>7</v>
      </c>
      <c r="H58">
        <v>3</v>
      </c>
    </row>
    <row r="59" spans="1:8" x14ac:dyDescent="0.3">
      <c r="A59" t="s">
        <v>83</v>
      </c>
      <c r="B59">
        <v>3</v>
      </c>
      <c r="C59" s="30">
        <v>2.2129476351239177</v>
      </c>
      <c r="D59" s="30">
        <v>0.7926512</v>
      </c>
      <c r="E59">
        <v>54</v>
      </c>
      <c r="F59" s="31" t="s">
        <v>157</v>
      </c>
      <c r="G59">
        <v>4</v>
      </c>
      <c r="H59">
        <v>3</v>
      </c>
    </row>
    <row r="60" spans="1:8" x14ac:dyDescent="0.3">
      <c r="A60" t="s">
        <v>71</v>
      </c>
      <c r="B60">
        <v>1</v>
      </c>
      <c r="C60" s="30">
        <v>1.1481859064652966</v>
      </c>
      <c r="D60" s="30">
        <v>0.53647929999999999</v>
      </c>
      <c r="E60">
        <v>5</v>
      </c>
      <c r="F60" s="31" t="s">
        <v>157</v>
      </c>
      <c r="G60">
        <v>3</v>
      </c>
      <c r="H60">
        <v>3</v>
      </c>
    </row>
    <row r="61" spans="1:8" x14ac:dyDescent="0.3">
      <c r="A6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FinalTable</vt:lpstr>
      <vt:lpstr>TopVarieties</vt:lpstr>
      <vt:lpstr>TopVarietiesforPCA</vt:lpstr>
      <vt:lpstr>AllVarieties</vt:lpstr>
      <vt:lpstr>StandardizedScores</vt:lpstr>
      <vt:lpstr>Star Score</vt:lpstr>
      <vt:lpstr>Quartiles1</vt:lpstr>
      <vt:lpstr>PCAWeights</vt:lpstr>
      <vt:lpstr>Table 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2025-01-01T20:29:02Z</dcterms:created>
  <dcterms:modified xsi:type="dcterms:W3CDTF">2025-09-11T01:41:46Z</dcterms:modified>
</cp:coreProperties>
</file>