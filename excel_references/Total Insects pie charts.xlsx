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ml.chartshapes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Elizabeth\Documents\School\UW Arboretum Hydrangea research\hydrangea_research_uwarb\excel_references\"/>
    </mc:Choice>
  </mc:AlternateContent>
  <xr:revisionPtr revIDLastSave="0" documentId="13_ncr:1_{1B7B3A25-E533-425B-9636-5808DA85E460}" xr6:coauthVersionLast="47" xr6:coauthVersionMax="47" xr10:uidLastSave="{00000000-0000-0000-0000-000000000000}"/>
  <bookViews>
    <workbookView xWindow="8664" yWindow="2136" windowWidth="17268" windowHeight="9960" firstSheet="1" activeTab="1" xr2:uid="{B16929AE-A379-4791-A7B4-499D3073860F}"/>
  </bookViews>
  <sheets>
    <sheet name="Pie charts" sheetId="6" r:id="rId1"/>
    <sheet name="r_piechart_df" sheetId="10" r:id="rId2"/>
    <sheet name="All years" sheetId="5" r:id="rId3"/>
    <sheet name="2019-2022 pivot" sheetId="7" r:id="rId4"/>
    <sheet name="full_insect_list_for_pivot" sheetId="1" r:id="rId5"/>
    <sheet name="full_insect_list_labeled" sheetId="8" r:id="rId6"/>
  </sheets>
  <calcPr calcId="191029"/>
  <pivotCaches>
    <pivotCache cacheId="0" r:id="rId7"/>
    <pivotCache cacheId="1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16" i="8" l="1"/>
  <c r="E116" i="8"/>
  <c r="C23" i="6"/>
  <c r="C27" i="6" s="1"/>
  <c r="C39" i="6"/>
  <c r="C40" i="6"/>
  <c r="C41" i="6"/>
  <c r="C42" i="6"/>
  <c r="C43" i="6"/>
  <c r="B38" i="6"/>
  <c r="C38" i="6" s="1"/>
  <c r="C19" i="7"/>
  <c r="C15" i="7"/>
  <c r="C16" i="7"/>
  <c r="C17" i="7"/>
  <c r="C18" i="7"/>
  <c r="C14" i="7"/>
  <c r="C15" i="6"/>
  <c r="F115" i="8"/>
  <c r="E115" i="8"/>
  <c r="F106" i="8"/>
  <c r="E106" i="8"/>
  <c r="F29" i="8"/>
  <c r="E29" i="8"/>
  <c r="F24" i="8"/>
  <c r="E24" i="8"/>
  <c r="F8" i="8"/>
  <c r="E8" i="8"/>
  <c r="E13" i="5"/>
  <c r="D7" i="5"/>
  <c r="E7" i="5"/>
  <c r="D6" i="5"/>
  <c r="E6" i="5"/>
  <c r="D9" i="5"/>
  <c r="E9" i="5"/>
  <c r="B5" i="5"/>
  <c r="D5" i="5"/>
  <c r="E5" i="5"/>
  <c r="D8" i="5"/>
  <c r="E8" i="5"/>
  <c r="D10" i="5"/>
  <c r="E10" i="5"/>
  <c r="B14" i="7"/>
  <c r="C16" i="6"/>
  <c r="C19" i="6"/>
  <c r="C18" i="6"/>
  <c r="C20" i="6"/>
  <c r="C17" i="6"/>
  <c r="B25" i="6" l="1"/>
  <c r="B24" i="6"/>
  <c r="B26" i="6"/>
  <c r="B23" i="6"/>
  <c r="B27" i="6"/>
</calcChain>
</file>

<file path=xl/sharedStrings.xml><?xml version="1.0" encoding="utf-8"?>
<sst xmlns="http://schemas.openxmlformats.org/spreadsheetml/2006/main" count="1056" uniqueCount="173">
  <si>
    <t>Order</t>
  </si>
  <si>
    <t xml:space="preserve">Family </t>
  </si>
  <si>
    <t>Genus</t>
  </si>
  <si>
    <t>Species</t>
  </si>
  <si>
    <t>Coleoptera</t>
  </si>
  <si>
    <t>Cerambycidae</t>
  </si>
  <si>
    <t>Chrysomelidae</t>
  </si>
  <si>
    <t>Curculionidae</t>
  </si>
  <si>
    <t>Mordellidae</t>
  </si>
  <si>
    <t>Scarabaeoidea</t>
  </si>
  <si>
    <t xml:space="preserve">Unknown </t>
  </si>
  <si>
    <t>Diptera</t>
  </si>
  <si>
    <t>Bombyliidae</t>
  </si>
  <si>
    <t>Calliphoridae</t>
  </si>
  <si>
    <t>Cecidomyiidae</t>
  </si>
  <si>
    <t>Conopidae</t>
  </si>
  <si>
    <t>Culicidae</t>
  </si>
  <si>
    <t>Dolichopodidae</t>
  </si>
  <si>
    <t>Drosophilidae</t>
  </si>
  <si>
    <t>Empididae</t>
  </si>
  <si>
    <t>Muscidae</t>
  </si>
  <si>
    <t>Oestroidea</t>
  </si>
  <si>
    <t xml:space="preserve">Syrphidae </t>
  </si>
  <si>
    <t>Tipulidae</t>
  </si>
  <si>
    <t>Ulidiidae</t>
  </si>
  <si>
    <t>Unknown Bristly Flies, including Tachinidae</t>
  </si>
  <si>
    <t>Hemiptera</t>
  </si>
  <si>
    <t>Aphididae</t>
  </si>
  <si>
    <t>Cicadellidae</t>
  </si>
  <si>
    <t>Miridae</t>
  </si>
  <si>
    <t>Reduviidae</t>
  </si>
  <si>
    <t>Hymenoptera</t>
  </si>
  <si>
    <t>Andrenidae</t>
  </si>
  <si>
    <t>Protandrena</t>
  </si>
  <si>
    <t>Andrena</t>
  </si>
  <si>
    <t>Andrena milwaukeensis</t>
  </si>
  <si>
    <t>Andrena prunorum</t>
  </si>
  <si>
    <t>Panurginus</t>
  </si>
  <si>
    <t>Perdita</t>
  </si>
  <si>
    <t>Pseudopanurgus</t>
  </si>
  <si>
    <t>Apidae</t>
  </si>
  <si>
    <t>Apis</t>
  </si>
  <si>
    <t>Apis mellifera</t>
  </si>
  <si>
    <t>Anthophora</t>
  </si>
  <si>
    <t>Anthophora abrupta</t>
  </si>
  <si>
    <t>Anthophora plumipes</t>
  </si>
  <si>
    <t>Bombus</t>
  </si>
  <si>
    <t>Bombus auricomus</t>
  </si>
  <si>
    <t>Bombus bimaculatus</t>
  </si>
  <si>
    <t>Bombus citrinus</t>
  </si>
  <si>
    <t>Bombus griseocollis</t>
  </si>
  <si>
    <t>Bombus flavidus</t>
  </si>
  <si>
    <t>Bombus impatiens</t>
  </si>
  <si>
    <t>Bombus pensylvanicus</t>
  </si>
  <si>
    <t>Bombus perplexus</t>
  </si>
  <si>
    <t>Bombus rufocinctus</t>
  </si>
  <si>
    <t>Bombus vagans sandersoni</t>
  </si>
  <si>
    <t>Bombus vagans</t>
  </si>
  <si>
    <t>Bombus (other)</t>
  </si>
  <si>
    <t>Bombus (unknown)</t>
  </si>
  <si>
    <t>Brachymelecta</t>
  </si>
  <si>
    <t>Ceratina</t>
  </si>
  <si>
    <t>Diadasia*</t>
  </si>
  <si>
    <t>Epeolus</t>
  </si>
  <si>
    <t>Florilegus</t>
  </si>
  <si>
    <t>Habropoda</t>
  </si>
  <si>
    <t>Melissodes</t>
  </si>
  <si>
    <t>Nomada</t>
  </si>
  <si>
    <t>Xylocopa</t>
  </si>
  <si>
    <t>Xylocopa virginica</t>
  </si>
  <si>
    <t>Unknown</t>
  </si>
  <si>
    <t>Apocrita (suborder)</t>
  </si>
  <si>
    <t>Astatidae</t>
  </si>
  <si>
    <t>Astata*</t>
  </si>
  <si>
    <t>Bembicidae</t>
  </si>
  <si>
    <t>Sphecius</t>
  </si>
  <si>
    <t>Sphecius speciosus</t>
  </si>
  <si>
    <t>Braconidae</t>
  </si>
  <si>
    <t>Chrysididae</t>
  </si>
  <si>
    <t>Colletidae</t>
  </si>
  <si>
    <t>Hylaeus</t>
  </si>
  <si>
    <t>Hylaeus_leptocephalus</t>
  </si>
  <si>
    <t>Hylaeus_modestus</t>
  </si>
  <si>
    <t>Eurytomidae</t>
  </si>
  <si>
    <t>Eurytoma</t>
  </si>
  <si>
    <t>Gasteruptiinae</t>
  </si>
  <si>
    <t>Gasteruption</t>
  </si>
  <si>
    <t>Halictidae</t>
  </si>
  <si>
    <t>Agapostemon</t>
  </si>
  <si>
    <t>Agapostemon splendens</t>
  </si>
  <si>
    <t>Augochlora</t>
  </si>
  <si>
    <t>Augochlorella</t>
  </si>
  <si>
    <t>Augochloropsis</t>
  </si>
  <si>
    <t>Green.Sweatbee</t>
  </si>
  <si>
    <t>Halictus</t>
  </si>
  <si>
    <t>Halictus ligatus</t>
  </si>
  <si>
    <t>Halictus rubicundus</t>
  </si>
  <si>
    <t>Halictus tripartitus</t>
  </si>
  <si>
    <t>Lasioglossum</t>
  </si>
  <si>
    <t>Sphecodes</t>
  </si>
  <si>
    <t>Megachilidae</t>
  </si>
  <si>
    <t>Anthidium</t>
  </si>
  <si>
    <t>Anthidium oblongatum</t>
  </si>
  <si>
    <t>Chelostoma</t>
  </si>
  <si>
    <t>Heriades</t>
  </si>
  <si>
    <t>Megachile</t>
  </si>
  <si>
    <t>Megachile sculpturalis</t>
  </si>
  <si>
    <t>Melissodes bimaculatus</t>
  </si>
  <si>
    <t>Osmia</t>
  </si>
  <si>
    <t>Stelis</t>
  </si>
  <si>
    <t>Melittidae</t>
  </si>
  <si>
    <t>Macropis</t>
  </si>
  <si>
    <t>Note: not included in final count after checked by hand</t>
  </si>
  <si>
    <t>Philanthidae</t>
  </si>
  <si>
    <t>Cerceris</t>
  </si>
  <si>
    <t>Scoliidae</t>
  </si>
  <si>
    <t>Scolia</t>
  </si>
  <si>
    <t>Sphecidae</t>
  </si>
  <si>
    <t>Sphex</t>
  </si>
  <si>
    <t>Vespidae</t>
  </si>
  <si>
    <t>Dolichovespula</t>
  </si>
  <si>
    <t>Dolichovespula maculata</t>
  </si>
  <si>
    <t>Symmorphus</t>
  </si>
  <si>
    <t>Hymenoptera (unknown)</t>
  </si>
  <si>
    <t>Lepidoptera</t>
  </si>
  <si>
    <t>Hesperiidae</t>
  </si>
  <si>
    <t>Epargyreus</t>
  </si>
  <si>
    <t>Epargyreus clarus</t>
  </si>
  <si>
    <t>Lycaenidae</t>
  </si>
  <si>
    <t>Celastrina</t>
  </si>
  <si>
    <t>Celastrina ladon</t>
  </si>
  <si>
    <t>Nymphalidae</t>
  </si>
  <si>
    <t>Libythean</t>
  </si>
  <si>
    <t>Libythean carinenta</t>
  </si>
  <si>
    <t>Polygonia</t>
  </si>
  <si>
    <t>Polygonia comma</t>
  </si>
  <si>
    <t>Vanessa</t>
  </si>
  <si>
    <t>Vanessa atalanta</t>
  </si>
  <si>
    <t>Pieridae</t>
  </si>
  <si>
    <t>Pieris</t>
  </si>
  <si>
    <t>Pieris rapae</t>
  </si>
  <si>
    <t>Lepidoptera (unknown)</t>
  </si>
  <si>
    <t>2019-2022</t>
  </si>
  <si>
    <t>Row Labels</t>
  </si>
  <si>
    <t>Sum of 2024</t>
  </si>
  <si>
    <t>Grand Total</t>
  </si>
  <si>
    <t>Sum of 2019-2022</t>
  </si>
  <si>
    <t>Total</t>
  </si>
  <si>
    <t>Bombus affinis</t>
  </si>
  <si>
    <t>Percentage</t>
  </si>
  <si>
    <t>Affinis</t>
  </si>
  <si>
    <t>Total Coleoptera</t>
  </si>
  <si>
    <t>Total Diptera</t>
  </si>
  <si>
    <t>Total Hemiptera</t>
  </si>
  <si>
    <t>Total Hymenoptera</t>
  </si>
  <si>
    <t>Total Lepidoptera</t>
  </si>
  <si>
    <t>Insect Order</t>
  </si>
  <si>
    <t>Insect Taxa Group (Hymenoptera)</t>
  </si>
  <si>
    <t>Other</t>
  </si>
  <si>
    <t>Apis mellifera*</t>
  </si>
  <si>
    <t>*</t>
  </si>
  <si>
    <t>Unknown Bristly Flies,
 including Tachinidae</t>
  </si>
  <si>
    <t>Hymenoptera
 (unknown)</t>
  </si>
  <si>
    <t>Lepidoptera 
(unknown)</t>
  </si>
  <si>
    <t>Green Sweatbee</t>
  </si>
  <si>
    <t>Hylaeus leptocephalus</t>
  </si>
  <si>
    <t>Hylaeus modestus</t>
  </si>
  <si>
    <t>Total Insects</t>
  </si>
  <si>
    <t>order</t>
  </si>
  <si>
    <t>family</t>
  </si>
  <si>
    <t>Unknown Coleoptera</t>
  </si>
  <si>
    <t>photo_or_abundance</t>
  </si>
  <si>
    <t>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</si>
</sst>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8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2" fillId="0" borderId="0" xfId="0" applyFont="1"/>
    <xf numFmtId="9" fontId="0" fillId="0" borderId="0" xfId="1" applyFont="1"/>
    <xf numFmtId="9" fontId="2" fillId="0" borderId="0" xfId="1" applyFont="1"/>
    <xf numFmtId="0" fontId="0" fillId="0" borderId="0" xfId="0" applyAlignment="1">
      <alignment wrapText="1"/>
    </xf>
    <xf numFmtId="0" fontId="3" fillId="0" borderId="0" xfId="0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/>
              <a:t>2024</a:t>
            </a:r>
            <a:r>
              <a:rPr lang="en-US" sz="2400" baseline="0"/>
              <a:t> Insect Pie Chart</a:t>
            </a:r>
            <a:endParaRPr lang="en-US" sz="2400"/>
          </a:p>
        </c:rich>
      </c:tx>
      <c:layout>
        <c:manualLayout>
          <c:xMode val="edge"/>
          <c:yMode val="edge"/>
          <c:x val="0.33425965281329761"/>
          <c:y val="3.557136505113383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6712988644031569E-2"/>
          <c:y val="0.1879747939250592"/>
          <c:w val="0.83060952126746868"/>
          <c:h val="0.65093944873780585"/>
        </c:manualLayout>
      </c:layout>
      <c:pieChart>
        <c:varyColors val="1"/>
        <c:ser>
          <c:idx val="0"/>
          <c:order val="0"/>
          <c:tx>
            <c:strRef>
              <c:f>'Pie charts'!$B$14</c:f>
              <c:strCache>
                <c:ptCount val="1"/>
                <c:pt idx="0">
                  <c:v>Sum of 2024</c:v>
                </c:pt>
              </c:strCache>
            </c:strRef>
          </c:tx>
          <c:spPr>
            <a:ln>
              <a:solidFill>
                <a:sysClr val="windowText" lastClr="000000">
                  <a:lumMod val="25000"/>
                  <a:lumOff val="75000"/>
                  <a:alpha val="93000"/>
                </a:sysClr>
              </a:solidFill>
            </a:ln>
          </c:spPr>
          <c:dPt>
            <c:idx val="0"/>
            <c:bubble3D val="0"/>
            <c:spPr>
              <a:solidFill>
                <a:schemeClr val="accent5"/>
              </a:solidFill>
              <a:ln w="25400">
                <a:solidFill>
                  <a:schemeClr val="tx1">
                    <a:alpha val="9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A7B2-41E0-ACA0-DD569F1BF25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ysClr val="windowText" lastClr="000000">
                    <a:lumMod val="25000"/>
                    <a:lumOff val="75000"/>
                    <a:alpha val="93000"/>
                  </a:sys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A7B2-41E0-ACA0-DD569F1BF25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ysClr val="windowText" lastClr="000000">
                    <a:lumMod val="25000"/>
                    <a:lumOff val="75000"/>
                    <a:alpha val="93000"/>
                  </a:sys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7B2-41E0-ACA0-DD569F1BF251}"/>
              </c:ext>
            </c:extLst>
          </c:dPt>
          <c:dPt>
            <c:idx val="3"/>
            <c:bubble3D val="0"/>
            <c:spPr>
              <a:solidFill>
                <a:schemeClr val="accent1"/>
              </a:solidFill>
              <a:ln w="19050">
                <a:solidFill>
                  <a:sysClr val="windowText" lastClr="000000">
                    <a:lumMod val="25000"/>
                    <a:lumOff val="75000"/>
                    <a:alpha val="93000"/>
                  </a:sys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7B2-41E0-ACA0-DD569F1BF251}"/>
              </c:ext>
            </c:extLst>
          </c:dPt>
          <c:dPt>
            <c:idx val="4"/>
            <c:bubble3D val="0"/>
            <c:spPr>
              <a:solidFill>
                <a:schemeClr val="bg2"/>
              </a:solidFill>
              <a:ln w="19050">
                <a:solidFill>
                  <a:sysClr val="windowText" lastClr="000000">
                    <a:lumMod val="25000"/>
                    <a:lumOff val="75000"/>
                    <a:alpha val="93000"/>
                  </a:sys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A7B2-41E0-ACA0-DD569F1BF251}"/>
              </c:ext>
            </c:extLst>
          </c:dPt>
          <c:dLbls>
            <c:dLbl>
              <c:idx val="0"/>
              <c:layout>
                <c:manualLayout>
                  <c:x val="-8.7064425729949362E-3"/>
                  <c:y val="-0.36394398099215769"/>
                </c:manualLayout>
              </c:layout>
              <c:showLegendKey val="1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A7B2-41E0-ACA0-DD569F1BF251}"/>
                </c:ext>
              </c:extLst>
            </c:dLbl>
            <c:dLbl>
              <c:idx val="1"/>
              <c:layout>
                <c:manualLayout>
                  <c:x val="-5.4199955334951852E-2"/>
                  <c:y val="2.2470019858757784E-3"/>
                </c:manualLayout>
              </c:layout>
              <c:showLegendKey val="1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7B2-41E0-ACA0-DD569F1BF251}"/>
                </c:ext>
              </c:extLst>
            </c:dLbl>
            <c:dLbl>
              <c:idx val="2"/>
              <c:layout>
                <c:manualLayout>
                  <c:x val="-0.15720560090098526"/>
                  <c:y val="1.7915457321947697E-2"/>
                </c:manualLayout>
              </c:layout>
              <c:showLegendKey val="1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7B2-41E0-ACA0-DD569F1BF251}"/>
                </c:ext>
              </c:extLst>
            </c:dLbl>
            <c:dLbl>
              <c:idx val="3"/>
              <c:layout>
                <c:manualLayout>
                  <c:x val="-1.0967430535044058E-2"/>
                  <c:y val="-2.2869014983620602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1800" b="0" i="0" u="none" strike="noStrike" kern="1200" baseline="0"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CEDE199F-FAFF-42AE-BE8F-ECEAAEAA4C71}" type="CATEGORYNAME">
                      <a:rPr lang="en-US" sz="1800"/>
                      <a:pPr>
                        <a:defRPr sz="1800"/>
                      </a:pPr>
                      <a:t>[CATEGORY NAME]</a:t>
                    </a:fld>
                    <a:r>
                      <a:rPr lang="en-US" sz="1800" baseline="0"/>
                      <a:t> </a:t>
                    </a:r>
                  </a:p>
                  <a:p>
                    <a:pPr>
                      <a:defRPr sz="1800"/>
                    </a:pPr>
                    <a:fld id="{C27BAD0B-1077-4034-9218-8C9BAC296E92}" type="PERCENTAGE">
                      <a:rPr lang="en-US" sz="1800" baseline="0"/>
                      <a:pPr>
                        <a:defRPr sz="1800"/>
                      </a:pPr>
                      <a:t>[PERCENTAGE]</a:t>
                    </a:fld>
                    <a:endParaRPr lang="en-US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8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1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556824267048961"/>
                      <c:h val="7.6109300254764714E-2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A7B2-41E0-ACA0-DD569F1BF251}"/>
                </c:ext>
              </c:extLst>
            </c:dLbl>
            <c:dLbl>
              <c:idx val="4"/>
              <c:layout>
                <c:manualLayout>
                  <c:x val="0.20405107184108848"/>
                  <c:y val="2.7763753852689269E-2"/>
                </c:manualLayout>
              </c:layout>
              <c:tx>
                <c:rich>
                  <a:bodyPr/>
                  <a:lstStyle/>
                  <a:p>
                    <a:fld id="{58194415-DE84-43BA-B1A0-0711DE43E811}" type="CATEGORYNAME">
                      <a:rPr lang="en-US"/>
                      <a:pPr/>
                      <a:t>[CATEGORY NAME]</a:t>
                    </a:fld>
                    <a:r>
                      <a:rPr lang="en-US" baseline="0"/>
                      <a:t>
rounded to </a:t>
                    </a:r>
                    <a:fld id="{CC002AF9-308D-4055-9910-01C13E4549C8}" type="PERCENTAGE">
                      <a:rPr lang="en-US" baseline="0"/>
                      <a:pPr/>
                      <a:t>[PERCENTAGE]</a:t>
                    </a:fld>
                    <a:endParaRPr lang="en-US" baseline="0"/>
                  </a:p>
                </c:rich>
              </c:tx>
              <c:showLegendKey val="1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5-A7B2-41E0-ACA0-DD569F1BF251}"/>
                </c:ext>
              </c:extLst>
            </c:dLbl>
            <c:dLbl>
              <c:idx val="5"/>
              <c:layout>
                <c:manualLayout>
                  <c:x val="-3.9032089195620907E-2"/>
                  <c:y val="-0.10434856813358154"/>
                </c:manualLayout>
              </c:layout>
              <c:showLegendKey val="1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A7B2-41E0-ACA0-DD569F1BF25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1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'Pie charts'!$A$15:$A$19</c:f>
              <c:strCache>
                <c:ptCount val="5"/>
                <c:pt idx="0">
                  <c:v>Hymenoptera</c:v>
                </c:pt>
                <c:pt idx="1">
                  <c:v>Diptera</c:v>
                </c:pt>
                <c:pt idx="2">
                  <c:v>Coleoptera</c:v>
                </c:pt>
                <c:pt idx="3">
                  <c:v>Lepidoptera</c:v>
                </c:pt>
                <c:pt idx="4">
                  <c:v>Hemiptera</c:v>
                </c:pt>
              </c:strCache>
            </c:strRef>
          </c:cat>
          <c:val>
            <c:numRef>
              <c:f>'Pie charts'!$B$15:$B$19</c:f>
              <c:numCache>
                <c:formatCode>General</c:formatCode>
                <c:ptCount val="5"/>
                <c:pt idx="0">
                  <c:v>1288</c:v>
                </c:pt>
                <c:pt idx="1">
                  <c:v>568</c:v>
                </c:pt>
                <c:pt idx="2">
                  <c:v>34</c:v>
                </c:pt>
                <c:pt idx="3">
                  <c:v>18</c:v>
                </c:pt>
                <c:pt idx="4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B2-41E0-ACA0-DD569F1BF2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/>
              <a:t>2019-2022 Insect Pie Chart</a:t>
            </a:r>
          </a:p>
        </c:rich>
      </c:tx>
      <c:layout>
        <c:manualLayout>
          <c:xMode val="edge"/>
          <c:yMode val="edge"/>
          <c:x val="0.3361289083161183"/>
          <c:y val="3.865159739500810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537705956907478"/>
          <c:y val="0.18912313002374034"/>
          <c:w val="0.70072877059569072"/>
          <c:h val="0.65789082254945708"/>
        </c:manualLayout>
      </c:layout>
      <c:pieChart>
        <c:varyColors val="1"/>
        <c:ser>
          <c:idx val="0"/>
          <c:order val="0"/>
          <c:tx>
            <c:strRef>
              <c:f>'Pie charts'!$B$37</c:f>
              <c:strCache>
                <c:ptCount val="1"/>
                <c:pt idx="0">
                  <c:v>Sum of 2019-2022</c:v>
                </c:pt>
              </c:strCache>
            </c:strRef>
          </c:tx>
          <c:spPr>
            <a:ln w="25400">
              <a:solidFill>
                <a:schemeClr val="tx1"/>
              </a:solidFill>
            </a:ln>
          </c:spPr>
          <c:dPt>
            <c:idx val="0"/>
            <c:bubble3D val="0"/>
            <c:spPr>
              <a:solidFill>
                <a:schemeClr val="accent5"/>
              </a:solidFill>
              <a:ln w="25400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DB92-4879-9CC2-FC55D122DB3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DB92-4879-9CC2-FC55D122DB3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DB92-4879-9CC2-FC55D122DB3C}"/>
              </c:ext>
            </c:extLst>
          </c:dPt>
          <c:dPt>
            <c:idx val="3"/>
            <c:bubble3D val="0"/>
            <c:spPr>
              <a:solidFill>
                <a:schemeClr val="accent1"/>
              </a:solidFill>
              <a:ln w="2540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DB92-4879-9CC2-FC55D122DB3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DB92-4879-9CC2-FC55D122DB3C}"/>
              </c:ext>
            </c:extLst>
          </c:dPt>
          <c:dLbls>
            <c:dLbl>
              <c:idx val="0"/>
              <c:layout>
                <c:manualLayout>
                  <c:x val="-5.9212299032963085E-3"/>
                  <c:y val="-0.49562633668496103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Hymenoptera </a:t>
                    </a:r>
                    <a:fld id="{21899D7C-0D2E-49E5-88C9-E2E91EE7900F}" type="PERCENTAGE">
                      <a:rPr lang="en-US"/>
                      <a:pPr/>
                      <a:t>[PERCENTAGE]</a:t>
                    </a:fld>
                    <a:r>
                      <a:rPr lang="en-US"/>
                      <a:t> </a:t>
                    </a:r>
                  </a:p>
                </c:rich>
              </c:tx>
              <c:dLblPos val="bestFit"/>
              <c:showLegendKey val="1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2-DB92-4879-9CC2-FC55D122DB3C}"/>
                </c:ext>
              </c:extLst>
            </c:dLbl>
            <c:dLbl>
              <c:idx val="1"/>
              <c:layout>
                <c:manualLayout>
                  <c:x val="-3.2846446713172273E-2"/>
                  <c:y val="-5.1012295995517778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Diptera </a:t>
                    </a:r>
                  </a:p>
                  <a:p>
                    <a:fld id="{9BEF6888-8A3D-421A-86C1-05E0A9BBE1E4}" type="PERCENTAGE">
                      <a:rPr lang="en-US"/>
                      <a:pPr/>
                      <a:t>[PERCENTAGE]</a:t>
                    </a:fld>
                    <a:endParaRPr lang="en-US"/>
                  </a:p>
                </c:rich>
              </c:tx>
              <c:dLblPos val="bestFit"/>
              <c:showLegendKey val="1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6-DB92-4879-9CC2-FC55D122DB3C}"/>
                </c:ext>
              </c:extLst>
            </c:dLbl>
            <c:dLbl>
              <c:idx val="2"/>
              <c:layout>
                <c:manualLayout>
                  <c:x val="-9.5154461443270166E-2"/>
                  <c:y val="-1.5214863635542114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Coleoptera </a:t>
                    </a:r>
                  </a:p>
                  <a:p>
                    <a:fld id="{83588410-0D95-401D-A6DD-F0874CB81743}" type="PERCENTAGE">
                      <a:rPr lang="en-US"/>
                      <a:pPr/>
                      <a:t>[PERCENTAGE]</a:t>
                    </a:fld>
                    <a:endParaRPr lang="en-US"/>
                  </a:p>
                </c:rich>
              </c:tx>
              <c:dLblPos val="bestFit"/>
              <c:showLegendKey val="1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DB92-4879-9CC2-FC55D122DB3C}"/>
                </c:ext>
              </c:extLst>
            </c:dLbl>
            <c:dLbl>
              <c:idx val="3"/>
              <c:layout>
                <c:manualLayout>
                  <c:x val="-1.808622246838917E-2"/>
                  <c:y val="-1.1754333118459658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Lepidoptera</a:t>
                    </a:r>
                    <a:r>
                      <a:rPr lang="en-US" baseline="0"/>
                      <a:t> </a:t>
                    </a:r>
                  </a:p>
                  <a:p>
                    <a:fld id="{F4F382B7-F0F1-4BCE-A3C7-0C50FB393991}" type="PERCENTAGE">
                      <a:rPr lang="en-US"/>
                      <a:pPr/>
                      <a:t>[PERCENTAGE]</a:t>
                    </a:fld>
                    <a:endParaRPr lang="en-US"/>
                  </a:p>
                </c:rich>
              </c:tx>
              <c:dLblPos val="bestFit"/>
              <c:showLegendKey val="1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7350678123409477"/>
                      <c:h val="7.1843917368018345E-2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4-DB92-4879-9CC2-FC55D122DB3C}"/>
                </c:ext>
              </c:extLst>
            </c:dLbl>
            <c:dLbl>
              <c:idx val="4"/>
              <c:layout>
                <c:manualLayout>
                  <c:x val="0.18377693282636248"/>
                  <c:y val="-2.241232852779401E-3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Hemiptera </a:t>
                    </a:r>
                  </a:p>
                  <a:p>
                    <a:r>
                      <a:rPr lang="en-US"/>
                      <a:t>rounded to </a:t>
                    </a:r>
                    <a:fld id="{D1115D40-15D6-4299-94FE-F52F9DE63FEE}" type="PERCENTAGE">
                      <a:rPr lang="en-US"/>
                      <a:pPr/>
                      <a:t>[PERCENTAGE]</a:t>
                    </a:fld>
                    <a:endParaRPr lang="en-US"/>
                  </a:p>
                </c:rich>
              </c:tx>
              <c:dLblPos val="bestFit"/>
              <c:showLegendKey val="1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5-DB92-4879-9CC2-FC55D122DB3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'Pie charts'!$A$38:$A$42</c:f>
              <c:strCache>
                <c:ptCount val="5"/>
                <c:pt idx="0">
                  <c:v>Hymenoptera</c:v>
                </c:pt>
                <c:pt idx="1">
                  <c:v>Diptera</c:v>
                </c:pt>
                <c:pt idx="2">
                  <c:v>Coleoptera</c:v>
                </c:pt>
                <c:pt idx="3">
                  <c:v>Lepidoptera</c:v>
                </c:pt>
                <c:pt idx="4">
                  <c:v>Hemiptera</c:v>
                </c:pt>
              </c:strCache>
            </c:strRef>
          </c:cat>
          <c:val>
            <c:numRef>
              <c:f>'Pie charts'!$B$38:$B$42</c:f>
              <c:numCache>
                <c:formatCode>General</c:formatCode>
                <c:ptCount val="5"/>
                <c:pt idx="0">
                  <c:v>541</c:v>
                </c:pt>
                <c:pt idx="1">
                  <c:v>104</c:v>
                </c:pt>
                <c:pt idx="2">
                  <c:v>54</c:v>
                </c:pt>
                <c:pt idx="3">
                  <c:v>38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92-4879-9CC2-FC55D122DB3C}"/>
            </c:ext>
          </c:extLst>
        </c:ser>
        <c:ser>
          <c:idx val="1"/>
          <c:order val="1"/>
          <c:tx>
            <c:strRef>
              <c:f>'Pie charts'!$C$37</c:f>
              <c:strCache>
                <c:ptCount val="1"/>
                <c:pt idx="0">
                  <c:v>Percentage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56FF-4FD6-86B3-795CA59B3EE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56FF-4FD6-86B3-795CA59B3EE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56FF-4FD6-86B3-795CA59B3EE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56FF-4FD6-86B3-795CA59B3EE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56FF-4FD6-86B3-795CA59B3EE9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'Pie charts'!$A$38:$A$42</c:f>
              <c:strCache>
                <c:ptCount val="5"/>
                <c:pt idx="0">
                  <c:v>Hymenoptera</c:v>
                </c:pt>
                <c:pt idx="1">
                  <c:v>Diptera</c:v>
                </c:pt>
                <c:pt idx="2">
                  <c:v>Coleoptera</c:v>
                </c:pt>
                <c:pt idx="3">
                  <c:v>Lepidoptera</c:v>
                </c:pt>
                <c:pt idx="4">
                  <c:v>Hemiptera</c:v>
                </c:pt>
              </c:strCache>
            </c:strRef>
          </c:cat>
          <c:val>
            <c:numRef>
              <c:f>'Pie charts'!$C$38:$C$42</c:f>
              <c:numCache>
                <c:formatCode>0%</c:formatCode>
                <c:ptCount val="5"/>
                <c:pt idx="0">
                  <c:v>0.73405698778833106</c:v>
                </c:pt>
                <c:pt idx="1">
                  <c:v>0.14111261872455902</c:v>
                </c:pt>
                <c:pt idx="2">
                  <c:v>7.3270013568521031E-2</c:v>
                </c:pt>
                <c:pt idx="3">
                  <c:v>5.1560379918588875E-2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B92-4879-9CC2-FC55D122DB3C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/>
              <a:t>Top</a:t>
            </a:r>
            <a:r>
              <a:rPr lang="en-US" sz="2400" baseline="0"/>
              <a:t> Hymenoptera, 2024</a:t>
            </a:r>
            <a:endParaRPr lang="en-US" sz="2400"/>
          </a:p>
        </c:rich>
      </c:tx>
      <c:layout>
        <c:manualLayout>
          <c:xMode val="edge"/>
          <c:yMode val="edge"/>
          <c:x val="0.16314752613965211"/>
          <c:y val="2.496773417243715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'Pie charts'!$A$23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600" b="0" i="0" u="none" strike="noStrike" kern="1200" baseline="0">
                        <a:solidFill>
                          <a:sysClr val="windowText" lastClr="00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E65DDC7F-57C3-41BF-9F59-04B1A4A41A23}" type="VALUE">
                      <a:rPr lang="en-US" sz="1600">
                        <a:solidFill>
                          <a:sysClr val="windowText" lastClr="000000"/>
                        </a:solidFill>
                      </a:rPr>
                      <a:pPr>
                        <a:defRPr sz="1600">
                          <a:solidFill>
                            <a:sysClr val="windowText" lastClr="000000"/>
                          </a:solidFill>
                        </a:defRPr>
                      </a:pPr>
                      <a:t>[VALUE]</a:t>
                    </a:fld>
                    <a:endParaRPr lang="en-US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600" b="0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7-86D7-4D98-890C-02C7CF08EC9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'Pie charts'!$B$22</c:f>
              <c:strCache>
                <c:ptCount val="1"/>
                <c:pt idx="0">
                  <c:v>Percentage</c:v>
                </c:pt>
              </c:strCache>
            </c:strRef>
          </c:cat>
          <c:val>
            <c:numRef>
              <c:f>'Pie charts'!$B$23</c:f>
              <c:numCache>
                <c:formatCode>0%</c:formatCode>
                <c:ptCount val="1"/>
                <c:pt idx="0">
                  <c:v>0.609375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D7-4D98-890C-02C7CF08EC9E}"/>
            </c:ext>
          </c:extLst>
        </c:ser>
        <c:ser>
          <c:idx val="1"/>
          <c:order val="1"/>
          <c:tx>
            <c:strRef>
              <c:f>'Pie charts'!$A$24</c:f>
              <c:strCache>
                <c:ptCount val="1"/>
                <c:pt idx="0">
                  <c:v>Lasioglossum</c:v>
                </c:pt>
              </c:strCache>
            </c:strRef>
          </c:tx>
          <c:spPr>
            <a:solidFill>
              <a:schemeClr val="tx2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600" b="0" i="0" u="none" strike="noStrike" kern="1200" baseline="0">
                        <a:solidFill>
                          <a:sysClr val="windowText" lastClr="00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5918B25C-670E-46B0-B433-522615E83E8A}" type="VALUE">
                      <a:rPr lang="en-US" sz="1600">
                        <a:solidFill>
                          <a:sysClr val="windowText" lastClr="000000"/>
                        </a:solidFill>
                      </a:rPr>
                      <a:pPr>
                        <a:defRPr sz="1600">
                          <a:solidFill>
                            <a:sysClr val="windowText" lastClr="000000"/>
                          </a:solidFill>
                        </a:defRPr>
                      </a:pPr>
                      <a:t>[VALUE]</a:t>
                    </a:fld>
                    <a:r>
                      <a:rPr lang="en-US" sz="1600">
                        <a:solidFill>
                          <a:sysClr val="windowText" lastClr="000000"/>
                        </a:solidFill>
                      </a:rPr>
                      <a:t> 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600" b="0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6-86D7-4D98-890C-02C7CF08EC9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'Pie charts'!$B$22</c:f>
              <c:strCache>
                <c:ptCount val="1"/>
                <c:pt idx="0">
                  <c:v>Percentage</c:v>
                </c:pt>
              </c:strCache>
            </c:strRef>
          </c:cat>
          <c:val>
            <c:numRef>
              <c:f>'Pie charts'!$B$24</c:f>
              <c:numCache>
                <c:formatCode>0%</c:formatCode>
                <c:ptCount val="1"/>
                <c:pt idx="0">
                  <c:v>0.14299242424242425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6D7-4D98-890C-02C7CF08EC9E}"/>
            </c:ext>
          </c:extLst>
        </c:ser>
        <c:ser>
          <c:idx val="2"/>
          <c:order val="2"/>
          <c:tx>
            <c:strRef>
              <c:f>'Pie charts'!$A$25</c:f>
              <c:strCache>
                <c:ptCount val="1"/>
                <c:pt idx="0">
                  <c:v>Apis mellifera*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D8799644-9BA8-47F6-B758-E4AA17B609B9}" type="VALUE">
                      <a:rPr lang="en-US">
                        <a:solidFill>
                          <a:schemeClr val="bg1"/>
                        </a:solidFill>
                      </a:rPr>
                      <a:pPr/>
                      <a:t>[VALUE]</a:t>
                    </a:fld>
                    <a:r>
                      <a:rPr lang="en-US" baseline="0">
                        <a:solidFill>
                          <a:schemeClr val="bg1"/>
                        </a:solidFill>
                      </a:rPr>
                      <a:t> </a:t>
                    </a:r>
                  </a:p>
                </c:rich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5-86D7-4D98-890C-02C7CF08EC9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'Pie charts'!$B$22</c:f>
              <c:strCache>
                <c:ptCount val="1"/>
                <c:pt idx="0">
                  <c:v>Percentage</c:v>
                </c:pt>
              </c:strCache>
            </c:strRef>
          </c:cat>
          <c:val>
            <c:numRef>
              <c:f>'Pie charts'!$B$25</c:f>
              <c:numCache>
                <c:formatCode>0%</c:formatCode>
                <c:ptCount val="1"/>
                <c:pt idx="0">
                  <c:v>0.13257575757575757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6D7-4D98-890C-02C7CF08EC9E}"/>
            </c:ext>
          </c:extLst>
        </c:ser>
        <c:ser>
          <c:idx val="3"/>
          <c:order val="3"/>
          <c:tx>
            <c:strRef>
              <c:f>'Pie charts'!$A$26</c:f>
              <c:strCache>
                <c:ptCount val="1"/>
                <c:pt idx="0">
                  <c:v>Bombus impatiens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BB73FBCA-483A-455C-95D3-25512988E96E}" type="VALUE">
                      <a:rPr lang="en-US">
                        <a:solidFill>
                          <a:sysClr val="windowText" lastClr="000000"/>
                        </a:solidFill>
                      </a:rPr>
                      <a:pPr/>
                      <a:t>[VALUE]</a:t>
                    </a:fld>
                    <a:endParaRPr lang="en-US"/>
                  </a:p>
                </c:rich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4-86D7-4D98-890C-02C7CF08EC9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'Pie charts'!$B$22</c:f>
              <c:strCache>
                <c:ptCount val="1"/>
                <c:pt idx="0">
                  <c:v>Percentage</c:v>
                </c:pt>
              </c:strCache>
            </c:strRef>
          </c:cat>
          <c:val>
            <c:numRef>
              <c:f>'Pie charts'!$B$26</c:f>
              <c:numCache>
                <c:formatCode>0%</c:formatCode>
                <c:ptCount val="1"/>
                <c:pt idx="0">
                  <c:v>0.11505681818181818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6D7-4D98-890C-02C7CF08EC9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493106528"/>
        <c:axId val="493114688"/>
      </c:barChart>
      <c:catAx>
        <c:axId val="49310652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493114688"/>
        <c:crosses val="autoZero"/>
        <c:auto val="1"/>
        <c:lblAlgn val="ctr"/>
        <c:lblOffset val="100"/>
        <c:noMultiLvlLbl val="0"/>
      </c:catAx>
      <c:valAx>
        <c:axId val="493114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31065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9432346318460303"/>
          <c:y val="0.10608219039194493"/>
          <c:w val="0.2804240160539373"/>
          <c:h val="0.208322710817484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222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/>
              <a:t>Top</a:t>
            </a:r>
            <a:r>
              <a:rPr lang="en-US" sz="2400" baseline="0"/>
              <a:t> Hymenoptera, 2019-2022</a:t>
            </a:r>
            <a:endParaRPr lang="en-US" sz="2400"/>
          </a:p>
        </c:rich>
      </c:tx>
      <c:layout>
        <c:manualLayout>
          <c:xMode val="edge"/>
          <c:yMode val="edge"/>
          <c:x val="0.10741751139740209"/>
          <c:y val="2.237131129631884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'Pie charts'!$A$30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F69E3B95-B7D5-423D-9424-09A633130897}" type="VALUE">
                      <a:rPr lang="en-US"/>
                      <a:pPr/>
                      <a:t>[VALUE]</a:t>
                    </a:fld>
                    <a:r>
                      <a:rPr lang="en-US"/>
                      <a:t> </a:t>
                    </a:r>
                  </a:p>
                </c:rich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A-3FBE-4B41-AEB9-CFAC9D19766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'Pie charts'!$B$29</c:f>
              <c:strCache>
                <c:ptCount val="1"/>
                <c:pt idx="0">
                  <c:v>Percentage</c:v>
                </c:pt>
              </c:strCache>
            </c:strRef>
          </c:cat>
          <c:val>
            <c:numRef>
              <c:f>'Pie charts'!$B$30</c:f>
              <c:numCache>
                <c:formatCode>0%</c:formatCode>
                <c:ptCount val="1"/>
                <c:pt idx="0">
                  <c:v>0.69500924214417747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FBE-4B41-AEB9-CFAC9D19766A}"/>
            </c:ext>
          </c:extLst>
        </c:ser>
        <c:ser>
          <c:idx val="1"/>
          <c:order val="1"/>
          <c:tx>
            <c:strRef>
              <c:f>'Pie charts'!$A$31</c:f>
              <c:strCache>
                <c:ptCount val="1"/>
                <c:pt idx="0">
                  <c:v>Apis mellifera*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r>
                      <a:rPr lang="en-US"/>
                      <a:t> 13% </a:t>
                    </a:r>
                  </a:p>
                </c:rich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9-3FBE-4B41-AEB9-CFAC9D19766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'Pie charts'!$B$29</c:f>
              <c:strCache>
                <c:ptCount val="1"/>
                <c:pt idx="0">
                  <c:v>Percentage</c:v>
                </c:pt>
              </c:strCache>
            </c:strRef>
          </c:cat>
          <c:val>
            <c:numRef>
              <c:f>'Pie charts'!$B$31</c:f>
              <c:numCache>
                <c:formatCode>0%</c:formatCode>
                <c:ptCount val="1"/>
                <c:pt idx="0">
                  <c:v>0.13123844731977818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FBE-4B41-AEB9-CFAC9D19766A}"/>
            </c:ext>
          </c:extLst>
        </c:ser>
        <c:ser>
          <c:idx val="2"/>
          <c:order val="2"/>
          <c:tx>
            <c:strRef>
              <c:f>'Pie charts'!$A$32</c:f>
              <c:strCache>
                <c:ptCount val="1"/>
                <c:pt idx="0">
                  <c:v>Bombus impatiens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16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sz="1600"/>
                      <a:t>8%</a:t>
                    </a:r>
                    <a:r>
                      <a:rPr lang="en-US" sz="1600" baseline="0"/>
                      <a:t> 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6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1013616055814571"/>
                      <c:h val="5.5220181757532689E-2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08-3FBE-4B41-AEB9-CFAC9D19766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'Pie charts'!$B$29</c:f>
              <c:strCache>
                <c:ptCount val="1"/>
                <c:pt idx="0">
                  <c:v>Percentage</c:v>
                </c:pt>
              </c:strCache>
            </c:strRef>
          </c:cat>
          <c:val>
            <c:numRef>
              <c:f>'Pie charts'!$B$32</c:f>
              <c:numCache>
                <c:formatCode>0%</c:formatCode>
                <c:ptCount val="1"/>
                <c:pt idx="0">
                  <c:v>7.5785582255083181E-2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FBE-4B41-AEB9-CFAC9D19766A}"/>
            </c:ext>
          </c:extLst>
        </c:ser>
        <c:ser>
          <c:idx val="3"/>
          <c:order val="3"/>
          <c:tx>
            <c:strRef>
              <c:f>'Pie charts'!$A$33</c:f>
              <c:strCache>
                <c:ptCount val="1"/>
                <c:pt idx="0">
                  <c:v>Halictus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6F0E8D27-43BD-4A45-A3FD-91F179994420}" type="VALUE">
                      <a:rPr lang="en-US"/>
                      <a:pPr/>
                      <a:t>[VALUE]</a:t>
                    </a:fld>
                    <a:r>
                      <a:rPr lang="en-US"/>
                      <a:t> </a:t>
                    </a:r>
                  </a:p>
                </c:rich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7-3FBE-4B41-AEB9-CFAC9D19766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'Pie charts'!$B$29</c:f>
              <c:strCache>
                <c:ptCount val="1"/>
                <c:pt idx="0">
                  <c:v>Percentage</c:v>
                </c:pt>
              </c:strCache>
            </c:strRef>
          </c:cat>
          <c:val>
            <c:numRef>
              <c:f>'Pie charts'!$B$33</c:f>
              <c:numCache>
                <c:formatCode>0%</c:formatCode>
                <c:ptCount val="1"/>
                <c:pt idx="0">
                  <c:v>4.9907578558225509E-2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FBE-4B41-AEB9-CFAC9D19766A}"/>
            </c:ext>
          </c:extLst>
        </c:ser>
        <c:ser>
          <c:idx val="4"/>
          <c:order val="4"/>
          <c:tx>
            <c:strRef>
              <c:f>'Pie charts'!$A$34</c:f>
              <c:strCache>
                <c:ptCount val="1"/>
                <c:pt idx="0">
                  <c:v>Lasioglossum</c:v>
                </c:pt>
              </c:strCache>
            </c:strRef>
          </c:tx>
          <c:spPr>
            <a:solidFill>
              <a:schemeClr val="tx2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D9A517D2-2752-46D0-BE09-6676866CED51}" type="VALUE">
                      <a:rPr lang="en-US"/>
                      <a:pPr/>
                      <a:t>[VALUE]</a:t>
                    </a:fld>
                    <a:r>
                      <a:rPr lang="en-US"/>
                      <a:t> </a:t>
                    </a:r>
                  </a:p>
                </c:rich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6-3FBE-4B41-AEB9-CFAC9D19766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'Pie charts'!$B$29</c:f>
              <c:strCache>
                <c:ptCount val="1"/>
                <c:pt idx="0">
                  <c:v>Percentage</c:v>
                </c:pt>
              </c:strCache>
            </c:strRef>
          </c:cat>
          <c:val>
            <c:numRef>
              <c:f>'Pie charts'!$B$34</c:f>
              <c:numCache>
                <c:formatCode>0%</c:formatCode>
                <c:ptCount val="1"/>
                <c:pt idx="0">
                  <c:v>4.8059149722735672E-2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FBE-4B41-AEB9-CFAC9D19766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538694160"/>
        <c:axId val="538695600"/>
      </c:barChart>
      <c:catAx>
        <c:axId val="53869416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538695600"/>
        <c:crosses val="autoZero"/>
        <c:auto val="1"/>
        <c:lblAlgn val="ctr"/>
        <c:lblOffset val="100"/>
        <c:noMultiLvlLbl val="0"/>
      </c:catAx>
      <c:valAx>
        <c:axId val="5386956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86941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0322022130205963"/>
          <c:y val="0.10839329316072266"/>
          <c:w val="0.27879931144180559"/>
          <c:h val="0.263573092689256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254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50000"/>
            <a:lumOff val="50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4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160020</xdr:colOff>
      <xdr:row>5</xdr:row>
      <xdr:rowOff>163830</xdr:rowOff>
    </xdr:from>
    <xdr:to>
      <xdr:col>18</xdr:col>
      <xdr:colOff>563880</xdr:colOff>
      <xdr:row>52</xdr:row>
      <xdr:rowOff>137160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7083324-DFF9-9AAF-404F-7C50B205C1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601980</xdr:colOff>
      <xdr:row>6</xdr:row>
      <xdr:rowOff>16510</xdr:rowOff>
    </xdr:from>
    <xdr:to>
      <xdr:col>33</xdr:col>
      <xdr:colOff>83820</xdr:colOff>
      <xdr:row>52</xdr:row>
      <xdr:rowOff>137160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F8D6347-FB6A-4A47-6DDB-3BC31FCBD31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259080</xdr:colOff>
      <xdr:row>54</xdr:row>
      <xdr:rowOff>171450</xdr:rowOff>
    </xdr:from>
    <xdr:to>
      <xdr:col>19</xdr:col>
      <xdr:colOff>91440</xdr:colOff>
      <xdr:row>89</xdr:row>
      <xdr:rowOff>15240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FED8A2A-893A-1B6E-1CDF-04D47EDAC3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19</xdr:col>
      <xdr:colOff>556260</xdr:colOff>
      <xdr:row>55</xdr:row>
      <xdr:rowOff>49530</xdr:rowOff>
    </xdr:from>
    <xdr:to>
      <xdr:col>30</xdr:col>
      <xdr:colOff>426720</xdr:colOff>
      <xdr:row>89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BBEE771D-4A4D-EB1C-3DA7-65376E7E36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16</xdr:col>
      <xdr:colOff>0</xdr:colOff>
      <xdr:row>66</xdr:row>
      <xdr:rowOff>53879</xdr:rowOff>
    </xdr:from>
    <xdr:to>
      <xdr:col>17</xdr:col>
      <xdr:colOff>546485</xdr:colOff>
      <xdr:row>67</xdr:row>
      <xdr:rowOff>177031</xdr:rowOff>
    </xdr:to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70E125C7-3CB0-C810-BD6F-6A373991B393}"/>
            </a:ext>
          </a:extLst>
        </xdr:cNvPr>
        <xdr:cNvSpPr txBox="1"/>
      </xdr:nvSpPr>
      <xdr:spPr>
        <a:xfrm>
          <a:off x="10768061" y="12245879"/>
          <a:ext cx="1154545" cy="307879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*</a:t>
          </a:r>
          <a:r>
            <a:rPr lang="en-US" sz="1100" i="1"/>
            <a:t>Non-native</a:t>
          </a:r>
        </a:p>
      </xdr:txBody>
    </xdr: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0.70596</cdr:x>
      <cdr:y>0.38119</cdr:y>
    </cdr:from>
    <cdr:to>
      <cdr:x>0.88198</cdr:x>
      <cdr:y>0.4306</cdr:y>
    </cdr:to>
    <cdr:sp macro="" textlink="">
      <cdr:nvSpPr>
        <cdr:cNvPr id="2" name="TextBox 8">
          <a:extLst xmlns:a="http://schemas.openxmlformats.org/drawingml/2006/main">
            <a:ext uri="{FF2B5EF4-FFF2-40B4-BE49-F238E27FC236}">
              <a16:creationId xmlns:a16="http://schemas.microsoft.com/office/drawing/2014/main" id="{70E125C7-3CB0-C810-BD6F-6A373991B393}"/>
            </a:ext>
          </a:extLst>
        </cdr:cNvPr>
        <cdr:cNvSpPr txBox="1"/>
      </cdr:nvSpPr>
      <cdr:spPr>
        <a:xfrm xmlns:a="http://schemas.openxmlformats.org/drawingml/2006/main">
          <a:off x="4630497" y="2375285"/>
          <a:ext cx="1154545" cy="307879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100"/>
            <a:t>*</a:t>
          </a:r>
          <a:r>
            <a:rPr lang="en-US" sz="1100" i="1"/>
            <a:t>Non-native</a:t>
          </a: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lizabeth" refreshedDate="45880.447087384258" createdVersion="8" refreshedVersion="8" minRefreshableVersion="3" recordCount="110" xr:uid="{18B833BF-5F87-4378-A7CD-849491AF0E4C}">
  <cacheSource type="worksheet">
    <worksheetSource ref="A1:F111" sheet="full_insect_list_for_pivot"/>
  </cacheSource>
  <cacheFields count="6">
    <cacheField name="Order" numFmtId="0">
      <sharedItems count="7">
        <s v="Coleoptera"/>
        <s v="Diptera"/>
        <s v="Hemiptera"/>
        <s v="Hymenoptera"/>
        <s v="Hymenoptera (unknown)"/>
        <s v="Lepidoptera"/>
        <s v="Lepidoptera (unknown)"/>
      </sharedItems>
    </cacheField>
    <cacheField name="Family " numFmtId="0">
      <sharedItems containsBlank="1"/>
    </cacheField>
    <cacheField name="Genus" numFmtId="0">
      <sharedItems containsBlank="1"/>
    </cacheField>
    <cacheField name="Species" numFmtId="0">
      <sharedItems containsBlank="1"/>
    </cacheField>
    <cacheField name="2024" numFmtId="0">
      <sharedItems containsSemiMixedTypes="0" containsString="0" containsNumber="1" containsInteger="1" minValue="0" maxValue="302"/>
    </cacheField>
    <cacheField name="2019-2022" numFmtId="0">
      <sharedItems containsSemiMixedTypes="0" containsString="0" containsNumber="1" containsInteger="1" minValue="0" maxValue="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lizabeth" refreshedDate="45880.44817974537" createdVersion="8" refreshedVersion="8" minRefreshableVersion="3" recordCount="110" xr:uid="{6828991E-4AD5-452A-9C24-93EBF55319CB}">
  <cacheSource type="worksheet">
    <worksheetSource ref="A1:F111" sheet="full_insect_list_for_pivot"/>
  </cacheSource>
  <cacheFields count="6">
    <cacheField name="Order" numFmtId="0">
      <sharedItems count="7">
        <s v="Coleoptera"/>
        <s v="Diptera"/>
        <s v="Hemiptera"/>
        <s v="Hymenoptera"/>
        <s v="Hymenoptera (unknown)"/>
        <s v="Lepidoptera"/>
        <s v="Lepidoptera (unknown)"/>
      </sharedItems>
    </cacheField>
    <cacheField name="Family " numFmtId="0">
      <sharedItems containsBlank="1"/>
    </cacheField>
    <cacheField name="Genus" numFmtId="0">
      <sharedItems containsBlank="1"/>
    </cacheField>
    <cacheField name="Species" numFmtId="0">
      <sharedItems containsBlank="1"/>
    </cacheField>
    <cacheField name="2024" numFmtId="0">
      <sharedItems containsSemiMixedTypes="0" containsString="0" containsNumber="1" containsInteger="1" minValue="0" maxValue="302"/>
    </cacheField>
    <cacheField name="2019-2022" numFmtId="0">
      <sharedItems containsSemiMixedTypes="0" containsString="0" containsNumber="1" containsInteger="1" minValue="0" maxValue="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0">
  <r>
    <x v="0"/>
    <s v="Cerambycidae"/>
    <m/>
    <m/>
    <n v="2"/>
    <n v="0"/>
  </r>
  <r>
    <x v="0"/>
    <s v="Chrysomelidae"/>
    <m/>
    <m/>
    <n v="6"/>
    <n v="0"/>
  </r>
  <r>
    <x v="0"/>
    <s v="Curculionidae"/>
    <m/>
    <m/>
    <n v="7"/>
    <n v="0"/>
  </r>
  <r>
    <x v="0"/>
    <s v="Mordellidae"/>
    <m/>
    <m/>
    <n v="16"/>
    <n v="0"/>
  </r>
  <r>
    <x v="0"/>
    <s v="Scarabaeoidea"/>
    <m/>
    <m/>
    <n v="3"/>
    <n v="0"/>
  </r>
  <r>
    <x v="0"/>
    <s v="Unknown "/>
    <m/>
    <m/>
    <n v="0"/>
    <n v="54"/>
  </r>
  <r>
    <x v="1"/>
    <s v="Bombyliidae"/>
    <m/>
    <m/>
    <n v="5"/>
    <n v="0"/>
  </r>
  <r>
    <x v="1"/>
    <s v="Calliphoridae"/>
    <m/>
    <m/>
    <n v="1"/>
    <n v="0"/>
  </r>
  <r>
    <x v="1"/>
    <s v="Cecidomyiidae"/>
    <m/>
    <m/>
    <n v="17"/>
    <n v="0"/>
  </r>
  <r>
    <x v="1"/>
    <s v="Conopidae"/>
    <m/>
    <m/>
    <n v="43"/>
    <n v="0"/>
  </r>
  <r>
    <x v="1"/>
    <s v="Culicidae"/>
    <m/>
    <m/>
    <n v="1"/>
    <n v="0"/>
  </r>
  <r>
    <x v="1"/>
    <s v="Dolichopodidae"/>
    <m/>
    <m/>
    <n v="6"/>
    <n v="0"/>
  </r>
  <r>
    <x v="1"/>
    <s v="Drosophilidae"/>
    <m/>
    <m/>
    <n v="63"/>
    <n v="0"/>
  </r>
  <r>
    <x v="1"/>
    <s v="Empididae"/>
    <m/>
    <m/>
    <n v="27"/>
    <n v="0"/>
  </r>
  <r>
    <x v="1"/>
    <s v="Muscidae"/>
    <m/>
    <m/>
    <n v="3"/>
    <n v="0"/>
  </r>
  <r>
    <x v="1"/>
    <s v="Oestroidea"/>
    <m/>
    <m/>
    <n v="61"/>
    <n v="0"/>
  </r>
  <r>
    <x v="1"/>
    <s v="Syrphidae "/>
    <m/>
    <m/>
    <n v="132"/>
    <n v="49"/>
  </r>
  <r>
    <x v="1"/>
    <s v="Tipulidae"/>
    <m/>
    <m/>
    <n v="76"/>
    <n v="0"/>
  </r>
  <r>
    <x v="1"/>
    <s v="Ulidiidae"/>
    <m/>
    <m/>
    <n v="1"/>
    <n v="0"/>
  </r>
  <r>
    <x v="1"/>
    <s v="Unknown Bristly Flies, including Tachinidae"/>
    <m/>
    <m/>
    <n v="131"/>
    <n v="0"/>
  </r>
  <r>
    <x v="1"/>
    <s v="Unknown "/>
    <m/>
    <m/>
    <n v="1"/>
    <n v="55"/>
  </r>
  <r>
    <x v="2"/>
    <s v="Aphididae"/>
    <m/>
    <m/>
    <n v="1"/>
    <n v="0"/>
  </r>
  <r>
    <x v="2"/>
    <s v="Cicadellidae"/>
    <m/>
    <m/>
    <n v="1"/>
    <n v="0"/>
  </r>
  <r>
    <x v="2"/>
    <s v="Miridae"/>
    <m/>
    <m/>
    <n v="2"/>
    <n v="0"/>
  </r>
  <r>
    <x v="2"/>
    <s v="Reduviidae"/>
    <m/>
    <m/>
    <n v="3"/>
    <n v="0"/>
  </r>
  <r>
    <x v="3"/>
    <s v="Andrenidae"/>
    <s v="Protandrena"/>
    <m/>
    <n v="2"/>
    <n v="0"/>
  </r>
  <r>
    <x v="3"/>
    <s v="Andrenidae"/>
    <s v="Andrena"/>
    <m/>
    <n v="6"/>
    <n v="0"/>
  </r>
  <r>
    <x v="3"/>
    <s v="Andrenidae"/>
    <s v="Andrena"/>
    <s v="Andrena milwaukeensis"/>
    <n v="0"/>
    <n v="3"/>
  </r>
  <r>
    <x v="3"/>
    <s v="Andrenidae"/>
    <s v="Andrena"/>
    <s v="Andrena prunorum"/>
    <n v="0"/>
    <n v="1"/>
  </r>
  <r>
    <x v="3"/>
    <s v="Andrenidae"/>
    <s v="Panurginus"/>
    <m/>
    <n v="0"/>
    <n v="1"/>
  </r>
  <r>
    <x v="3"/>
    <s v="Andrenidae"/>
    <s v="Perdita"/>
    <m/>
    <n v="0"/>
    <n v="6"/>
  </r>
  <r>
    <x v="3"/>
    <s v="Andrenidae"/>
    <s v="Pseudopanurgus"/>
    <m/>
    <n v="0"/>
    <n v="4"/>
  </r>
  <r>
    <x v="3"/>
    <s v="Apidae"/>
    <s v="Apis"/>
    <s v="Apis mellifera"/>
    <n v="280"/>
    <n v="71"/>
  </r>
  <r>
    <x v="3"/>
    <s v="Apidae"/>
    <s v="Anthophora"/>
    <s v="Anthophora abrupta"/>
    <n v="0"/>
    <n v="4"/>
  </r>
  <r>
    <x v="3"/>
    <s v="Apidae"/>
    <s v="Anthophora"/>
    <s v="Anthophora plumipes"/>
    <n v="0"/>
    <n v="1"/>
  </r>
  <r>
    <x v="3"/>
    <s v="Apidae"/>
    <s v="Anthophora"/>
    <m/>
    <n v="0"/>
    <n v="1"/>
  </r>
  <r>
    <x v="3"/>
    <s v="Apidae"/>
    <s v="Bombus"/>
    <s v="Bombus auricomus"/>
    <n v="1"/>
    <n v="0"/>
  </r>
  <r>
    <x v="3"/>
    <s v="Apidae"/>
    <s v="Bombus"/>
    <s v="Bombus affinis"/>
    <n v="15"/>
    <n v="16"/>
  </r>
  <r>
    <x v="3"/>
    <s v="Apidae"/>
    <s v="Bombus"/>
    <s v="Bombus bimaculatus"/>
    <n v="2"/>
    <n v="20"/>
  </r>
  <r>
    <x v="3"/>
    <s v="Apidae"/>
    <s v="Bombus"/>
    <s v="Bombus citrinus"/>
    <n v="0"/>
    <n v="11"/>
  </r>
  <r>
    <x v="3"/>
    <s v="Apidae"/>
    <s v="Bombus"/>
    <s v="Bombus griseocollis"/>
    <n v="3"/>
    <n v="12"/>
  </r>
  <r>
    <x v="3"/>
    <s v="Apidae"/>
    <s v="Bombus"/>
    <s v="Bombus flavidus"/>
    <n v="0"/>
    <n v="2"/>
  </r>
  <r>
    <x v="3"/>
    <s v="Apidae"/>
    <s v="Bombus"/>
    <s v="Bombus impatiens"/>
    <n v="243"/>
    <n v="41"/>
  </r>
  <r>
    <x v="3"/>
    <s v="Apidae"/>
    <s v="Bombus"/>
    <s v="Bombus pensylvanicus"/>
    <n v="0"/>
    <n v="2"/>
  </r>
  <r>
    <x v="3"/>
    <s v="Apidae"/>
    <s v="Bombus"/>
    <s v="Bombus perplexus"/>
    <n v="0"/>
    <n v="3"/>
  </r>
  <r>
    <x v="3"/>
    <s v="Apidae"/>
    <s v="Bombus"/>
    <s v="Bombus rufocinctus"/>
    <n v="0"/>
    <n v="9"/>
  </r>
  <r>
    <x v="3"/>
    <s v="Apidae"/>
    <s v="Bombus"/>
    <s v="Bombus vagans sandersoni"/>
    <n v="0"/>
    <n v="7"/>
  </r>
  <r>
    <x v="3"/>
    <s v="Apidae"/>
    <s v="Bombus"/>
    <s v="Bombus vagans"/>
    <n v="1"/>
    <n v="0"/>
  </r>
  <r>
    <x v="3"/>
    <s v="Apidae"/>
    <s v="Bombus (other)"/>
    <m/>
    <n v="15"/>
    <n v="16"/>
  </r>
  <r>
    <x v="3"/>
    <s v="Apidae"/>
    <s v="Bombus (unknown)"/>
    <m/>
    <n v="0"/>
    <n v="18"/>
  </r>
  <r>
    <x v="3"/>
    <s v="Apidae"/>
    <s v="Brachymelecta"/>
    <m/>
    <n v="0"/>
    <n v="1"/>
  </r>
  <r>
    <x v="3"/>
    <s v="Apidae"/>
    <s v="Ceratina"/>
    <m/>
    <n v="14"/>
    <n v="11"/>
  </r>
  <r>
    <x v="3"/>
    <s v="Apidae"/>
    <s v="Diadasia*"/>
    <m/>
    <n v="0"/>
    <n v="1"/>
  </r>
  <r>
    <x v="3"/>
    <s v="Apidae"/>
    <s v="Epeolus"/>
    <m/>
    <n v="0"/>
    <n v="1"/>
  </r>
  <r>
    <x v="3"/>
    <s v="Apidae"/>
    <s v="Florilegus"/>
    <m/>
    <n v="0"/>
    <n v="1"/>
  </r>
  <r>
    <x v="3"/>
    <s v="Apidae"/>
    <s v="Habropoda"/>
    <m/>
    <n v="0"/>
    <n v="3"/>
  </r>
  <r>
    <x v="3"/>
    <s v="Apidae"/>
    <s v="Melissodes"/>
    <m/>
    <n v="1"/>
    <n v="0"/>
  </r>
  <r>
    <x v="3"/>
    <s v="Apidae"/>
    <s v="Nomada"/>
    <m/>
    <n v="0"/>
    <n v="6"/>
  </r>
  <r>
    <x v="3"/>
    <s v="Apidae"/>
    <s v="Xylocopa"/>
    <m/>
    <n v="2"/>
    <n v="11"/>
  </r>
  <r>
    <x v="3"/>
    <s v="Apidae"/>
    <s v="Xylocopa"/>
    <s v="Xylocopa virginica"/>
    <n v="0"/>
    <n v="4"/>
  </r>
  <r>
    <x v="3"/>
    <s v="Apidae"/>
    <s v="Unknown"/>
    <m/>
    <n v="0"/>
    <n v="4"/>
  </r>
  <r>
    <x v="3"/>
    <s v="Apocrita (suborder)"/>
    <m/>
    <m/>
    <n v="6"/>
    <n v="0"/>
  </r>
  <r>
    <x v="3"/>
    <s v="Astatidae"/>
    <s v="Astata*"/>
    <m/>
    <n v="1"/>
    <n v="0"/>
  </r>
  <r>
    <x v="3"/>
    <s v="Bembicidae"/>
    <s v="Sphecius"/>
    <s v="Sphecius speciosus"/>
    <n v="9"/>
    <n v="0"/>
  </r>
  <r>
    <x v="3"/>
    <s v="Braconidae"/>
    <m/>
    <m/>
    <n v="2"/>
    <n v="0"/>
  </r>
  <r>
    <x v="3"/>
    <s v="Chrysididae"/>
    <m/>
    <m/>
    <n v="1"/>
    <n v="0"/>
  </r>
  <r>
    <x v="3"/>
    <s v="Colletidae"/>
    <s v="Hylaeus"/>
    <m/>
    <n v="26"/>
    <n v="20"/>
  </r>
  <r>
    <x v="3"/>
    <s v="Colletidae"/>
    <s v="Hylaeus_leptocephalus"/>
    <m/>
    <n v="0"/>
    <n v="10"/>
  </r>
  <r>
    <x v="3"/>
    <s v="Colletidae"/>
    <s v="Hylaeus_modestus"/>
    <m/>
    <n v="0"/>
    <n v="12"/>
  </r>
  <r>
    <x v="3"/>
    <s v="Eurytomidae"/>
    <s v="Eurytoma"/>
    <m/>
    <n v="1"/>
    <n v="0"/>
  </r>
  <r>
    <x v="3"/>
    <s v="Gasteruptiinae"/>
    <s v="Gasteruption"/>
    <m/>
    <n v="1"/>
    <n v="0"/>
  </r>
  <r>
    <x v="3"/>
    <s v="Halictidae"/>
    <s v="Agapostemon"/>
    <m/>
    <n v="8"/>
    <n v="0"/>
  </r>
  <r>
    <x v="3"/>
    <s v="Halictidae"/>
    <s v="Agapostemon"/>
    <s v="Agapostemon splendens"/>
    <n v="0"/>
    <n v="1"/>
  </r>
  <r>
    <x v="3"/>
    <s v="Halictidae"/>
    <s v="Augochlora"/>
    <m/>
    <n v="55"/>
    <n v="15"/>
  </r>
  <r>
    <x v="3"/>
    <s v="Halictidae"/>
    <s v="Augochlorella"/>
    <m/>
    <n v="0"/>
    <n v="9"/>
  </r>
  <r>
    <x v="3"/>
    <s v="Halictidae"/>
    <s v="Augochloropsis"/>
    <m/>
    <n v="0"/>
    <n v="11"/>
  </r>
  <r>
    <x v="3"/>
    <s v="Halictidae"/>
    <s v="Green.Sweatbee"/>
    <m/>
    <n v="8"/>
    <n v="0"/>
  </r>
  <r>
    <x v="3"/>
    <s v="Halictidae"/>
    <s v="Halictus"/>
    <m/>
    <n v="46"/>
    <n v="14"/>
  </r>
  <r>
    <x v="3"/>
    <s v="Halictidae"/>
    <s v="Halictus"/>
    <s v="Halictus ligatus"/>
    <n v="0"/>
    <n v="3"/>
  </r>
  <r>
    <x v="3"/>
    <s v="Halictidae"/>
    <s v="Halictus"/>
    <s v="Halictus rubicundus"/>
    <n v="0"/>
    <n v="9"/>
  </r>
  <r>
    <x v="3"/>
    <s v="Halictidae"/>
    <s v="Halictus"/>
    <s v="Halictus tripartitus"/>
    <n v="0"/>
    <n v="27"/>
  </r>
  <r>
    <x v="3"/>
    <s v="Halictidae"/>
    <s v="Lasioglossum"/>
    <m/>
    <n v="302"/>
    <n v="26"/>
  </r>
  <r>
    <x v="3"/>
    <s v="Halictidae"/>
    <s v="Sphecodes"/>
    <m/>
    <n v="0"/>
    <n v="4"/>
  </r>
  <r>
    <x v="3"/>
    <s v="Halictidae"/>
    <m/>
    <m/>
    <n v="5"/>
    <n v="0"/>
  </r>
  <r>
    <x v="3"/>
    <s v="Megachilidae"/>
    <s v="Anthidium"/>
    <s v="Anthidium oblongatum"/>
    <n v="0"/>
    <n v="1"/>
  </r>
  <r>
    <x v="3"/>
    <s v="Megachilidae"/>
    <s v="Anthidium"/>
    <m/>
    <n v="0"/>
    <n v="2"/>
  </r>
  <r>
    <x v="3"/>
    <s v="Megachilidae"/>
    <s v="Chelostoma"/>
    <m/>
    <n v="0"/>
    <n v="6"/>
  </r>
  <r>
    <x v="3"/>
    <s v="Megachilidae"/>
    <s v="Heriades"/>
    <m/>
    <n v="0"/>
    <n v="1"/>
  </r>
  <r>
    <x v="3"/>
    <s v="Megachilidae"/>
    <s v="Megachile"/>
    <s v="Megachile sculpturalis"/>
    <n v="0"/>
    <n v="2"/>
  </r>
  <r>
    <x v="3"/>
    <s v="Megachilidae"/>
    <s v="Megachile"/>
    <s v="Melissodes bimaculatus"/>
    <n v="0"/>
    <n v="2"/>
  </r>
  <r>
    <x v="3"/>
    <s v="Megachilidae"/>
    <s v="Megachile"/>
    <m/>
    <n v="0"/>
    <n v="1"/>
  </r>
  <r>
    <x v="3"/>
    <s v="Megachilidae"/>
    <s v="Osmia"/>
    <m/>
    <n v="0"/>
    <n v="5"/>
  </r>
  <r>
    <x v="3"/>
    <s v="Megachilidae"/>
    <s v="Stelis"/>
    <m/>
    <n v="0"/>
    <n v="4"/>
  </r>
  <r>
    <x v="3"/>
    <s v="Melittidae"/>
    <s v="Macropis"/>
    <s v="Note: not included in final count after checked by hand"/>
    <n v="0"/>
    <n v="2"/>
  </r>
  <r>
    <x v="3"/>
    <s v="Philanthidae"/>
    <s v="Cerceris"/>
    <m/>
    <n v="1"/>
    <n v="0"/>
  </r>
  <r>
    <x v="3"/>
    <s v="Scoliidae"/>
    <s v="Scolia"/>
    <m/>
    <n v="0"/>
    <n v="0"/>
  </r>
  <r>
    <x v="3"/>
    <s v="Sphecidae"/>
    <s v="Sphex"/>
    <m/>
    <n v="26"/>
    <n v="0"/>
  </r>
  <r>
    <x v="3"/>
    <s v="Vespidae"/>
    <s v="Dolichovespula"/>
    <s v="Dolichovespula maculata"/>
    <n v="5"/>
    <n v="0"/>
  </r>
  <r>
    <x v="3"/>
    <s v="Vespidae"/>
    <s v="Dolichovespula"/>
    <m/>
    <n v="172"/>
    <n v="0"/>
  </r>
  <r>
    <x v="3"/>
    <s v="Vespidae"/>
    <s v="Symmorphus"/>
    <m/>
    <n v="1"/>
    <n v="0"/>
  </r>
  <r>
    <x v="3"/>
    <s v="Vespidae"/>
    <m/>
    <m/>
    <n v="26"/>
    <n v="0"/>
  </r>
  <r>
    <x v="4"/>
    <m/>
    <m/>
    <m/>
    <n v="1"/>
    <n v="62"/>
  </r>
  <r>
    <x v="5"/>
    <s v="Hesperiidae"/>
    <s v="Epargyreus"/>
    <s v="Epargyreus clarus"/>
    <n v="8"/>
    <n v="0"/>
  </r>
  <r>
    <x v="5"/>
    <s v="Hesperiidae"/>
    <m/>
    <m/>
    <n v="1"/>
    <n v="0"/>
  </r>
  <r>
    <x v="5"/>
    <s v="Lycaenidae"/>
    <s v="Celastrina"/>
    <s v="Celastrina ladon"/>
    <n v="1"/>
    <n v="0"/>
  </r>
  <r>
    <x v="5"/>
    <s v="Nymphalidae"/>
    <s v="Libythean"/>
    <s v="Libythean carinenta"/>
    <n v="1"/>
    <n v="0"/>
  </r>
  <r>
    <x v="5"/>
    <s v="Nymphalidae"/>
    <s v="Polygonia"/>
    <s v="Polygonia comma"/>
    <n v="3"/>
    <n v="0"/>
  </r>
  <r>
    <x v="5"/>
    <s v="Nymphalidae"/>
    <s v="Vanessa"/>
    <s v="Vanessa atalanta"/>
    <n v="2"/>
    <n v="0"/>
  </r>
  <r>
    <x v="5"/>
    <s v="Pieridae"/>
    <s v="Pieris"/>
    <s v="Pieris rapae"/>
    <n v="1"/>
    <n v="0"/>
  </r>
  <r>
    <x v="6"/>
    <m/>
    <m/>
    <m/>
    <n v="1"/>
    <n v="38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0">
  <r>
    <x v="0"/>
    <s v="Cerambycidae"/>
    <m/>
    <m/>
    <n v="2"/>
    <n v="0"/>
  </r>
  <r>
    <x v="0"/>
    <s v="Chrysomelidae"/>
    <m/>
    <m/>
    <n v="6"/>
    <n v="0"/>
  </r>
  <r>
    <x v="0"/>
    <s v="Curculionidae"/>
    <m/>
    <m/>
    <n v="7"/>
    <n v="0"/>
  </r>
  <r>
    <x v="0"/>
    <s v="Mordellidae"/>
    <m/>
    <m/>
    <n v="16"/>
    <n v="0"/>
  </r>
  <r>
    <x v="0"/>
    <s v="Scarabaeoidea"/>
    <m/>
    <m/>
    <n v="3"/>
    <n v="0"/>
  </r>
  <r>
    <x v="0"/>
    <s v="Unknown "/>
    <m/>
    <m/>
    <n v="0"/>
    <n v="54"/>
  </r>
  <r>
    <x v="1"/>
    <s v="Bombyliidae"/>
    <m/>
    <m/>
    <n v="5"/>
    <n v="0"/>
  </r>
  <r>
    <x v="1"/>
    <s v="Calliphoridae"/>
    <m/>
    <m/>
    <n v="1"/>
    <n v="0"/>
  </r>
  <r>
    <x v="1"/>
    <s v="Cecidomyiidae"/>
    <m/>
    <m/>
    <n v="17"/>
    <n v="0"/>
  </r>
  <r>
    <x v="1"/>
    <s v="Conopidae"/>
    <m/>
    <m/>
    <n v="43"/>
    <n v="0"/>
  </r>
  <r>
    <x v="1"/>
    <s v="Culicidae"/>
    <m/>
    <m/>
    <n v="1"/>
    <n v="0"/>
  </r>
  <r>
    <x v="1"/>
    <s v="Dolichopodidae"/>
    <m/>
    <m/>
    <n v="6"/>
    <n v="0"/>
  </r>
  <r>
    <x v="1"/>
    <s v="Drosophilidae"/>
    <m/>
    <m/>
    <n v="63"/>
    <n v="0"/>
  </r>
  <r>
    <x v="1"/>
    <s v="Empididae"/>
    <m/>
    <m/>
    <n v="27"/>
    <n v="0"/>
  </r>
  <r>
    <x v="1"/>
    <s v="Muscidae"/>
    <m/>
    <m/>
    <n v="3"/>
    <n v="0"/>
  </r>
  <r>
    <x v="1"/>
    <s v="Oestroidea"/>
    <m/>
    <m/>
    <n v="61"/>
    <n v="0"/>
  </r>
  <r>
    <x v="1"/>
    <s v="Syrphidae "/>
    <m/>
    <m/>
    <n v="132"/>
    <n v="49"/>
  </r>
  <r>
    <x v="1"/>
    <s v="Tipulidae"/>
    <m/>
    <m/>
    <n v="76"/>
    <n v="0"/>
  </r>
  <r>
    <x v="1"/>
    <s v="Ulidiidae"/>
    <m/>
    <m/>
    <n v="1"/>
    <n v="0"/>
  </r>
  <r>
    <x v="1"/>
    <s v="Unknown Bristly Flies, including Tachinidae"/>
    <m/>
    <m/>
    <n v="131"/>
    <n v="0"/>
  </r>
  <r>
    <x v="1"/>
    <s v="Unknown "/>
    <m/>
    <m/>
    <n v="1"/>
    <n v="55"/>
  </r>
  <r>
    <x v="2"/>
    <s v="Aphididae"/>
    <m/>
    <m/>
    <n v="1"/>
    <n v="0"/>
  </r>
  <r>
    <x v="2"/>
    <s v="Cicadellidae"/>
    <m/>
    <m/>
    <n v="1"/>
    <n v="0"/>
  </r>
  <r>
    <x v="2"/>
    <s v="Miridae"/>
    <m/>
    <m/>
    <n v="2"/>
    <n v="0"/>
  </r>
  <r>
    <x v="2"/>
    <s v="Reduviidae"/>
    <m/>
    <m/>
    <n v="3"/>
    <n v="0"/>
  </r>
  <r>
    <x v="3"/>
    <s v="Andrenidae"/>
    <s v="Protandrena"/>
    <m/>
    <n v="2"/>
    <n v="0"/>
  </r>
  <r>
    <x v="3"/>
    <s v="Andrenidae"/>
    <s v="Andrena"/>
    <m/>
    <n v="6"/>
    <n v="0"/>
  </r>
  <r>
    <x v="3"/>
    <s v="Andrenidae"/>
    <s v="Andrena"/>
    <s v="Andrena milwaukeensis"/>
    <n v="0"/>
    <n v="3"/>
  </r>
  <r>
    <x v="3"/>
    <s v="Andrenidae"/>
    <s v="Andrena"/>
    <s v="Andrena prunorum"/>
    <n v="0"/>
    <n v="1"/>
  </r>
  <r>
    <x v="3"/>
    <s v="Andrenidae"/>
    <s v="Panurginus"/>
    <m/>
    <n v="0"/>
    <n v="1"/>
  </r>
  <r>
    <x v="3"/>
    <s v="Andrenidae"/>
    <s v="Perdita"/>
    <m/>
    <n v="0"/>
    <n v="6"/>
  </r>
  <r>
    <x v="3"/>
    <s v="Andrenidae"/>
    <s v="Pseudopanurgus"/>
    <m/>
    <n v="0"/>
    <n v="4"/>
  </r>
  <r>
    <x v="3"/>
    <s v="Apidae"/>
    <s v="Apis"/>
    <s v="Apis mellifera"/>
    <n v="280"/>
    <n v="71"/>
  </r>
  <r>
    <x v="3"/>
    <s v="Apidae"/>
    <s v="Anthophora"/>
    <s v="Anthophora abrupta"/>
    <n v="0"/>
    <n v="4"/>
  </r>
  <r>
    <x v="3"/>
    <s v="Apidae"/>
    <s v="Anthophora"/>
    <s v="Anthophora plumipes"/>
    <n v="0"/>
    <n v="1"/>
  </r>
  <r>
    <x v="3"/>
    <s v="Apidae"/>
    <s v="Anthophora"/>
    <m/>
    <n v="0"/>
    <n v="1"/>
  </r>
  <r>
    <x v="3"/>
    <s v="Apidae"/>
    <s v="Bombus"/>
    <s v="Bombus auricomus"/>
    <n v="1"/>
    <n v="0"/>
  </r>
  <r>
    <x v="3"/>
    <s v="Apidae"/>
    <s v="Bombus"/>
    <s v="Bombus affinis"/>
    <n v="15"/>
    <n v="16"/>
  </r>
  <r>
    <x v="3"/>
    <s v="Apidae"/>
    <s v="Bombus"/>
    <s v="Bombus bimaculatus"/>
    <n v="2"/>
    <n v="20"/>
  </r>
  <r>
    <x v="3"/>
    <s v="Apidae"/>
    <s v="Bombus"/>
    <s v="Bombus citrinus"/>
    <n v="0"/>
    <n v="11"/>
  </r>
  <r>
    <x v="3"/>
    <s v="Apidae"/>
    <s v="Bombus"/>
    <s v="Bombus griseocollis"/>
    <n v="3"/>
    <n v="12"/>
  </r>
  <r>
    <x v="3"/>
    <s v="Apidae"/>
    <s v="Bombus"/>
    <s v="Bombus flavidus"/>
    <n v="0"/>
    <n v="2"/>
  </r>
  <r>
    <x v="3"/>
    <s v="Apidae"/>
    <s v="Bombus"/>
    <s v="Bombus impatiens"/>
    <n v="243"/>
    <n v="41"/>
  </r>
  <r>
    <x v="3"/>
    <s v="Apidae"/>
    <s v="Bombus"/>
    <s v="Bombus pensylvanicus"/>
    <n v="0"/>
    <n v="2"/>
  </r>
  <r>
    <x v="3"/>
    <s v="Apidae"/>
    <s v="Bombus"/>
    <s v="Bombus perplexus"/>
    <n v="0"/>
    <n v="3"/>
  </r>
  <r>
    <x v="3"/>
    <s v="Apidae"/>
    <s v="Bombus"/>
    <s v="Bombus rufocinctus"/>
    <n v="0"/>
    <n v="9"/>
  </r>
  <r>
    <x v="3"/>
    <s v="Apidae"/>
    <s v="Bombus"/>
    <s v="Bombus vagans sandersoni"/>
    <n v="0"/>
    <n v="7"/>
  </r>
  <r>
    <x v="3"/>
    <s v="Apidae"/>
    <s v="Bombus"/>
    <s v="Bombus vagans"/>
    <n v="1"/>
    <n v="0"/>
  </r>
  <r>
    <x v="3"/>
    <s v="Apidae"/>
    <s v="Bombus (other)"/>
    <m/>
    <n v="15"/>
    <n v="16"/>
  </r>
  <r>
    <x v="3"/>
    <s v="Apidae"/>
    <s v="Bombus (unknown)"/>
    <m/>
    <n v="0"/>
    <n v="18"/>
  </r>
  <r>
    <x v="3"/>
    <s v="Apidae"/>
    <s v="Brachymelecta"/>
    <m/>
    <n v="0"/>
    <n v="1"/>
  </r>
  <r>
    <x v="3"/>
    <s v="Apidae"/>
    <s v="Ceratina"/>
    <m/>
    <n v="14"/>
    <n v="11"/>
  </r>
  <r>
    <x v="3"/>
    <s v="Apidae"/>
    <s v="Diadasia*"/>
    <m/>
    <n v="0"/>
    <n v="1"/>
  </r>
  <r>
    <x v="3"/>
    <s v="Apidae"/>
    <s v="Epeolus"/>
    <m/>
    <n v="0"/>
    <n v="1"/>
  </r>
  <r>
    <x v="3"/>
    <s v="Apidae"/>
    <s v="Florilegus"/>
    <m/>
    <n v="0"/>
    <n v="1"/>
  </r>
  <r>
    <x v="3"/>
    <s v="Apidae"/>
    <s v="Habropoda"/>
    <m/>
    <n v="0"/>
    <n v="3"/>
  </r>
  <r>
    <x v="3"/>
    <s v="Apidae"/>
    <s v="Melissodes"/>
    <m/>
    <n v="1"/>
    <n v="0"/>
  </r>
  <r>
    <x v="3"/>
    <s v="Apidae"/>
    <s v="Nomada"/>
    <m/>
    <n v="0"/>
    <n v="6"/>
  </r>
  <r>
    <x v="3"/>
    <s v="Apidae"/>
    <s v="Xylocopa"/>
    <m/>
    <n v="2"/>
    <n v="11"/>
  </r>
  <r>
    <x v="3"/>
    <s v="Apidae"/>
    <s v="Xylocopa"/>
    <s v="Xylocopa virginica"/>
    <n v="0"/>
    <n v="4"/>
  </r>
  <r>
    <x v="3"/>
    <s v="Apidae"/>
    <s v="Unknown"/>
    <m/>
    <n v="0"/>
    <n v="4"/>
  </r>
  <r>
    <x v="3"/>
    <s v="Apocrita (suborder)"/>
    <m/>
    <m/>
    <n v="6"/>
    <n v="0"/>
  </r>
  <r>
    <x v="3"/>
    <s v="Astatidae"/>
    <s v="Astata*"/>
    <m/>
    <n v="1"/>
    <n v="0"/>
  </r>
  <r>
    <x v="3"/>
    <s v="Bembicidae"/>
    <s v="Sphecius"/>
    <s v="Sphecius speciosus"/>
    <n v="9"/>
    <n v="0"/>
  </r>
  <r>
    <x v="3"/>
    <s v="Braconidae"/>
    <m/>
    <m/>
    <n v="2"/>
    <n v="0"/>
  </r>
  <r>
    <x v="3"/>
    <s v="Chrysididae"/>
    <m/>
    <m/>
    <n v="1"/>
    <n v="0"/>
  </r>
  <r>
    <x v="3"/>
    <s v="Colletidae"/>
    <s v="Hylaeus"/>
    <m/>
    <n v="26"/>
    <n v="20"/>
  </r>
  <r>
    <x v="3"/>
    <s v="Colletidae"/>
    <s v="Hylaeus_leptocephalus"/>
    <m/>
    <n v="0"/>
    <n v="10"/>
  </r>
  <r>
    <x v="3"/>
    <s v="Colletidae"/>
    <s v="Hylaeus_modestus"/>
    <m/>
    <n v="0"/>
    <n v="12"/>
  </r>
  <r>
    <x v="3"/>
    <s v="Eurytomidae"/>
    <s v="Eurytoma"/>
    <m/>
    <n v="1"/>
    <n v="0"/>
  </r>
  <r>
    <x v="3"/>
    <s v="Gasteruptiinae"/>
    <s v="Gasteruption"/>
    <m/>
    <n v="1"/>
    <n v="0"/>
  </r>
  <r>
    <x v="3"/>
    <s v="Halictidae"/>
    <s v="Agapostemon"/>
    <m/>
    <n v="8"/>
    <n v="0"/>
  </r>
  <r>
    <x v="3"/>
    <s v="Halictidae"/>
    <s v="Agapostemon"/>
    <s v="Agapostemon splendens"/>
    <n v="0"/>
    <n v="1"/>
  </r>
  <r>
    <x v="3"/>
    <s v="Halictidae"/>
    <s v="Augochlora"/>
    <m/>
    <n v="55"/>
    <n v="15"/>
  </r>
  <r>
    <x v="3"/>
    <s v="Halictidae"/>
    <s v="Augochlorella"/>
    <m/>
    <n v="0"/>
    <n v="9"/>
  </r>
  <r>
    <x v="3"/>
    <s v="Halictidae"/>
    <s v="Augochloropsis"/>
    <m/>
    <n v="0"/>
    <n v="11"/>
  </r>
  <r>
    <x v="3"/>
    <s v="Halictidae"/>
    <s v="Green.Sweatbee"/>
    <m/>
    <n v="8"/>
    <n v="0"/>
  </r>
  <r>
    <x v="3"/>
    <s v="Halictidae"/>
    <s v="Halictus"/>
    <m/>
    <n v="46"/>
    <n v="14"/>
  </r>
  <r>
    <x v="3"/>
    <s v="Halictidae"/>
    <s v="Halictus"/>
    <s v="Halictus ligatus"/>
    <n v="0"/>
    <n v="3"/>
  </r>
  <r>
    <x v="3"/>
    <s v="Halictidae"/>
    <s v="Halictus"/>
    <s v="Halictus rubicundus"/>
    <n v="0"/>
    <n v="9"/>
  </r>
  <r>
    <x v="3"/>
    <s v="Halictidae"/>
    <s v="Halictus"/>
    <s v="Halictus tripartitus"/>
    <n v="0"/>
    <n v="27"/>
  </r>
  <r>
    <x v="3"/>
    <s v="Halictidae"/>
    <s v="Lasioglossum"/>
    <m/>
    <n v="302"/>
    <n v="26"/>
  </r>
  <r>
    <x v="3"/>
    <s v="Halictidae"/>
    <s v="Sphecodes"/>
    <m/>
    <n v="0"/>
    <n v="4"/>
  </r>
  <r>
    <x v="3"/>
    <s v="Halictidae"/>
    <m/>
    <m/>
    <n v="5"/>
    <n v="0"/>
  </r>
  <r>
    <x v="3"/>
    <s v="Megachilidae"/>
    <s v="Anthidium"/>
    <s v="Anthidium oblongatum"/>
    <n v="0"/>
    <n v="1"/>
  </r>
  <r>
    <x v="3"/>
    <s v="Megachilidae"/>
    <s v="Anthidium"/>
    <m/>
    <n v="0"/>
    <n v="2"/>
  </r>
  <r>
    <x v="3"/>
    <s v="Megachilidae"/>
    <s v="Chelostoma"/>
    <m/>
    <n v="0"/>
    <n v="6"/>
  </r>
  <r>
    <x v="3"/>
    <s v="Megachilidae"/>
    <s v="Heriades"/>
    <m/>
    <n v="0"/>
    <n v="1"/>
  </r>
  <r>
    <x v="3"/>
    <s v="Megachilidae"/>
    <s v="Megachile"/>
    <s v="Megachile sculpturalis"/>
    <n v="0"/>
    <n v="2"/>
  </r>
  <r>
    <x v="3"/>
    <s v="Megachilidae"/>
    <s v="Megachile"/>
    <s v="Melissodes bimaculatus"/>
    <n v="0"/>
    <n v="2"/>
  </r>
  <r>
    <x v="3"/>
    <s v="Megachilidae"/>
    <s v="Megachile"/>
    <m/>
    <n v="0"/>
    <n v="1"/>
  </r>
  <r>
    <x v="3"/>
    <s v="Megachilidae"/>
    <s v="Osmia"/>
    <m/>
    <n v="0"/>
    <n v="5"/>
  </r>
  <r>
    <x v="3"/>
    <s v="Megachilidae"/>
    <s v="Stelis"/>
    <m/>
    <n v="0"/>
    <n v="4"/>
  </r>
  <r>
    <x v="3"/>
    <s v="Melittidae"/>
    <s v="Macropis"/>
    <s v="Note: not included in final count after checked by hand"/>
    <n v="0"/>
    <n v="2"/>
  </r>
  <r>
    <x v="3"/>
    <s v="Philanthidae"/>
    <s v="Cerceris"/>
    <m/>
    <n v="1"/>
    <n v="0"/>
  </r>
  <r>
    <x v="3"/>
    <s v="Scoliidae"/>
    <s v="Scolia"/>
    <m/>
    <n v="0"/>
    <n v="0"/>
  </r>
  <r>
    <x v="3"/>
    <s v="Sphecidae"/>
    <s v="Sphex"/>
    <m/>
    <n v="26"/>
    <n v="0"/>
  </r>
  <r>
    <x v="3"/>
    <s v="Vespidae"/>
    <s v="Dolichovespula"/>
    <s v="Dolichovespula maculata"/>
    <n v="5"/>
    <n v="0"/>
  </r>
  <r>
    <x v="3"/>
    <s v="Vespidae"/>
    <s v="Dolichovespula"/>
    <m/>
    <n v="172"/>
    <n v="0"/>
  </r>
  <r>
    <x v="3"/>
    <s v="Vespidae"/>
    <s v="Symmorphus"/>
    <m/>
    <n v="1"/>
    <n v="0"/>
  </r>
  <r>
    <x v="3"/>
    <s v="Vespidae"/>
    <m/>
    <m/>
    <n v="26"/>
    <n v="0"/>
  </r>
  <r>
    <x v="4"/>
    <m/>
    <m/>
    <m/>
    <n v="1"/>
    <n v="62"/>
  </r>
  <r>
    <x v="5"/>
    <s v="Hesperiidae"/>
    <s v="Epargyreus"/>
    <s v="Epargyreus clarus"/>
    <n v="8"/>
    <n v="0"/>
  </r>
  <r>
    <x v="5"/>
    <s v="Hesperiidae"/>
    <m/>
    <m/>
    <n v="1"/>
    <n v="0"/>
  </r>
  <r>
    <x v="5"/>
    <s v="Lycaenidae"/>
    <s v="Celastrina"/>
    <s v="Celastrina ladon"/>
    <n v="1"/>
    <n v="0"/>
  </r>
  <r>
    <x v="5"/>
    <s v="Nymphalidae"/>
    <s v="Libythean"/>
    <s v="Libythean carinenta"/>
    <n v="1"/>
    <n v="0"/>
  </r>
  <r>
    <x v="5"/>
    <s v="Nymphalidae"/>
    <s v="Polygonia"/>
    <s v="Polygonia comma"/>
    <n v="3"/>
    <n v="0"/>
  </r>
  <r>
    <x v="5"/>
    <s v="Nymphalidae"/>
    <s v="Vanessa"/>
    <s v="Vanessa atalanta"/>
    <n v="2"/>
    <n v="0"/>
  </r>
  <r>
    <x v="5"/>
    <s v="Pieridae"/>
    <s v="Pieris"/>
    <s v="Pieris rapae"/>
    <n v="1"/>
    <n v="0"/>
  </r>
  <r>
    <x v="6"/>
    <m/>
    <m/>
    <m/>
    <n v="1"/>
    <n v="3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379132E-AE53-4D37-89CA-9E1DB7487CF0}" name="PivotTable1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11" firstHeaderRow="1" firstDataRow="1" firstDataCol="1"/>
  <pivotFields count="6">
    <pivotField axis="axisRow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/>
    <pivotField showAll="0"/>
    <pivotField showAll="0"/>
    <pivotField dataField="1" showAll="0"/>
    <pivotField showAll="0"/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Sum of 2024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4013BD7-C8F5-48B6-99F9-818B9F603F71}" name="PivotTable14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11" firstHeaderRow="1" firstDataRow="1" firstDataCol="1"/>
  <pivotFields count="6">
    <pivotField axis="axisRow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/>
    <pivotField showAll="0"/>
    <pivotField showAll="0"/>
    <pivotField showAll="0"/>
    <pivotField dataField="1" showAll="0"/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Sum of 2019-2022" fld="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Colorblind 1">
      <a:dk1>
        <a:srgbClr val="000000"/>
      </a:dk1>
      <a:lt1>
        <a:sysClr val="window" lastClr="FFFFFF"/>
      </a:lt1>
      <a:dk2>
        <a:srgbClr val="56B4E9"/>
      </a:dk2>
      <a:lt2>
        <a:srgbClr val="2B9F78"/>
      </a:lt2>
      <a:accent1>
        <a:srgbClr val="F0E442"/>
      </a:accent1>
      <a:accent2>
        <a:srgbClr val="0072B2"/>
      </a:accent2>
      <a:accent3>
        <a:srgbClr val="D55E00"/>
      </a:accent3>
      <a:accent4>
        <a:srgbClr val="CC79A7"/>
      </a:accent4>
      <a:accent5>
        <a:srgbClr val="DDDDDD"/>
      </a:accent5>
      <a:accent6>
        <a:srgbClr val="808080"/>
      </a:accent6>
      <a:hlink>
        <a:srgbClr val="0072B2"/>
      </a:hlink>
      <a:folHlink>
        <a:srgbClr val="CC79A7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B27E4-A417-4B9F-B938-47FA1C1FEA4E}">
  <dimension ref="A3:F54"/>
  <sheetViews>
    <sheetView topLeftCell="A5" zoomScale="80" zoomScaleNormal="80" zoomScalePageLayoutView="50" workbookViewId="0">
      <selection activeCell="D17" sqref="D17"/>
    </sheetView>
  </sheetViews>
  <sheetFormatPr defaultRowHeight="14.4" x14ac:dyDescent="0.3"/>
  <cols>
    <col min="1" max="1" width="21.44140625" bestFit="1" customWidth="1"/>
    <col min="2" max="2" width="20" customWidth="1"/>
  </cols>
  <sheetData>
    <row r="3" spans="1:3" x14ac:dyDescent="0.3">
      <c r="A3" s="1" t="s">
        <v>143</v>
      </c>
      <c r="B3" t="s">
        <v>144</v>
      </c>
    </row>
    <row r="4" spans="1:3" x14ac:dyDescent="0.3">
      <c r="A4" s="2" t="s">
        <v>4</v>
      </c>
      <c r="B4">
        <v>34</v>
      </c>
    </row>
    <row r="5" spans="1:3" x14ac:dyDescent="0.3">
      <c r="A5" s="2" t="s">
        <v>11</v>
      </c>
      <c r="B5">
        <v>568</v>
      </c>
    </row>
    <row r="6" spans="1:3" x14ac:dyDescent="0.3">
      <c r="A6" s="2" t="s">
        <v>26</v>
      </c>
      <c r="B6">
        <v>7</v>
      </c>
    </row>
    <row r="7" spans="1:3" x14ac:dyDescent="0.3">
      <c r="A7" s="2" t="s">
        <v>31</v>
      </c>
      <c r="B7">
        <v>1287</v>
      </c>
    </row>
    <row r="8" spans="1:3" x14ac:dyDescent="0.3">
      <c r="A8" s="2" t="s">
        <v>123</v>
      </c>
      <c r="B8">
        <v>1</v>
      </c>
    </row>
    <row r="9" spans="1:3" x14ac:dyDescent="0.3">
      <c r="A9" s="2" t="s">
        <v>124</v>
      </c>
      <c r="B9">
        <v>17</v>
      </c>
    </row>
    <row r="10" spans="1:3" x14ac:dyDescent="0.3">
      <c r="A10" s="2" t="s">
        <v>141</v>
      </c>
      <c r="B10">
        <v>1</v>
      </c>
    </row>
    <row r="11" spans="1:3" x14ac:dyDescent="0.3">
      <c r="A11" s="2" t="s">
        <v>145</v>
      </c>
      <c r="B11">
        <v>1915</v>
      </c>
    </row>
    <row r="14" spans="1:3" s="3" customFormat="1" x14ac:dyDescent="0.3">
      <c r="A14" s="3" t="s">
        <v>156</v>
      </c>
      <c r="B14" s="3" t="s">
        <v>144</v>
      </c>
      <c r="C14" s="3" t="s">
        <v>149</v>
      </c>
    </row>
    <row r="15" spans="1:3" x14ac:dyDescent="0.3">
      <c r="A15" t="s">
        <v>31</v>
      </c>
      <c r="B15">
        <v>1288</v>
      </c>
      <c r="C15" s="4">
        <f>B15/$B$20</f>
        <v>0.67258485639686683</v>
      </c>
    </row>
    <row r="16" spans="1:3" x14ac:dyDescent="0.3">
      <c r="A16" t="s">
        <v>11</v>
      </c>
      <c r="B16">
        <v>568</v>
      </c>
      <c r="C16" s="4">
        <f>B16/$B$20</f>
        <v>0.29660574412532636</v>
      </c>
    </row>
    <row r="17" spans="1:6" x14ac:dyDescent="0.3">
      <c r="A17" t="s">
        <v>4</v>
      </c>
      <c r="B17">
        <v>34</v>
      </c>
      <c r="C17" s="4">
        <f>B17/$B$20</f>
        <v>1.7754569190600523E-2</v>
      </c>
    </row>
    <row r="18" spans="1:6" x14ac:dyDescent="0.3">
      <c r="A18" t="s">
        <v>124</v>
      </c>
      <c r="B18">
        <v>18</v>
      </c>
      <c r="C18" s="4">
        <f>B18/$B$20</f>
        <v>9.3994778067885126E-3</v>
      </c>
    </row>
    <row r="19" spans="1:6" x14ac:dyDescent="0.3">
      <c r="A19" t="s">
        <v>26</v>
      </c>
      <c r="B19">
        <v>7</v>
      </c>
      <c r="C19" s="4">
        <f>B19/$B$20</f>
        <v>3.6553524804177544E-3</v>
      </c>
    </row>
    <row r="20" spans="1:6" s="3" customFormat="1" x14ac:dyDescent="0.3">
      <c r="A20" s="3" t="s">
        <v>145</v>
      </c>
      <c r="B20" s="3">
        <v>1915</v>
      </c>
      <c r="C20" s="5">
        <f t="shared" ref="C20" si="0">B20/$B$20</f>
        <v>1</v>
      </c>
    </row>
    <row r="22" spans="1:6" x14ac:dyDescent="0.3">
      <c r="A22" s="3" t="s">
        <v>157</v>
      </c>
      <c r="B22" s="3" t="s">
        <v>149</v>
      </c>
      <c r="C22" s="3" t="s">
        <v>144</v>
      </c>
    </row>
    <row r="23" spans="1:6" x14ac:dyDescent="0.3">
      <c r="A23" t="s">
        <v>158</v>
      </c>
      <c r="B23" s="4">
        <f>$C23/$C$27</f>
        <v>0.609375</v>
      </c>
      <c r="C23">
        <f>1288-SUM(C20:C22)</f>
        <v>1287</v>
      </c>
    </row>
    <row r="24" spans="1:6" x14ac:dyDescent="0.3">
      <c r="A24" t="s">
        <v>98</v>
      </c>
      <c r="B24" s="4">
        <f>$C24/$C$27</f>
        <v>0.14299242424242425</v>
      </c>
      <c r="C24">
        <v>302</v>
      </c>
    </row>
    <row r="25" spans="1:6" x14ac:dyDescent="0.3">
      <c r="A25" t="s">
        <v>159</v>
      </c>
      <c r="B25" s="4">
        <f>$C25/$C$27</f>
        <v>0.13257575757575757</v>
      </c>
      <c r="C25">
        <v>280</v>
      </c>
    </row>
    <row r="26" spans="1:6" x14ac:dyDescent="0.3">
      <c r="A26" t="s">
        <v>52</v>
      </c>
      <c r="B26" s="4">
        <f>$C26/$C$27</f>
        <v>0.11505681818181818</v>
      </c>
      <c r="C26">
        <v>243</v>
      </c>
    </row>
    <row r="27" spans="1:6" x14ac:dyDescent="0.3">
      <c r="A27" t="s">
        <v>147</v>
      </c>
      <c r="B27" s="4">
        <f>$C27/$C$27</f>
        <v>1</v>
      </c>
      <c r="C27">
        <f>SUM(C23:C26)</f>
        <v>2112</v>
      </c>
      <c r="F27">
        <v>26</v>
      </c>
    </row>
    <row r="28" spans="1:6" x14ac:dyDescent="0.3">
      <c r="F28">
        <v>71</v>
      </c>
    </row>
    <row r="29" spans="1:6" x14ac:dyDescent="0.3">
      <c r="A29" s="3" t="s">
        <v>157</v>
      </c>
      <c r="B29" s="3" t="s">
        <v>149</v>
      </c>
      <c r="C29" s="3" t="s">
        <v>146</v>
      </c>
      <c r="F29">
        <v>41</v>
      </c>
    </row>
    <row r="30" spans="1:6" x14ac:dyDescent="0.3">
      <c r="A30" t="s">
        <v>158</v>
      </c>
      <c r="B30" s="4">
        <v>0.69500924214417747</v>
      </c>
      <c r="C30">
        <v>376</v>
      </c>
    </row>
    <row r="31" spans="1:6" x14ac:dyDescent="0.3">
      <c r="A31" t="s">
        <v>159</v>
      </c>
      <c r="B31" s="4">
        <v>0.13123844731977818</v>
      </c>
      <c r="C31">
        <v>71</v>
      </c>
    </row>
    <row r="32" spans="1:6" x14ac:dyDescent="0.3">
      <c r="A32" t="s">
        <v>52</v>
      </c>
      <c r="B32" s="4">
        <v>7.5785582255083181E-2</v>
      </c>
      <c r="C32">
        <v>41</v>
      </c>
    </row>
    <row r="33" spans="1:3" x14ac:dyDescent="0.3">
      <c r="A33" t="s">
        <v>94</v>
      </c>
      <c r="B33" s="4">
        <v>4.9907578558225509E-2</v>
      </c>
      <c r="C33">
        <v>27</v>
      </c>
    </row>
    <row r="34" spans="1:3" x14ac:dyDescent="0.3">
      <c r="A34" t="s">
        <v>98</v>
      </c>
      <c r="B34" s="4">
        <v>4.8059149722735672E-2</v>
      </c>
      <c r="C34">
        <v>26</v>
      </c>
    </row>
    <row r="35" spans="1:3" x14ac:dyDescent="0.3">
      <c r="A35" t="s">
        <v>147</v>
      </c>
      <c r="B35" s="4">
        <v>1</v>
      </c>
      <c r="C35">
        <v>541</v>
      </c>
    </row>
    <row r="37" spans="1:3" x14ac:dyDescent="0.3">
      <c r="A37" s="3" t="s">
        <v>156</v>
      </c>
      <c r="B37" s="3" t="s">
        <v>146</v>
      </c>
      <c r="C37" s="3" t="s">
        <v>149</v>
      </c>
    </row>
    <row r="38" spans="1:3" x14ac:dyDescent="0.3">
      <c r="A38" t="s">
        <v>31</v>
      </c>
      <c r="B38">
        <f>62+479</f>
        <v>541</v>
      </c>
      <c r="C38" s="4">
        <f t="shared" ref="C38:C43" si="1">$B38/$B$43</f>
        <v>0.73405698778833106</v>
      </c>
    </row>
    <row r="39" spans="1:3" x14ac:dyDescent="0.3">
      <c r="A39" t="s">
        <v>11</v>
      </c>
      <c r="B39">
        <v>104</v>
      </c>
      <c r="C39" s="4">
        <f t="shared" si="1"/>
        <v>0.14111261872455902</v>
      </c>
    </row>
    <row r="40" spans="1:3" x14ac:dyDescent="0.3">
      <c r="A40" t="s">
        <v>4</v>
      </c>
      <c r="B40">
        <v>54</v>
      </c>
      <c r="C40" s="4">
        <f t="shared" si="1"/>
        <v>7.3270013568521031E-2</v>
      </c>
    </row>
    <row r="41" spans="1:3" x14ac:dyDescent="0.3">
      <c r="A41" t="s">
        <v>124</v>
      </c>
      <c r="B41">
        <v>38</v>
      </c>
      <c r="C41" s="4">
        <f t="shared" si="1"/>
        <v>5.1560379918588875E-2</v>
      </c>
    </row>
    <row r="42" spans="1:3" x14ac:dyDescent="0.3">
      <c r="A42" t="s">
        <v>26</v>
      </c>
      <c r="B42">
        <v>0</v>
      </c>
      <c r="C42" s="4">
        <f t="shared" si="1"/>
        <v>0</v>
      </c>
    </row>
    <row r="43" spans="1:3" x14ac:dyDescent="0.3">
      <c r="A43" s="3" t="s">
        <v>145</v>
      </c>
      <c r="B43" s="3">
        <v>737</v>
      </c>
      <c r="C43" s="5">
        <f t="shared" si="1"/>
        <v>1</v>
      </c>
    </row>
    <row r="54" spans="1:1" x14ac:dyDescent="0.3">
      <c r="A54" t="s">
        <v>160</v>
      </c>
    </row>
  </sheetData>
  <sortState xmlns:xlrd2="http://schemas.microsoft.com/office/spreadsheetml/2017/richdata2" ref="A30:F34">
    <sortCondition descending="1" ref="C30:C34"/>
  </sortState>
  <pageMargins left="0.7" right="0.7" top="0.75" bottom="0.75" header="0.3" footer="0.3"/>
  <pageSetup orientation="portrait" horizontalDpi="1200" verticalDpi="1200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EAFC51-9B87-46AA-8DEB-2D496E80B702}">
  <dimension ref="A1:D124"/>
  <sheetViews>
    <sheetView tabSelected="1" workbookViewId="0">
      <selection activeCell="D2" sqref="D2"/>
    </sheetView>
  </sheetViews>
  <sheetFormatPr defaultRowHeight="14.4" x14ac:dyDescent="0.3"/>
  <cols>
    <col min="1" max="1" width="21.44140625" bestFit="1" customWidth="1"/>
  </cols>
  <sheetData>
    <row r="1" spans="1:4" s="3" customFormat="1" x14ac:dyDescent="0.3">
      <c r="A1" s="3" t="s">
        <v>168</v>
      </c>
      <c r="B1" s="3" t="s">
        <v>169</v>
      </c>
      <c r="C1" s="3" t="s">
        <v>171</v>
      </c>
      <c r="D1" s="3" t="s">
        <v>172</v>
      </c>
    </row>
    <row r="2" spans="1:4" x14ac:dyDescent="0.3">
      <c r="A2" t="s">
        <v>4</v>
      </c>
      <c r="B2" t="s">
        <v>170</v>
      </c>
      <c r="C2">
        <v>54</v>
      </c>
      <c r="D2" t="s">
        <v>142</v>
      </c>
    </row>
    <row r="3" spans="1:4" x14ac:dyDescent="0.3">
      <c r="A3" t="s">
        <v>11</v>
      </c>
      <c r="B3" t="s">
        <v>22</v>
      </c>
      <c r="C3">
        <v>49</v>
      </c>
      <c r="D3" t="s">
        <v>142</v>
      </c>
    </row>
    <row r="4" spans="1:4" x14ac:dyDescent="0.3">
      <c r="A4" t="s">
        <v>11</v>
      </c>
      <c r="B4" t="s">
        <v>10</v>
      </c>
      <c r="C4">
        <v>55</v>
      </c>
      <c r="D4" t="s">
        <v>142</v>
      </c>
    </row>
    <row r="5" spans="1:4" x14ac:dyDescent="0.3">
      <c r="A5" t="s">
        <v>31</v>
      </c>
      <c r="B5" t="s">
        <v>32</v>
      </c>
      <c r="C5">
        <v>3</v>
      </c>
      <c r="D5" t="s">
        <v>142</v>
      </c>
    </row>
    <row r="6" spans="1:4" x14ac:dyDescent="0.3">
      <c r="A6" t="s">
        <v>31</v>
      </c>
      <c r="B6" t="s">
        <v>32</v>
      </c>
      <c r="C6">
        <v>1</v>
      </c>
      <c r="D6" t="s">
        <v>142</v>
      </c>
    </row>
    <row r="7" spans="1:4" x14ac:dyDescent="0.3">
      <c r="A7" t="s">
        <v>31</v>
      </c>
      <c r="B7" t="s">
        <v>32</v>
      </c>
      <c r="C7">
        <v>1</v>
      </c>
      <c r="D7" t="s">
        <v>142</v>
      </c>
    </row>
    <row r="8" spans="1:4" x14ac:dyDescent="0.3">
      <c r="A8" t="s">
        <v>31</v>
      </c>
      <c r="B8" t="s">
        <v>32</v>
      </c>
      <c r="C8">
        <v>6</v>
      </c>
      <c r="D8" t="s">
        <v>142</v>
      </c>
    </row>
    <row r="9" spans="1:4" x14ac:dyDescent="0.3">
      <c r="A9" t="s">
        <v>31</v>
      </c>
      <c r="B9" t="s">
        <v>32</v>
      </c>
      <c r="C9">
        <v>4</v>
      </c>
      <c r="D9" t="s">
        <v>142</v>
      </c>
    </row>
    <row r="10" spans="1:4" x14ac:dyDescent="0.3">
      <c r="A10" t="s">
        <v>31</v>
      </c>
      <c r="B10" t="s">
        <v>40</v>
      </c>
      <c r="C10">
        <v>71</v>
      </c>
      <c r="D10" t="s">
        <v>142</v>
      </c>
    </row>
    <row r="11" spans="1:4" x14ac:dyDescent="0.3">
      <c r="A11" t="s">
        <v>31</v>
      </c>
      <c r="B11" t="s">
        <v>40</v>
      </c>
      <c r="C11">
        <v>4</v>
      </c>
      <c r="D11" t="s">
        <v>142</v>
      </c>
    </row>
    <row r="12" spans="1:4" x14ac:dyDescent="0.3">
      <c r="A12" t="s">
        <v>31</v>
      </c>
      <c r="B12" t="s">
        <v>40</v>
      </c>
      <c r="C12">
        <v>1</v>
      </c>
      <c r="D12" t="s">
        <v>142</v>
      </c>
    </row>
    <row r="13" spans="1:4" x14ac:dyDescent="0.3">
      <c r="A13" t="s">
        <v>31</v>
      </c>
      <c r="B13" t="s">
        <v>40</v>
      </c>
      <c r="C13">
        <v>1</v>
      </c>
      <c r="D13" t="s">
        <v>142</v>
      </c>
    </row>
    <row r="14" spans="1:4" x14ac:dyDescent="0.3">
      <c r="A14" t="s">
        <v>31</v>
      </c>
      <c r="B14" t="s">
        <v>40</v>
      </c>
      <c r="C14">
        <v>16</v>
      </c>
      <c r="D14" t="s">
        <v>142</v>
      </c>
    </row>
    <row r="15" spans="1:4" x14ac:dyDescent="0.3">
      <c r="A15" t="s">
        <v>31</v>
      </c>
      <c r="B15" t="s">
        <v>40</v>
      </c>
      <c r="C15">
        <v>20</v>
      </c>
      <c r="D15" t="s">
        <v>142</v>
      </c>
    </row>
    <row r="16" spans="1:4" x14ac:dyDescent="0.3">
      <c r="A16" t="s">
        <v>31</v>
      </c>
      <c r="B16" t="s">
        <v>40</v>
      </c>
      <c r="C16">
        <v>11</v>
      </c>
      <c r="D16" t="s">
        <v>142</v>
      </c>
    </row>
    <row r="17" spans="1:4" x14ac:dyDescent="0.3">
      <c r="A17" t="s">
        <v>31</v>
      </c>
      <c r="B17" t="s">
        <v>40</v>
      </c>
      <c r="C17">
        <v>12</v>
      </c>
      <c r="D17" t="s">
        <v>142</v>
      </c>
    </row>
    <row r="18" spans="1:4" x14ac:dyDescent="0.3">
      <c r="A18" t="s">
        <v>31</v>
      </c>
      <c r="B18" t="s">
        <v>40</v>
      </c>
      <c r="C18">
        <v>2</v>
      </c>
      <c r="D18" t="s">
        <v>142</v>
      </c>
    </row>
    <row r="19" spans="1:4" x14ac:dyDescent="0.3">
      <c r="A19" t="s">
        <v>31</v>
      </c>
      <c r="B19" t="s">
        <v>40</v>
      </c>
      <c r="C19">
        <v>41</v>
      </c>
      <c r="D19" t="s">
        <v>142</v>
      </c>
    </row>
    <row r="20" spans="1:4" x14ac:dyDescent="0.3">
      <c r="A20" t="s">
        <v>31</v>
      </c>
      <c r="B20" t="s">
        <v>40</v>
      </c>
      <c r="C20">
        <v>2</v>
      </c>
      <c r="D20" t="s">
        <v>142</v>
      </c>
    </row>
    <row r="21" spans="1:4" x14ac:dyDescent="0.3">
      <c r="A21" t="s">
        <v>31</v>
      </c>
      <c r="B21" t="s">
        <v>40</v>
      </c>
      <c r="C21">
        <v>3</v>
      </c>
      <c r="D21" t="s">
        <v>142</v>
      </c>
    </row>
    <row r="22" spans="1:4" x14ac:dyDescent="0.3">
      <c r="A22" t="s">
        <v>31</v>
      </c>
      <c r="B22" t="s">
        <v>40</v>
      </c>
      <c r="C22">
        <v>9</v>
      </c>
      <c r="D22" t="s">
        <v>142</v>
      </c>
    </row>
    <row r="23" spans="1:4" x14ac:dyDescent="0.3">
      <c r="A23" t="s">
        <v>31</v>
      </c>
      <c r="B23" t="s">
        <v>40</v>
      </c>
      <c r="C23">
        <v>7</v>
      </c>
      <c r="D23" t="s">
        <v>142</v>
      </c>
    </row>
    <row r="24" spans="1:4" x14ac:dyDescent="0.3">
      <c r="A24" t="s">
        <v>31</v>
      </c>
      <c r="B24" t="s">
        <v>40</v>
      </c>
      <c r="C24">
        <v>16</v>
      </c>
      <c r="D24" t="s">
        <v>142</v>
      </c>
    </row>
    <row r="25" spans="1:4" x14ac:dyDescent="0.3">
      <c r="A25" t="s">
        <v>31</v>
      </c>
      <c r="B25" t="s">
        <v>40</v>
      </c>
      <c r="C25">
        <v>18</v>
      </c>
      <c r="D25" t="s">
        <v>142</v>
      </c>
    </row>
    <row r="26" spans="1:4" x14ac:dyDescent="0.3">
      <c r="A26" t="s">
        <v>31</v>
      </c>
      <c r="B26" t="s">
        <v>40</v>
      </c>
      <c r="C26">
        <v>1</v>
      </c>
      <c r="D26" t="s">
        <v>142</v>
      </c>
    </row>
    <row r="27" spans="1:4" x14ac:dyDescent="0.3">
      <c r="A27" t="s">
        <v>31</v>
      </c>
      <c r="B27" t="s">
        <v>40</v>
      </c>
      <c r="C27">
        <v>11</v>
      </c>
      <c r="D27" t="s">
        <v>142</v>
      </c>
    </row>
    <row r="28" spans="1:4" x14ac:dyDescent="0.3">
      <c r="A28" t="s">
        <v>31</v>
      </c>
      <c r="B28" t="s">
        <v>40</v>
      </c>
      <c r="C28">
        <v>1</v>
      </c>
      <c r="D28" t="s">
        <v>142</v>
      </c>
    </row>
    <row r="29" spans="1:4" x14ac:dyDescent="0.3">
      <c r="A29" t="s">
        <v>31</v>
      </c>
      <c r="B29" t="s">
        <v>40</v>
      </c>
      <c r="C29">
        <v>1</v>
      </c>
      <c r="D29" t="s">
        <v>142</v>
      </c>
    </row>
    <row r="30" spans="1:4" x14ac:dyDescent="0.3">
      <c r="A30" t="s">
        <v>31</v>
      </c>
      <c r="B30" t="s">
        <v>40</v>
      </c>
      <c r="C30">
        <v>1</v>
      </c>
      <c r="D30" t="s">
        <v>142</v>
      </c>
    </row>
    <row r="31" spans="1:4" x14ac:dyDescent="0.3">
      <c r="A31" t="s">
        <v>31</v>
      </c>
      <c r="B31" t="s">
        <v>40</v>
      </c>
      <c r="C31">
        <v>3</v>
      </c>
      <c r="D31" t="s">
        <v>142</v>
      </c>
    </row>
    <row r="32" spans="1:4" x14ac:dyDescent="0.3">
      <c r="A32" t="s">
        <v>31</v>
      </c>
      <c r="B32" t="s">
        <v>40</v>
      </c>
      <c r="C32">
        <v>6</v>
      </c>
      <c r="D32" t="s">
        <v>142</v>
      </c>
    </row>
    <row r="33" spans="1:4" x14ac:dyDescent="0.3">
      <c r="A33" t="s">
        <v>31</v>
      </c>
      <c r="B33" t="s">
        <v>40</v>
      </c>
      <c r="C33">
        <v>11</v>
      </c>
      <c r="D33" t="s">
        <v>142</v>
      </c>
    </row>
    <row r="34" spans="1:4" x14ac:dyDescent="0.3">
      <c r="A34" t="s">
        <v>31</v>
      </c>
      <c r="B34" t="s">
        <v>40</v>
      </c>
      <c r="C34">
        <v>4</v>
      </c>
      <c r="D34" t="s">
        <v>142</v>
      </c>
    </row>
    <row r="35" spans="1:4" x14ac:dyDescent="0.3">
      <c r="A35" t="s">
        <v>31</v>
      </c>
      <c r="B35" t="s">
        <v>40</v>
      </c>
      <c r="C35">
        <v>4</v>
      </c>
      <c r="D35" t="s">
        <v>142</v>
      </c>
    </row>
    <row r="36" spans="1:4" x14ac:dyDescent="0.3">
      <c r="A36" t="s">
        <v>31</v>
      </c>
      <c r="B36" t="s">
        <v>79</v>
      </c>
      <c r="C36">
        <v>20</v>
      </c>
      <c r="D36" t="s">
        <v>142</v>
      </c>
    </row>
    <row r="37" spans="1:4" x14ac:dyDescent="0.3">
      <c r="A37" t="s">
        <v>31</v>
      </c>
      <c r="B37" t="s">
        <v>79</v>
      </c>
      <c r="C37">
        <v>10</v>
      </c>
      <c r="D37" t="s">
        <v>142</v>
      </c>
    </row>
    <row r="38" spans="1:4" x14ac:dyDescent="0.3">
      <c r="A38" t="s">
        <v>31</v>
      </c>
      <c r="B38" t="s">
        <v>79</v>
      </c>
      <c r="C38">
        <v>12</v>
      </c>
      <c r="D38" t="s">
        <v>142</v>
      </c>
    </row>
    <row r="39" spans="1:4" x14ac:dyDescent="0.3">
      <c r="A39" t="s">
        <v>31</v>
      </c>
      <c r="B39" t="s">
        <v>87</v>
      </c>
      <c r="C39">
        <v>1</v>
      </c>
      <c r="D39" t="s">
        <v>142</v>
      </c>
    </row>
    <row r="40" spans="1:4" x14ac:dyDescent="0.3">
      <c r="A40" t="s">
        <v>31</v>
      </c>
      <c r="B40" t="s">
        <v>87</v>
      </c>
      <c r="C40">
        <v>15</v>
      </c>
      <c r="D40" t="s">
        <v>142</v>
      </c>
    </row>
    <row r="41" spans="1:4" x14ac:dyDescent="0.3">
      <c r="A41" t="s">
        <v>31</v>
      </c>
      <c r="B41" t="s">
        <v>87</v>
      </c>
      <c r="C41">
        <v>9</v>
      </c>
      <c r="D41" t="s">
        <v>142</v>
      </c>
    </row>
    <row r="42" spans="1:4" x14ac:dyDescent="0.3">
      <c r="A42" t="s">
        <v>31</v>
      </c>
      <c r="B42" t="s">
        <v>87</v>
      </c>
      <c r="C42">
        <v>11</v>
      </c>
      <c r="D42" t="s">
        <v>142</v>
      </c>
    </row>
    <row r="43" spans="1:4" x14ac:dyDescent="0.3">
      <c r="A43" t="s">
        <v>31</v>
      </c>
      <c r="B43" t="s">
        <v>87</v>
      </c>
      <c r="C43">
        <v>14</v>
      </c>
      <c r="D43" t="s">
        <v>142</v>
      </c>
    </row>
    <row r="44" spans="1:4" x14ac:dyDescent="0.3">
      <c r="A44" t="s">
        <v>31</v>
      </c>
      <c r="B44" t="s">
        <v>87</v>
      </c>
      <c r="C44">
        <v>3</v>
      </c>
      <c r="D44" t="s">
        <v>142</v>
      </c>
    </row>
    <row r="45" spans="1:4" x14ac:dyDescent="0.3">
      <c r="A45" t="s">
        <v>31</v>
      </c>
      <c r="B45" t="s">
        <v>87</v>
      </c>
      <c r="C45">
        <v>9</v>
      </c>
      <c r="D45" t="s">
        <v>142</v>
      </c>
    </row>
    <row r="46" spans="1:4" x14ac:dyDescent="0.3">
      <c r="A46" t="s">
        <v>31</v>
      </c>
      <c r="B46" t="s">
        <v>87</v>
      </c>
      <c r="C46">
        <v>27</v>
      </c>
      <c r="D46" t="s">
        <v>142</v>
      </c>
    </row>
    <row r="47" spans="1:4" x14ac:dyDescent="0.3">
      <c r="A47" t="s">
        <v>31</v>
      </c>
      <c r="B47" t="s">
        <v>87</v>
      </c>
      <c r="C47">
        <v>26</v>
      </c>
      <c r="D47" t="s">
        <v>142</v>
      </c>
    </row>
    <row r="48" spans="1:4" x14ac:dyDescent="0.3">
      <c r="A48" t="s">
        <v>31</v>
      </c>
      <c r="B48" t="s">
        <v>87</v>
      </c>
      <c r="C48">
        <v>4</v>
      </c>
      <c r="D48" t="s">
        <v>142</v>
      </c>
    </row>
    <row r="49" spans="1:4" x14ac:dyDescent="0.3">
      <c r="A49" t="s">
        <v>31</v>
      </c>
      <c r="B49" t="s">
        <v>100</v>
      </c>
      <c r="C49">
        <v>1</v>
      </c>
      <c r="D49" t="s">
        <v>142</v>
      </c>
    </row>
    <row r="50" spans="1:4" x14ac:dyDescent="0.3">
      <c r="A50" t="s">
        <v>31</v>
      </c>
      <c r="B50" t="s">
        <v>100</v>
      </c>
      <c r="C50">
        <v>2</v>
      </c>
      <c r="D50" t="s">
        <v>142</v>
      </c>
    </row>
    <row r="51" spans="1:4" x14ac:dyDescent="0.3">
      <c r="A51" t="s">
        <v>31</v>
      </c>
      <c r="B51" t="s">
        <v>100</v>
      </c>
      <c r="C51">
        <v>6</v>
      </c>
      <c r="D51" t="s">
        <v>142</v>
      </c>
    </row>
    <row r="52" spans="1:4" x14ac:dyDescent="0.3">
      <c r="A52" t="s">
        <v>31</v>
      </c>
      <c r="B52" t="s">
        <v>100</v>
      </c>
      <c r="C52">
        <v>1</v>
      </c>
      <c r="D52" t="s">
        <v>142</v>
      </c>
    </row>
    <row r="53" spans="1:4" x14ac:dyDescent="0.3">
      <c r="A53" t="s">
        <v>31</v>
      </c>
      <c r="B53" t="s">
        <v>100</v>
      </c>
      <c r="C53">
        <v>2</v>
      </c>
      <c r="D53" t="s">
        <v>142</v>
      </c>
    </row>
    <row r="54" spans="1:4" x14ac:dyDescent="0.3">
      <c r="A54" t="s">
        <v>31</v>
      </c>
      <c r="B54" t="s">
        <v>100</v>
      </c>
      <c r="C54">
        <v>2</v>
      </c>
      <c r="D54" t="s">
        <v>142</v>
      </c>
    </row>
    <row r="55" spans="1:4" x14ac:dyDescent="0.3">
      <c r="A55" t="s">
        <v>31</v>
      </c>
      <c r="B55" t="s">
        <v>100</v>
      </c>
      <c r="C55">
        <v>1</v>
      </c>
      <c r="D55" t="s">
        <v>142</v>
      </c>
    </row>
    <row r="56" spans="1:4" x14ac:dyDescent="0.3">
      <c r="A56" t="s">
        <v>31</v>
      </c>
      <c r="B56" t="s">
        <v>100</v>
      </c>
      <c r="C56">
        <v>5</v>
      </c>
      <c r="D56" t="s">
        <v>142</v>
      </c>
    </row>
    <row r="57" spans="1:4" x14ac:dyDescent="0.3">
      <c r="A57" t="s">
        <v>31</v>
      </c>
      <c r="B57" t="s">
        <v>100</v>
      </c>
      <c r="C57">
        <v>4</v>
      </c>
      <c r="D57" t="s">
        <v>142</v>
      </c>
    </row>
    <row r="58" spans="1:4" x14ac:dyDescent="0.3">
      <c r="A58" t="s">
        <v>31</v>
      </c>
      <c r="B58" t="s">
        <v>110</v>
      </c>
      <c r="C58">
        <v>2</v>
      </c>
      <c r="D58" t="s">
        <v>142</v>
      </c>
    </row>
    <row r="59" spans="1:4" x14ac:dyDescent="0.3">
      <c r="A59" t="s">
        <v>123</v>
      </c>
      <c r="B59" t="s">
        <v>123</v>
      </c>
      <c r="C59">
        <v>62</v>
      </c>
      <c r="D59" t="s">
        <v>142</v>
      </c>
    </row>
    <row r="60" spans="1:4" x14ac:dyDescent="0.3">
      <c r="A60" t="s">
        <v>141</v>
      </c>
      <c r="B60" t="s">
        <v>141</v>
      </c>
      <c r="C60">
        <v>38</v>
      </c>
      <c r="D60" t="s">
        <v>142</v>
      </c>
    </row>
    <row r="61" spans="1:4" x14ac:dyDescent="0.3">
      <c r="A61" s="7" t="s">
        <v>4</v>
      </c>
      <c r="B61" s="7" t="s">
        <v>5</v>
      </c>
      <c r="C61" s="7">
        <v>2</v>
      </c>
      <c r="D61">
        <v>2024</v>
      </c>
    </row>
    <row r="62" spans="1:4" x14ac:dyDescent="0.3">
      <c r="A62" s="7" t="s">
        <v>4</v>
      </c>
      <c r="B62" s="7" t="s">
        <v>6</v>
      </c>
      <c r="C62" s="7">
        <v>6</v>
      </c>
      <c r="D62">
        <v>2024</v>
      </c>
    </row>
    <row r="63" spans="1:4" x14ac:dyDescent="0.3">
      <c r="A63" s="7" t="s">
        <v>4</v>
      </c>
      <c r="B63" s="7" t="s">
        <v>7</v>
      </c>
      <c r="C63" s="7">
        <v>7</v>
      </c>
      <c r="D63">
        <v>2024</v>
      </c>
    </row>
    <row r="64" spans="1:4" x14ac:dyDescent="0.3">
      <c r="A64" s="7" t="s">
        <v>4</v>
      </c>
      <c r="B64" s="7" t="s">
        <v>8</v>
      </c>
      <c r="C64" s="7">
        <v>16</v>
      </c>
      <c r="D64">
        <v>2024</v>
      </c>
    </row>
    <row r="65" spans="1:4" x14ac:dyDescent="0.3">
      <c r="A65" s="7" t="s">
        <v>4</v>
      </c>
      <c r="B65" s="7" t="s">
        <v>9</v>
      </c>
      <c r="C65" s="7">
        <v>3</v>
      </c>
      <c r="D65">
        <v>2024</v>
      </c>
    </row>
    <row r="66" spans="1:4" x14ac:dyDescent="0.3">
      <c r="A66" s="7" t="s">
        <v>11</v>
      </c>
      <c r="B66" s="7" t="s">
        <v>12</v>
      </c>
      <c r="C66" s="7">
        <v>5</v>
      </c>
      <c r="D66">
        <v>2024</v>
      </c>
    </row>
    <row r="67" spans="1:4" x14ac:dyDescent="0.3">
      <c r="A67" s="7" t="s">
        <v>11</v>
      </c>
      <c r="B67" s="7" t="s">
        <v>13</v>
      </c>
      <c r="C67" s="7">
        <v>1</v>
      </c>
      <c r="D67">
        <v>2024</v>
      </c>
    </row>
    <row r="68" spans="1:4" x14ac:dyDescent="0.3">
      <c r="A68" s="7" t="s">
        <v>11</v>
      </c>
      <c r="B68" s="7" t="s">
        <v>14</v>
      </c>
      <c r="C68" s="7">
        <v>17</v>
      </c>
      <c r="D68">
        <v>2024</v>
      </c>
    </row>
    <row r="69" spans="1:4" x14ac:dyDescent="0.3">
      <c r="A69" s="7" t="s">
        <v>11</v>
      </c>
      <c r="B69" s="7" t="s">
        <v>15</v>
      </c>
      <c r="C69" s="7">
        <v>43</v>
      </c>
      <c r="D69">
        <v>2024</v>
      </c>
    </row>
    <row r="70" spans="1:4" x14ac:dyDescent="0.3">
      <c r="A70" s="7" t="s">
        <v>11</v>
      </c>
      <c r="B70" s="7" t="s">
        <v>16</v>
      </c>
      <c r="C70" s="7">
        <v>1</v>
      </c>
      <c r="D70">
        <v>2024</v>
      </c>
    </row>
    <row r="71" spans="1:4" x14ac:dyDescent="0.3">
      <c r="A71" s="7" t="s">
        <v>11</v>
      </c>
      <c r="B71" s="7" t="s">
        <v>17</v>
      </c>
      <c r="C71" s="7">
        <v>6</v>
      </c>
      <c r="D71">
        <v>2024</v>
      </c>
    </row>
    <row r="72" spans="1:4" x14ac:dyDescent="0.3">
      <c r="A72" s="7" t="s">
        <v>11</v>
      </c>
      <c r="B72" s="7" t="s">
        <v>18</v>
      </c>
      <c r="C72" s="7">
        <v>63</v>
      </c>
      <c r="D72">
        <v>2024</v>
      </c>
    </row>
    <row r="73" spans="1:4" x14ac:dyDescent="0.3">
      <c r="A73" s="7" t="s">
        <v>11</v>
      </c>
      <c r="B73" s="7" t="s">
        <v>19</v>
      </c>
      <c r="C73" s="7">
        <v>27</v>
      </c>
      <c r="D73">
        <v>2024</v>
      </c>
    </row>
    <row r="74" spans="1:4" x14ac:dyDescent="0.3">
      <c r="A74" s="7" t="s">
        <v>11</v>
      </c>
      <c r="B74" s="7" t="s">
        <v>20</v>
      </c>
      <c r="C74" s="7">
        <v>3</v>
      </c>
      <c r="D74">
        <v>2024</v>
      </c>
    </row>
    <row r="75" spans="1:4" x14ac:dyDescent="0.3">
      <c r="A75" s="7" t="s">
        <v>11</v>
      </c>
      <c r="B75" s="7" t="s">
        <v>21</v>
      </c>
      <c r="C75" s="7">
        <v>61</v>
      </c>
      <c r="D75">
        <v>2024</v>
      </c>
    </row>
    <row r="76" spans="1:4" x14ac:dyDescent="0.3">
      <c r="A76" s="7" t="s">
        <v>11</v>
      </c>
      <c r="B76" s="7" t="s">
        <v>22</v>
      </c>
      <c r="C76" s="7">
        <v>132</v>
      </c>
      <c r="D76">
        <v>2024</v>
      </c>
    </row>
    <row r="77" spans="1:4" x14ac:dyDescent="0.3">
      <c r="A77" s="7" t="s">
        <v>11</v>
      </c>
      <c r="B77" s="7" t="s">
        <v>23</v>
      </c>
      <c r="C77" s="7">
        <v>76</v>
      </c>
      <c r="D77">
        <v>2024</v>
      </c>
    </row>
    <row r="78" spans="1:4" x14ac:dyDescent="0.3">
      <c r="A78" s="7" t="s">
        <v>11</v>
      </c>
      <c r="B78" s="7" t="s">
        <v>24</v>
      </c>
      <c r="C78" s="7">
        <v>1</v>
      </c>
      <c r="D78">
        <v>2024</v>
      </c>
    </row>
    <row r="79" spans="1:4" x14ac:dyDescent="0.3">
      <c r="A79" s="7" t="s">
        <v>11</v>
      </c>
      <c r="B79" s="7" t="s">
        <v>25</v>
      </c>
      <c r="C79" s="7">
        <v>131</v>
      </c>
      <c r="D79">
        <v>2024</v>
      </c>
    </row>
    <row r="80" spans="1:4" x14ac:dyDescent="0.3">
      <c r="A80" s="7" t="s">
        <v>11</v>
      </c>
      <c r="B80" s="7" t="s">
        <v>10</v>
      </c>
      <c r="C80" s="7">
        <v>1</v>
      </c>
      <c r="D80">
        <v>2024</v>
      </c>
    </row>
    <row r="81" spans="1:4" x14ac:dyDescent="0.3">
      <c r="A81" s="7" t="s">
        <v>26</v>
      </c>
      <c r="B81" s="7" t="s">
        <v>27</v>
      </c>
      <c r="C81" s="7">
        <v>1</v>
      </c>
      <c r="D81">
        <v>2024</v>
      </c>
    </row>
    <row r="82" spans="1:4" x14ac:dyDescent="0.3">
      <c r="A82" s="7" t="s">
        <v>26</v>
      </c>
      <c r="B82" s="7" t="s">
        <v>28</v>
      </c>
      <c r="C82" s="7">
        <v>1</v>
      </c>
      <c r="D82">
        <v>2024</v>
      </c>
    </row>
    <row r="83" spans="1:4" x14ac:dyDescent="0.3">
      <c r="A83" s="7" t="s">
        <v>26</v>
      </c>
      <c r="B83" s="7" t="s">
        <v>29</v>
      </c>
      <c r="C83" s="7">
        <v>2</v>
      </c>
      <c r="D83">
        <v>2024</v>
      </c>
    </row>
    <row r="84" spans="1:4" x14ac:dyDescent="0.3">
      <c r="A84" s="7" t="s">
        <v>26</v>
      </c>
      <c r="B84" s="7" t="s">
        <v>30</v>
      </c>
      <c r="C84" s="7">
        <v>3</v>
      </c>
      <c r="D84">
        <v>2024</v>
      </c>
    </row>
    <row r="85" spans="1:4" x14ac:dyDescent="0.3">
      <c r="A85" s="7" t="s">
        <v>31</v>
      </c>
      <c r="B85" s="7" t="s">
        <v>32</v>
      </c>
      <c r="C85" s="7">
        <v>2</v>
      </c>
      <c r="D85">
        <v>2024</v>
      </c>
    </row>
    <row r="86" spans="1:4" x14ac:dyDescent="0.3">
      <c r="A86" s="7" t="s">
        <v>31</v>
      </c>
      <c r="B86" s="7" t="s">
        <v>32</v>
      </c>
      <c r="C86" s="7">
        <v>6</v>
      </c>
      <c r="D86">
        <v>2024</v>
      </c>
    </row>
    <row r="87" spans="1:4" x14ac:dyDescent="0.3">
      <c r="A87" s="7" t="s">
        <v>31</v>
      </c>
      <c r="B87" s="7" t="s">
        <v>40</v>
      </c>
      <c r="C87" s="7">
        <v>280</v>
      </c>
      <c r="D87">
        <v>2024</v>
      </c>
    </row>
    <row r="88" spans="1:4" x14ac:dyDescent="0.3">
      <c r="A88" s="7" t="s">
        <v>31</v>
      </c>
      <c r="B88" s="7" t="s">
        <v>40</v>
      </c>
      <c r="C88" s="7">
        <v>15</v>
      </c>
      <c r="D88">
        <v>2024</v>
      </c>
    </row>
    <row r="89" spans="1:4" x14ac:dyDescent="0.3">
      <c r="A89" s="7" t="s">
        <v>31</v>
      </c>
      <c r="B89" s="7" t="s">
        <v>40</v>
      </c>
      <c r="C89" s="7">
        <v>2</v>
      </c>
      <c r="D89">
        <v>2024</v>
      </c>
    </row>
    <row r="90" spans="1:4" x14ac:dyDescent="0.3">
      <c r="A90" s="7" t="s">
        <v>31</v>
      </c>
      <c r="B90" s="7" t="s">
        <v>40</v>
      </c>
      <c r="C90" s="7">
        <v>0</v>
      </c>
      <c r="D90">
        <v>2024</v>
      </c>
    </row>
    <row r="91" spans="1:4" x14ac:dyDescent="0.3">
      <c r="A91" s="7" t="s">
        <v>31</v>
      </c>
      <c r="B91" s="7" t="s">
        <v>40</v>
      </c>
      <c r="C91" s="7">
        <v>3</v>
      </c>
      <c r="D91">
        <v>2024</v>
      </c>
    </row>
    <row r="92" spans="1:4" x14ac:dyDescent="0.3">
      <c r="A92" s="7" t="s">
        <v>31</v>
      </c>
      <c r="B92" s="7" t="s">
        <v>40</v>
      </c>
      <c r="C92" s="7">
        <v>243</v>
      </c>
      <c r="D92">
        <v>2024</v>
      </c>
    </row>
    <row r="93" spans="1:4" x14ac:dyDescent="0.3">
      <c r="A93" s="7" t="s">
        <v>31</v>
      </c>
      <c r="B93" s="7" t="s">
        <v>40</v>
      </c>
      <c r="C93" s="7">
        <v>1</v>
      </c>
      <c r="D93">
        <v>2024</v>
      </c>
    </row>
    <row r="94" spans="1:4" x14ac:dyDescent="0.3">
      <c r="A94" s="7" t="s">
        <v>31</v>
      </c>
      <c r="B94" s="7" t="s">
        <v>40</v>
      </c>
      <c r="C94" s="7">
        <v>15</v>
      </c>
      <c r="D94">
        <v>2024</v>
      </c>
    </row>
    <row r="95" spans="1:4" x14ac:dyDescent="0.3">
      <c r="A95" s="7" t="s">
        <v>31</v>
      </c>
      <c r="B95" s="7" t="s">
        <v>40</v>
      </c>
      <c r="C95" s="7">
        <v>14</v>
      </c>
      <c r="D95">
        <v>2024</v>
      </c>
    </row>
    <row r="96" spans="1:4" x14ac:dyDescent="0.3">
      <c r="A96" s="7" t="s">
        <v>31</v>
      </c>
      <c r="B96" s="7" t="s">
        <v>40</v>
      </c>
      <c r="C96" s="7">
        <v>1</v>
      </c>
      <c r="D96">
        <v>2024</v>
      </c>
    </row>
    <row r="97" spans="1:4" x14ac:dyDescent="0.3">
      <c r="A97" s="7" t="s">
        <v>31</v>
      </c>
      <c r="B97" s="7" t="s">
        <v>40</v>
      </c>
      <c r="C97" s="7">
        <v>2</v>
      </c>
      <c r="D97">
        <v>2024</v>
      </c>
    </row>
    <row r="98" spans="1:4" x14ac:dyDescent="0.3">
      <c r="A98" s="7" t="s">
        <v>31</v>
      </c>
      <c r="B98" s="7" t="s">
        <v>71</v>
      </c>
      <c r="C98" s="7">
        <v>6</v>
      </c>
      <c r="D98">
        <v>2024</v>
      </c>
    </row>
    <row r="99" spans="1:4" x14ac:dyDescent="0.3">
      <c r="A99" s="7" t="s">
        <v>31</v>
      </c>
      <c r="B99" s="7" t="s">
        <v>72</v>
      </c>
      <c r="C99" s="7">
        <v>1</v>
      </c>
      <c r="D99">
        <v>2024</v>
      </c>
    </row>
    <row r="100" spans="1:4" x14ac:dyDescent="0.3">
      <c r="A100" s="7" t="s">
        <v>31</v>
      </c>
      <c r="B100" s="7" t="s">
        <v>74</v>
      </c>
      <c r="C100" s="7">
        <v>9</v>
      </c>
      <c r="D100">
        <v>2024</v>
      </c>
    </row>
    <row r="101" spans="1:4" x14ac:dyDescent="0.3">
      <c r="A101" s="7" t="s">
        <v>31</v>
      </c>
      <c r="B101" s="7" t="s">
        <v>77</v>
      </c>
      <c r="C101" s="7">
        <v>2</v>
      </c>
      <c r="D101">
        <v>2024</v>
      </c>
    </row>
    <row r="102" spans="1:4" x14ac:dyDescent="0.3">
      <c r="A102" s="7" t="s">
        <v>31</v>
      </c>
      <c r="B102" s="7" t="s">
        <v>78</v>
      </c>
      <c r="C102" s="7">
        <v>1</v>
      </c>
      <c r="D102">
        <v>2024</v>
      </c>
    </row>
    <row r="103" spans="1:4" x14ac:dyDescent="0.3">
      <c r="A103" s="7" t="s">
        <v>31</v>
      </c>
      <c r="B103" s="7" t="s">
        <v>79</v>
      </c>
      <c r="C103" s="7">
        <v>26</v>
      </c>
      <c r="D103">
        <v>2024</v>
      </c>
    </row>
    <row r="104" spans="1:4" x14ac:dyDescent="0.3">
      <c r="A104" s="7" t="s">
        <v>31</v>
      </c>
      <c r="B104" s="7" t="s">
        <v>83</v>
      </c>
      <c r="C104" s="7">
        <v>1</v>
      </c>
      <c r="D104">
        <v>2024</v>
      </c>
    </row>
    <row r="105" spans="1:4" x14ac:dyDescent="0.3">
      <c r="A105" s="7" t="s">
        <v>31</v>
      </c>
      <c r="B105" s="7" t="s">
        <v>85</v>
      </c>
      <c r="C105" s="7">
        <v>1</v>
      </c>
      <c r="D105">
        <v>2024</v>
      </c>
    </row>
    <row r="106" spans="1:4" x14ac:dyDescent="0.3">
      <c r="A106" s="7" t="s">
        <v>31</v>
      </c>
      <c r="B106" s="7" t="s">
        <v>87</v>
      </c>
      <c r="C106" s="7">
        <v>8</v>
      </c>
      <c r="D106">
        <v>2024</v>
      </c>
    </row>
    <row r="107" spans="1:4" x14ac:dyDescent="0.3">
      <c r="A107" s="7" t="s">
        <v>31</v>
      </c>
      <c r="B107" s="7" t="s">
        <v>87</v>
      </c>
      <c r="C107" s="7">
        <v>55</v>
      </c>
      <c r="D107">
        <v>2024</v>
      </c>
    </row>
    <row r="108" spans="1:4" x14ac:dyDescent="0.3">
      <c r="A108" s="7" t="s">
        <v>31</v>
      </c>
      <c r="B108" s="7" t="s">
        <v>87</v>
      </c>
      <c r="C108" s="7">
        <v>8</v>
      </c>
      <c r="D108">
        <v>2024</v>
      </c>
    </row>
    <row r="109" spans="1:4" x14ac:dyDescent="0.3">
      <c r="A109" s="7" t="s">
        <v>31</v>
      </c>
      <c r="B109" s="7" t="s">
        <v>87</v>
      </c>
      <c r="C109" s="7">
        <v>46</v>
      </c>
      <c r="D109">
        <v>2024</v>
      </c>
    </row>
    <row r="110" spans="1:4" x14ac:dyDescent="0.3">
      <c r="A110" s="7" t="s">
        <v>31</v>
      </c>
      <c r="B110" s="7" t="s">
        <v>87</v>
      </c>
      <c r="C110" s="7">
        <v>302</v>
      </c>
      <c r="D110">
        <v>2024</v>
      </c>
    </row>
    <row r="111" spans="1:4" x14ac:dyDescent="0.3">
      <c r="A111" s="7" t="s">
        <v>31</v>
      </c>
      <c r="B111" s="7" t="s">
        <v>87</v>
      </c>
      <c r="C111" s="7">
        <v>5</v>
      </c>
      <c r="D111">
        <v>2024</v>
      </c>
    </row>
    <row r="112" spans="1:4" x14ac:dyDescent="0.3">
      <c r="A112" s="7" t="s">
        <v>31</v>
      </c>
      <c r="B112" s="7" t="s">
        <v>113</v>
      </c>
      <c r="C112" s="7">
        <v>1</v>
      </c>
      <c r="D112">
        <v>2024</v>
      </c>
    </row>
    <row r="113" spans="1:4" x14ac:dyDescent="0.3">
      <c r="A113" s="7" t="s">
        <v>31</v>
      </c>
      <c r="B113" s="7" t="s">
        <v>117</v>
      </c>
      <c r="C113" s="7">
        <v>26</v>
      </c>
      <c r="D113">
        <v>2024</v>
      </c>
    </row>
    <row r="114" spans="1:4" x14ac:dyDescent="0.3">
      <c r="A114" s="7" t="s">
        <v>31</v>
      </c>
      <c r="B114" s="7" t="s">
        <v>119</v>
      </c>
      <c r="C114" s="7">
        <v>5</v>
      </c>
      <c r="D114">
        <v>2024</v>
      </c>
    </row>
    <row r="115" spans="1:4" x14ac:dyDescent="0.3">
      <c r="A115" s="7" t="s">
        <v>31</v>
      </c>
      <c r="B115" s="7" t="s">
        <v>119</v>
      </c>
      <c r="C115" s="7">
        <v>172</v>
      </c>
      <c r="D115">
        <v>2024</v>
      </c>
    </row>
    <row r="116" spans="1:4" x14ac:dyDescent="0.3">
      <c r="A116" s="7" t="s">
        <v>31</v>
      </c>
      <c r="B116" s="7" t="s">
        <v>119</v>
      </c>
      <c r="C116" s="7">
        <v>1</v>
      </c>
      <c r="D116">
        <v>2024</v>
      </c>
    </row>
    <row r="117" spans="1:4" x14ac:dyDescent="0.3">
      <c r="A117" s="7" t="s">
        <v>31</v>
      </c>
      <c r="B117" s="7" t="s">
        <v>119</v>
      </c>
      <c r="C117" s="7">
        <v>26</v>
      </c>
      <c r="D117">
        <v>2024</v>
      </c>
    </row>
    <row r="118" spans="1:4" x14ac:dyDescent="0.3">
      <c r="A118" s="7" t="s">
        <v>124</v>
      </c>
      <c r="B118" s="7" t="s">
        <v>125</v>
      </c>
      <c r="C118" s="7">
        <v>8</v>
      </c>
      <c r="D118">
        <v>2024</v>
      </c>
    </row>
    <row r="119" spans="1:4" x14ac:dyDescent="0.3">
      <c r="A119" s="7" t="s">
        <v>124</v>
      </c>
      <c r="B119" s="7" t="s">
        <v>125</v>
      </c>
      <c r="C119" s="7">
        <v>1</v>
      </c>
      <c r="D119">
        <v>2024</v>
      </c>
    </row>
    <row r="120" spans="1:4" x14ac:dyDescent="0.3">
      <c r="A120" s="7" t="s">
        <v>124</v>
      </c>
      <c r="B120" s="7" t="s">
        <v>128</v>
      </c>
      <c r="C120" s="7">
        <v>1</v>
      </c>
      <c r="D120">
        <v>2024</v>
      </c>
    </row>
    <row r="121" spans="1:4" x14ac:dyDescent="0.3">
      <c r="A121" s="7" t="s">
        <v>124</v>
      </c>
      <c r="B121" s="7" t="s">
        <v>131</v>
      </c>
      <c r="C121" s="7">
        <v>1</v>
      </c>
      <c r="D121">
        <v>2024</v>
      </c>
    </row>
    <row r="122" spans="1:4" x14ac:dyDescent="0.3">
      <c r="A122" s="7" t="s">
        <v>124</v>
      </c>
      <c r="B122" s="7" t="s">
        <v>131</v>
      </c>
      <c r="C122" s="7">
        <v>3</v>
      </c>
      <c r="D122">
        <v>2024</v>
      </c>
    </row>
    <row r="123" spans="1:4" x14ac:dyDescent="0.3">
      <c r="A123" s="7" t="s">
        <v>124</v>
      </c>
      <c r="B123" s="7" t="s">
        <v>131</v>
      </c>
      <c r="C123" s="7">
        <v>2</v>
      </c>
      <c r="D123">
        <v>2024</v>
      </c>
    </row>
    <row r="124" spans="1:4" x14ac:dyDescent="0.3">
      <c r="A124" s="7" t="s">
        <v>124</v>
      </c>
      <c r="B124" s="7" t="s">
        <v>138</v>
      </c>
      <c r="C124" s="7">
        <v>1</v>
      </c>
      <c r="D124">
        <v>2024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9DA643-86B3-42F4-969B-5C1A7FC1C610}">
  <dimension ref="A4:E13"/>
  <sheetViews>
    <sheetView workbookViewId="0">
      <selection activeCell="B15" sqref="B15"/>
    </sheetView>
  </sheetViews>
  <sheetFormatPr defaultRowHeight="14.4" x14ac:dyDescent="0.3"/>
  <cols>
    <col min="1" max="2" width="17.21875" customWidth="1"/>
    <col min="3" max="3" width="16.21875" customWidth="1"/>
  </cols>
  <sheetData>
    <row r="4" spans="1:5" s="3" customFormat="1" x14ac:dyDescent="0.3">
      <c r="A4" s="3" t="s">
        <v>143</v>
      </c>
      <c r="B4" s="3" t="s">
        <v>146</v>
      </c>
      <c r="C4" s="3" t="s">
        <v>144</v>
      </c>
      <c r="D4" s="3" t="s">
        <v>147</v>
      </c>
      <c r="E4" s="3" t="s">
        <v>149</v>
      </c>
    </row>
    <row r="5" spans="1:5" x14ac:dyDescent="0.3">
      <c r="A5" t="s">
        <v>31</v>
      </c>
      <c r="B5">
        <f>62+479</f>
        <v>541</v>
      </c>
      <c r="C5">
        <v>1288</v>
      </c>
      <c r="D5">
        <f>SUM(B5:C5)</f>
        <v>1829</v>
      </c>
      <c r="E5" s="4">
        <f>D5/$D$10</f>
        <v>0.6896681749622926</v>
      </c>
    </row>
    <row r="6" spans="1:5" x14ac:dyDescent="0.3">
      <c r="A6" t="s">
        <v>11</v>
      </c>
      <c r="B6">
        <v>104</v>
      </c>
      <c r="C6">
        <v>568</v>
      </c>
      <c r="D6">
        <f>SUM(B6:C6)</f>
        <v>672</v>
      </c>
      <c r="E6" s="4">
        <f>D6/$D$10</f>
        <v>0.25339366515837103</v>
      </c>
    </row>
    <row r="7" spans="1:5" x14ac:dyDescent="0.3">
      <c r="A7" t="s">
        <v>4</v>
      </c>
      <c r="B7">
        <v>54</v>
      </c>
      <c r="C7">
        <v>34</v>
      </c>
      <c r="D7">
        <f>SUM(B7:C7)</f>
        <v>88</v>
      </c>
      <c r="E7" s="4">
        <f>D7/$D$10</f>
        <v>3.3182503770739065E-2</v>
      </c>
    </row>
    <row r="8" spans="1:5" x14ac:dyDescent="0.3">
      <c r="A8" t="s">
        <v>124</v>
      </c>
      <c r="B8">
        <v>38</v>
      </c>
      <c r="C8">
        <v>18</v>
      </c>
      <c r="D8">
        <f>SUM(B8:C8)</f>
        <v>56</v>
      </c>
      <c r="E8" s="4">
        <f>D8/$D$10</f>
        <v>2.1116138763197588E-2</v>
      </c>
    </row>
    <row r="9" spans="1:5" x14ac:dyDescent="0.3">
      <c r="A9" t="s">
        <v>26</v>
      </c>
      <c r="B9">
        <v>0</v>
      </c>
      <c r="C9">
        <v>7</v>
      </c>
      <c r="D9">
        <f>SUM(B9:C9)</f>
        <v>7</v>
      </c>
      <c r="E9" s="4">
        <f>D9/$D$10</f>
        <v>2.6395173453996985E-3</v>
      </c>
    </row>
    <row r="10" spans="1:5" s="3" customFormat="1" x14ac:dyDescent="0.3">
      <c r="A10" s="3" t="s">
        <v>145</v>
      </c>
      <c r="B10" s="3">
        <v>737</v>
      </c>
      <c r="C10" s="3">
        <v>1915</v>
      </c>
      <c r="D10" s="3">
        <f t="shared" ref="D10" si="0">SUM(B10:C10)</f>
        <v>2652</v>
      </c>
      <c r="E10" s="5">
        <f t="shared" ref="E10" si="1">D10/$D$10</f>
        <v>1</v>
      </c>
    </row>
    <row r="13" spans="1:5" x14ac:dyDescent="0.3">
      <c r="C13" t="s">
        <v>150</v>
      </c>
      <c r="D13">
        <v>31</v>
      </c>
      <c r="E13" s="4">
        <f>D13/D10</f>
        <v>1.1689291101055807E-2</v>
      </c>
    </row>
  </sheetData>
  <sortState xmlns:xlrd2="http://schemas.microsoft.com/office/spreadsheetml/2017/richdata2" ref="A5:E9">
    <sortCondition descending="1" ref="D5:D9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5B277A-DFCA-4AE4-9A07-5EBD93317927}">
  <dimension ref="A3:C19"/>
  <sheetViews>
    <sheetView workbookViewId="0">
      <selection activeCell="G11" sqref="G11"/>
    </sheetView>
  </sheetViews>
  <sheetFormatPr defaultRowHeight="14.4" x14ac:dyDescent="0.3"/>
  <cols>
    <col min="1" max="1" width="21.44140625" bestFit="1" customWidth="1"/>
    <col min="2" max="2" width="16.21875" bestFit="1" customWidth="1"/>
  </cols>
  <sheetData>
    <row r="3" spans="1:3" x14ac:dyDescent="0.3">
      <c r="A3" s="1" t="s">
        <v>143</v>
      </c>
      <c r="B3" t="s">
        <v>146</v>
      </c>
    </row>
    <row r="4" spans="1:3" x14ac:dyDescent="0.3">
      <c r="A4" s="2" t="s">
        <v>4</v>
      </c>
      <c r="B4">
        <v>54</v>
      </c>
    </row>
    <row r="5" spans="1:3" x14ac:dyDescent="0.3">
      <c r="A5" s="2" t="s">
        <v>11</v>
      </c>
      <c r="B5">
        <v>104</v>
      </c>
    </row>
    <row r="6" spans="1:3" x14ac:dyDescent="0.3">
      <c r="A6" s="2" t="s">
        <v>26</v>
      </c>
      <c r="B6">
        <v>0</v>
      </c>
    </row>
    <row r="7" spans="1:3" x14ac:dyDescent="0.3">
      <c r="A7" s="2" t="s">
        <v>31</v>
      </c>
      <c r="B7">
        <v>479</v>
      </c>
    </row>
    <row r="8" spans="1:3" x14ac:dyDescent="0.3">
      <c r="A8" s="2" t="s">
        <v>123</v>
      </c>
      <c r="B8">
        <v>62</v>
      </c>
    </row>
    <row r="9" spans="1:3" x14ac:dyDescent="0.3">
      <c r="A9" s="2" t="s">
        <v>124</v>
      </c>
      <c r="B9">
        <v>0</v>
      </c>
    </row>
    <row r="10" spans="1:3" x14ac:dyDescent="0.3">
      <c r="A10" s="2" t="s">
        <v>141</v>
      </c>
      <c r="B10">
        <v>38</v>
      </c>
    </row>
    <row r="11" spans="1:3" x14ac:dyDescent="0.3">
      <c r="A11" s="2" t="s">
        <v>145</v>
      </c>
      <c r="B11">
        <v>737</v>
      </c>
    </row>
    <row r="13" spans="1:3" x14ac:dyDescent="0.3">
      <c r="A13" s="3" t="s">
        <v>156</v>
      </c>
      <c r="B13" s="3" t="s">
        <v>146</v>
      </c>
      <c r="C13" s="3" t="s">
        <v>149</v>
      </c>
    </row>
    <row r="14" spans="1:3" x14ac:dyDescent="0.3">
      <c r="A14" t="s">
        <v>31</v>
      </c>
      <c r="B14">
        <f>62+479</f>
        <v>541</v>
      </c>
      <c r="C14" s="4">
        <f>$B14/$B$19</f>
        <v>0.73405698778833106</v>
      </c>
    </row>
    <row r="15" spans="1:3" x14ac:dyDescent="0.3">
      <c r="A15" t="s">
        <v>11</v>
      </c>
      <c r="B15">
        <v>104</v>
      </c>
      <c r="C15" s="4">
        <f t="shared" ref="C15:C18" si="0">$B15/$B$19</f>
        <v>0.14111261872455902</v>
      </c>
    </row>
    <row r="16" spans="1:3" x14ac:dyDescent="0.3">
      <c r="A16" t="s">
        <v>4</v>
      </c>
      <c r="B16">
        <v>54</v>
      </c>
      <c r="C16" s="4">
        <f t="shared" si="0"/>
        <v>7.3270013568521031E-2</v>
      </c>
    </row>
    <row r="17" spans="1:3" x14ac:dyDescent="0.3">
      <c r="A17" t="s">
        <v>124</v>
      </c>
      <c r="B17">
        <v>38</v>
      </c>
      <c r="C17" s="4">
        <f t="shared" si="0"/>
        <v>5.1560379918588875E-2</v>
      </c>
    </row>
    <row r="18" spans="1:3" x14ac:dyDescent="0.3">
      <c r="A18" t="s">
        <v>26</v>
      </c>
      <c r="B18">
        <v>0</v>
      </c>
      <c r="C18" s="4">
        <f t="shared" si="0"/>
        <v>0</v>
      </c>
    </row>
    <row r="19" spans="1:3" x14ac:dyDescent="0.3">
      <c r="A19" s="3" t="s">
        <v>145</v>
      </c>
      <c r="B19" s="3">
        <v>737</v>
      </c>
      <c r="C19" s="5">
        <f>B19/$B$19</f>
        <v>1</v>
      </c>
    </row>
  </sheetData>
  <sortState xmlns:xlrd2="http://schemas.microsoft.com/office/spreadsheetml/2017/richdata2" ref="A14:C18">
    <sortCondition descending="1" ref="C14:C18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F27909-B6E8-42C0-BC66-A2E3365ED34F}">
  <dimension ref="A1:F111"/>
  <sheetViews>
    <sheetView workbookViewId="0">
      <selection activeCell="I6" sqref="I6"/>
    </sheetView>
  </sheetViews>
  <sheetFormatPr defaultRowHeight="14.4" x14ac:dyDescent="0.3"/>
  <cols>
    <col min="1" max="1" width="21.44140625" bestFit="1" customWidth="1"/>
    <col min="4" max="4" width="25" customWidth="1"/>
  </cols>
  <sheetData>
    <row r="1" spans="1:6" x14ac:dyDescent="0.3">
      <c r="A1" t="s">
        <v>0</v>
      </c>
      <c r="B1" t="s">
        <v>1</v>
      </c>
      <c r="C1" t="s">
        <v>2</v>
      </c>
      <c r="D1" t="s">
        <v>3</v>
      </c>
      <c r="E1">
        <v>2024</v>
      </c>
      <c r="F1" t="s">
        <v>142</v>
      </c>
    </row>
    <row r="2" spans="1:6" x14ac:dyDescent="0.3">
      <c r="A2" t="s">
        <v>4</v>
      </c>
      <c r="B2" t="s">
        <v>5</v>
      </c>
      <c r="E2">
        <v>2</v>
      </c>
      <c r="F2">
        <v>0</v>
      </c>
    </row>
    <row r="3" spans="1:6" x14ac:dyDescent="0.3">
      <c r="A3" t="s">
        <v>4</v>
      </c>
      <c r="B3" t="s">
        <v>6</v>
      </c>
      <c r="E3">
        <v>6</v>
      </c>
      <c r="F3">
        <v>0</v>
      </c>
    </row>
    <row r="4" spans="1:6" x14ac:dyDescent="0.3">
      <c r="A4" t="s">
        <v>4</v>
      </c>
      <c r="B4" t="s">
        <v>7</v>
      </c>
      <c r="E4">
        <v>7</v>
      </c>
      <c r="F4">
        <v>0</v>
      </c>
    </row>
    <row r="5" spans="1:6" x14ac:dyDescent="0.3">
      <c r="A5" t="s">
        <v>4</v>
      </c>
      <c r="B5" t="s">
        <v>8</v>
      </c>
      <c r="E5">
        <v>16</v>
      </c>
      <c r="F5">
        <v>0</v>
      </c>
    </row>
    <row r="6" spans="1:6" x14ac:dyDescent="0.3">
      <c r="A6" t="s">
        <v>4</v>
      </c>
      <c r="B6" t="s">
        <v>9</v>
      </c>
      <c r="E6">
        <v>3</v>
      </c>
      <c r="F6">
        <v>0</v>
      </c>
    </row>
    <row r="7" spans="1:6" x14ac:dyDescent="0.3">
      <c r="A7" t="s">
        <v>4</v>
      </c>
      <c r="B7" t="s">
        <v>10</v>
      </c>
      <c r="E7">
        <v>0</v>
      </c>
      <c r="F7">
        <v>54</v>
      </c>
    </row>
    <row r="8" spans="1:6" x14ac:dyDescent="0.3">
      <c r="A8" t="s">
        <v>11</v>
      </c>
      <c r="B8" t="s">
        <v>12</v>
      </c>
      <c r="E8">
        <v>5</v>
      </c>
      <c r="F8">
        <v>0</v>
      </c>
    </row>
    <row r="9" spans="1:6" x14ac:dyDescent="0.3">
      <c r="A9" t="s">
        <v>11</v>
      </c>
      <c r="B9" t="s">
        <v>13</v>
      </c>
      <c r="E9">
        <v>1</v>
      </c>
      <c r="F9">
        <v>0</v>
      </c>
    </row>
    <row r="10" spans="1:6" x14ac:dyDescent="0.3">
      <c r="A10" t="s">
        <v>11</v>
      </c>
      <c r="B10" t="s">
        <v>14</v>
      </c>
      <c r="E10">
        <v>17</v>
      </c>
      <c r="F10">
        <v>0</v>
      </c>
    </row>
    <row r="11" spans="1:6" x14ac:dyDescent="0.3">
      <c r="A11" t="s">
        <v>11</v>
      </c>
      <c r="B11" t="s">
        <v>15</v>
      </c>
      <c r="E11">
        <v>43</v>
      </c>
      <c r="F11">
        <v>0</v>
      </c>
    </row>
    <row r="12" spans="1:6" x14ac:dyDescent="0.3">
      <c r="A12" t="s">
        <v>11</v>
      </c>
      <c r="B12" t="s">
        <v>16</v>
      </c>
      <c r="E12">
        <v>1</v>
      </c>
      <c r="F12">
        <v>0</v>
      </c>
    </row>
    <row r="13" spans="1:6" x14ac:dyDescent="0.3">
      <c r="A13" t="s">
        <v>11</v>
      </c>
      <c r="B13" t="s">
        <v>17</v>
      </c>
      <c r="E13">
        <v>6</v>
      </c>
      <c r="F13">
        <v>0</v>
      </c>
    </row>
    <row r="14" spans="1:6" x14ac:dyDescent="0.3">
      <c r="A14" t="s">
        <v>11</v>
      </c>
      <c r="B14" t="s">
        <v>18</v>
      </c>
      <c r="E14">
        <v>63</v>
      </c>
      <c r="F14">
        <v>0</v>
      </c>
    </row>
    <row r="15" spans="1:6" x14ac:dyDescent="0.3">
      <c r="A15" t="s">
        <v>11</v>
      </c>
      <c r="B15" t="s">
        <v>19</v>
      </c>
      <c r="E15">
        <v>27</v>
      </c>
      <c r="F15">
        <v>0</v>
      </c>
    </row>
    <row r="16" spans="1:6" x14ac:dyDescent="0.3">
      <c r="A16" t="s">
        <v>11</v>
      </c>
      <c r="B16" t="s">
        <v>20</v>
      </c>
      <c r="E16">
        <v>3</v>
      </c>
      <c r="F16">
        <v>0</v>
      </c>
    </row>
    <row r="17" spans="1:6" x14ac:dyDescent="0.3">
      <c r="A17" t="s">
        <v>11</v>
      </c>
      <c r="B17" t="s">
        <v>21</v>
      </c>
      <c r="E17">
        <v>61</v>
      </c>
      <c r="F17">
        <v>0</v>
      </c>
    </row>
    <row r="18" spans="1:6" x14ac:dyDescent="0.3">
      <c r="A18" t="s">
        <v>11</v>
      </c>
      <c r="B18" t="s">
        <v>22</v>
      </c>
      <c r="E18">
        <v>132</v>
      </c>
      <c r="F18">
        <v>49</v>
      </c>
    </row>
    <row r="19" spans="1:6" x14ac:dyDescent="0.3">
      <c r="A19" t="s">
        <v>11</v>
      </c>
      <c r="B19" t="s">
        <v>23</v>
      </c>
      <c r="E19">
        <v>76</v>
      </c>
      <c r="F19">
        <v>0</v>
      </c>
    </row>
    <row r="20" spans="1:6" x14ac:dyDescent="0.3">
      <c r="A20" t="s">
        <v>11</v>
      </c>
      <c r="B20" t="s">
        <v>24</v>
      </c>
      <c r="E20">
        <v>1</v>
      </c>
      <c r="F20">
        <v>0</v>
      </c>
    </row>
    <row r="21" spans="1:6" x14ac:dyDescent="0.3">
      <c r="A21" t="s">
        <v>11</v>
      </c>
      <c r="B21" t="s">
        <v>25</v>
      </c>
      <c r="E21">
        <v>131</v>
      </c>
      <c r="F21">
        <v>0</v>
      </c>
    </row>
    <row r="22" spans="1:6" x14ac:dyDescent="0.3">
      <c r="A22" t="s">
        <v>11</v>
      </c>
      <c r="B22" t="s">
        <v>10</v>
      </c>
      <c r="E22">
        <v>1</v>
      </c>
      <c r="F22">
        <v>55</v>
      </c>
    </row>
    <row r="23" spans="1:6" x14ac:dyDescent="0.3">
      <c r="A23" t="s">
        <v>26</v>
      </c>
      <c r="B23" t="s">
        <v>27</v>
      </c>
      <c r="E23">
        <v>1</v>
      </c>
      <c r="F23">
        <v>0</v>
      </c>
    </row>
    <row r="24" spans="1:6" x14ac:dyDescent="0.3">
      <c r="A24" t="s">
        <v>26</v>
      </c>
      <c r="B24" t="s">
        <v>28</v>
      </c>
      <c r="E24">
        <v>1</v>
      </c>
      <c r="F24">
        <v>0</v>
      </c>
    </row>
    <row r="25" spans="1:6" x14ac:dyDescent="0.3">
      <c r="A25" t="s">
        <v>26</v>
      </c>
      <c r="B25" t="s">
        <v>29</v>
      </c>
      <c r="E25">
        <v>2</v>
      </c>
      <c r="F25">
        <v>0</v>
      </c>
    </row>
    <row r="26" spans="1:6" x14ac:dyDescent="0.3">
      <c r="A26" t="s">
        <v>26</v>
      </c>
      <c r="B26" t="s">
        <v>30</v>
      </c>
      <c r="E26">
        <v>3</v>
      </c>
      <c r="F26">
        <v>0</v>
      </c>
    </row>
    <row r="27" spans="1:6" x14ac:dyDescent="0.3">
      <c r="A27" t="s">
        <v>31</v>
      </c>
      <c r="B27" t="s">
        <v>32</v>
      </c>
      <c r="C27" t="s">
        <v>33</v>
      </c>
      <c r="E27">
        <v>2</v>
      </c>
      <c r="F27">
        <v>0</v>
      </c>
    </row>
    <row r="28" spans="1:6" x14ac:dyDescent="0.3">
      <c r="A28" t="s">
        <v>31</v>
      </c>
      <c r="B28" t="s">
        <v>32</v>
      </c>
      <c r="C28" t="s">
        <v>34</v>
      </c>
      <c r="E28">
        <v>6</v>
      </c>
      <c r="F28">
        <v>0</v>
      </c>
    </row>
    <row r="29" spans="1:6" x14ac:dyDescent="0.3">
      <c r="A29" t="s">
        <v>31</v>
      </c>
      <c r="B29" t="s">
        <v>32</v>
      </c>
      <c r="C29" t="s">
        <v>34</v>
      </c>
      <c r="D29" t="s">
        <v>35</v>
      </c>
      <c r="E29">
        <v>0</v>
      </c>
      <c r="F29">
        <v>3</v>
      </c>
    </row>
    <row r="30" spans="1:6" x14ac:dyDescent="0.3">
      <c r="A30" t="s">
        <v>31</v>
      </c>
      <c r="B30" t="s">
        <v>32</v>
      </c>
      <c r="C30" t="s">
        <v>34</v>
      </c>
      <c r="D30" t="s">
        <v>36</v>
      </c>
      <c r="E30">
        <v>0</v>
      </c>
      <c r="F30">
        <v>1</v>
      </c>
    </row>
    <row r="31" spans="1:6" x14ac:dyDescent="0.3">
      <c r="A31" t="s">
        <v>31</v>
      </c>
      <c r="B31" t="s">
        <v>32</v>
      </c>
      <c r="C31" t="s">
        <v>37</v>
      </c>
      <c r="E31">
        <v>0</v>
      </c>
      <c r="F31">
        <v>1</v>
      </c>
    </row>
    <row r="32" spans="1:6" x14ac:dyDescent="0.3">
      <c r="A32" t="s">
        <v>31</v>
      </c>
      <c r="B32" t="s">
        <v>32</v>
      </c>
      <c r="C32" t="s">
        <v>38</v>
      </c>
      <c r="E32">
        <v>0</v>
      </c>
      <c r="F32">
        <v>6</v>
      </c>
    </row>
    <row r="33" spans="1:6" x14ac:dyDescent="0.3">
      <c r="A33" t="s">
        <v>31</v>
      </c>
      <c r="B33" t="s">
        <v>32</v>
      </c>
      <c r="C33" t="s">
        <v>39</v>
      </c>
      <c r="E33">
        <v>0</v>
      </c>
      <c r="F33">
        <v>4</v>
      </c>
    </row>
    <row r="34" spans="1:6" x14ac:dyDescent="0.3">
      <c r="A34" t="s">
        <v>31</v>
      </c>
      <c r="B34" t="s">
        <v>40</v>
      </c>
      <c r="C34" t="s">
        <v>41</v>
      </c>
      <c r="D34" t="s">
        <v>42</v>
      </c>
      <c r="E34">
        <v>280</v>
      </c>
      <c r="F34">
        <v>71</v>
      </c>
    </row>
    <row r="35" spans="1:6" x14ac:dyDescent="0.3">
      <c r="A35" t="s">
        <v>31</v>
      </c>
      <c r="B35" t="s">
        <v>40</v>
      </c>
      <c r="C35" t="s">
        <v>43</v>
      </c>
      <c r="D35" t="s">
        <v>44</v>
      </c>
      <c r="E35">
        <v>0</v>
      </c>
      <c r="F35">
        <v>4</v>
      </c>
    </row>
    <row r="36" spans="1:6" x14ac:dyDescent="0.3">
      <c r="A36" t="s">
        <v>31</v>
      </c>
      <c r="B36" t="s">
        <v>40</v>
      </c>
      <c r="C36" t="s">
        <v>43</v>
      </c>
      <c r="D36" t="s">
        <v>45</v>
      </c>
      <c r="E36">
        <v>0</v>
      </c>
      <c r="F36">
        <v>1</v>
      </c>
    </row>
    <row r="37" spans="1:6" x14ac:dyDescent="0.3">
      <c r="A37" t="s">
        <v>31</v>
      </c>
      <c r="B37" t="s">
        <v>40</v>
      </c>
      <c r="C37" t="s">
        <v>43</v>
      </c>
      <c r="E37">
        <v>0</v>
      </c>
      <c r="F37">
        <v>1</v>
      </c>
    </row>
    <row r="38" spans="1:6" x14ac:dyDescent="0.3">
      <c r="A38" t="s">
        <v>31</v>
      </c>
      <c r="B38" t="s">
        <v>40</v>
      </c>
      <c r="C38" t="s">
        <v>46</v>
      </c>
      <c r="D38" t="s">
        <v>47</v>
      </c>
      <c r="E38">
        <v>1</v>
      </c>
      <c r="F38">
        <v>0</v>
      </c>
    </row>
    <row r="39" spans="1:6" x14ac:dyDescent="0.3">
      <c r="A39" t="s">
        <v>31</v>
      </c>
      <c r="B39" t="s">
        <v>40</v>
      </c>
      <c r="C39" t="s">
        <v>46</v>
      </c>
      <c r="D39" t="s">
        <v>148</v>
      </c>
      <c r="E39">
        <v>15</v>
      </c>
      <c r="F39">
        <v>16</v>
      </c>
    </row>
    <row r="40" spans="1:6" x14ac:dyDescent="0.3">
      <c r="A40" t="s">
        <v>31</v>
      </c>
      <c r="B40" t="s">
        <v>40</v>
      </c>
      <c r="C40" t="s">
        <v>46</v>
      </c>
      <c r="D40" t="s">
        <v>48</v>
      </c>
      <c r="E40">
        <v>2</v>
      </c>
      <c r="F40">
        <v>20</v>
      </c>
    </row>
    <row r="41" spans="1:6" x14ac:dyDescent="0.3">
      <c r="A41" t="s">
        <v>31</v>
      </c>
      <c r="B41" t="s">
        <v>40</v>
      </c>
      <c r="C41" t="s">
        <v>46</v>
      </c>
      <c r="D41" t="s">
        <v>49</v>
      </c>
      <c r="E41">
        <v>0</v>
      </c>
      <c r="F41">
        <v>11</v>
      </c>
    </row>
    <row r="42" spans="1:6" x14ac:dyDescent="0.3">
      <c r="A42" t="s">
        <v>31</v>
      </c>
      <c r="B42" t="s">
        <v>40</v>
      </c>
      <c r="C42" t="s">
        <v>46</v>
      </c>
      <c r="D42" t="s">
        <v>50</v>
      </c>
      <c r="E42">
        <v>3</v>
      </c>
      <c r="F42">
        <v>12</v>
      </c>
    </row>
    <row r="43" spans="1:6" x14ac:dyDescent="0.3">
      <c r="A43" t="s">
        <v>31</v>
      </c>
      <c r="B43" t="s">
        <v>40</v>
      </c>
      <c r="C43" t="s">
        <v>46</v>
      </c>
      <c r="D43" t="s">
        <v>51</v>
      </c>
      <c r="E43">
        <v>0</v>
      </c>
      <c r="F43">
        <v>2</v>
      </c>
    </row>
    <row r="44" spans="1:6" x14ac:dyDescent="0.3">
      <c r="A44" t="s">
        <v>31</v>
      </c>
      <c r="B44" t="s">
        <v>40</v>
      </c>
      <c r="C44" t="s">
        <v>46</v>
      </c>
      <c r="D44" t="s">
        <v>52</v>
      </c>
      <c r="E44">
        <v>243</v>
      </c>
      <c r="F44">
        <v>41</v>
      </c>
    </row>
    <row r="45" spans="1:6" x14ac:dyDescent="0.3">
      <c r="A45" t="s">
        <v>31</v>
      </c>
      <c r="B45" t="s">
        <v>40</v>
      </c>
      <c r="C45" t="s">
        <v>46</v>
      </c>
      <c r="D45" t="s">
        <v>53</v>
      </c>
      <c r="E45">
        <v>0</v>
      </c>
      <c r="F45">
        <v>2</v>
      </c>
    </row>
    <row r="46" spans="1:6" x14ac:dyDescent="0.3">
      <c r="A46" t="s">
        <v>31</v>
      </c>
      <c r="B46" t="s">
        <v>40</v>
      </c>
      <c r="C46" t="s">
        <v>46</v>
      </c>
      <c r="D46" t="s">
        <v>54</v>
      </c>
      <c r="E46">
        <v>0</v>
      </c>
      <c r="F46">
        <v>3</v>
      </c>
    </row>
    <row r="47" spans="1:6" x14ac:dyDescent="0.3">
      <c r="A47" t="s">
        <v>31</v>
      </c>
      <c r="B47" t="s">
        <v>40</v>
      </c>
      <c r="C47" t="s">
        <v>46</v>
      </c>
      <c r="D47" t="s">
        <v>55</v>
      </c>
      <c r="E47">
        <v>0</v>
      </c>
      <c r="F47">
        <v>9</v>
      </c>
    </row>
    <row r="48" spans="1:6" x14ac:dyDescent="0.3">
      <c r="A48" t="s">
        <v>31</v>
      </c>
      <c r="B48" t="s">
        <v>40</v>
      </c>
      <c r="C48" t="s">
        <v>46</v>
      </c>
      <c r="D48" t="s">
        <v>56</v>
      </c>
      <c r="E48">
        <v>0</v>
      </c>
      <c r="F48">
        <v>7</v>
      </c>
    </row>
    <row r="49" spans="1:6" x14ac:dyDescent="0.3">
      <c r="A49" t="s">
        <v>31</v>
      </c>
      <c r="B49" t="s">
        <v>40</v>
      </c>
      <c r="C49" t="s">
        <v>46</v>
      </c>
      <c r="D49" t="s">
        <v>57</v>
      </c>
      <c r="E49">
        <v>1</v>
      </c>
      <c r="F49">
        <v>0</v>
      </c>
    </row>
    <row r="50" spans="1:6" x14ac:dyDescent="0.3">
      <c r="A50" t="s">
        <v>31</v>
      </c>
      <c r="B50" t="s">
        <v>40</v>
      </c>
      <c r="C50" t="s">
        <v>58</v>
      </c>
      <c r="E50">
        <v>15</v>
      </c>
      <c r="F50">
        <v>16</v>
      </c>
    </row>
    <row r="51" spans="1:6" x14ac:dyDescent="0.3">
      <c r="A51" t="s">
        <v>31</v>
      </c>
      <c r="B51" t="s">
        <v>40</v>
      </c>
      <c r="C51" t="s">
        <v>59</v>
      </c>
      <c r="E51">
        <v>0</v>
      </c>
      <c r="F51">
        <v>18</v>
      </c>
    </row>
    <row r="52" spans="1:6" x14ac:dyDescent="0.3">
      <c r="A52" t="s">
        <v>31</v>
      </c>
      <c r="B52" t="s">
        <v>40</v>
      </c>
      <c r="C52" t="s">
        <v>60</v>
      </c>
      <c r="E52">
        <v>0</v>
      </c>
      <c r="F52">
        <v>1</v>
      </c>
    </row>
    <row r="53" spans="1:6" x14ac:dyDescent="0.3">
      <c r="A53" t="s">
        <v>31</v>
      </c>
      <c r="B53" t="s">
        <v>40</v>
      </c>
      <c r="C53" t="s">
        <v>61</v>
      </c>
      <c r="E53">
        <v>14</v>
      </c>
      <c r="F53">
        <v>11</v>
      </c>
    </row>
    <row r="54" spans="1:6" x14ac:dyDescent="0.3">
      <c r="A54" t="s">
        <v>31</v>
      </c>
      <c r="B54" t="s">
        <v>40</v>
      </c>
      <c r="C54" t="s">
        <v>62</v>
      </c>
      <c r="E54">
        <v>0</v>
      </c>
      <c r="F54">
        <v>1</v>
      </c>
    </row>
    <row r="55" spans="1:6" x14ac:dyDescent="0.3">
      <c r="A55" t="s">
        <v>31</v>
      </c>
      <c r="B55" t="s">
        <v>40</v>
      </c>
      <c r="C55" t="s">
        <v>63</v>
      </c>
      <c r="E55">
        <v>0</v>
      </c>
      <c r="F55">
        <v>1</v>
      </c>
    </row>
    <row r="56" spans="1:6" x14ac:dyDescent="0.3">
      <c r="A56" t="s">
        <v>31</v>
      </c>
      <c r="B56" t="s">
        <v>40</v>
      </c>
      <c r="C56" t="s">
        <v>64</v>
      </c>
      <c r="E56">
        <v>0</v>
      </c>
      <c r="F56">
        <v>1</v>
      </c>
    </row>
    <row r="57" spans="1:6" x14ac:dyDescent="0.3">
      <c r="A57" t="s">
        <v>31</v>
      </c>
      <c r="B57" t="s">
        <v>40</v>
      </c>
      <c r="C57" t="s">
        <v>65</v>
      </c>
      <c r="E57">
        <v>0</v>
      </c>
      <c r="F57">
        <v>3</v>
      </c>
    </row>
    <row r="58" spans="1:6" x14ac:dyDescent="0.3">
      <c r="A58" t="s">
        <v>31</v>
      </c>
      <c r="B58" t="s">
        <v>40</v>
      </c>
      <c r="C58" t="s">
        <v>66</v>
      </c>
      <c r="E58">
        <v>1</v>
      </c>
      <c r="F58">
        <v>0</v>
      </c>
    </row>
    <row r="59" spans="1:6" x14ac:dyDescent="0.3">
      <c r="A59" t="s">
        <v>31</v>
      </c>
      <c r="B59" t="s">
        <v>40</v>
      </c>
      <c r="C59" t="s">
        <v>67</v>
      </c>
      <c r="E59">
        <v>0</v>
      </c>
      <c r="F59">
        <v>6</v>
      </c>
    </row>
    <row r="60" spans="1:6" x14ac:dyDescent="0.3">
      <c r="A60" t="s">
        <v>31</v>
      </c>
      <c r="B60" t="s">
        <v>40</v>
      </c>
      <c r="C60" t="s">
        <v>68</v>
      </c>
      <c r="E60">
        <v>2</v>
      </c>
      <c r="F60">
        <v>11</v>
      </c>
    </row>
    <row r="61" spans="1:6" x14ac:dyDescent="0.3">
      <c r="A61" t="s">
        <v>31</v>
      </c>
      <c r="B61" t="s">
        <v>40</v>
      </c>
      <c r="C61" t="s">
        <v>68</v>
      </c>
      <c r="D61" t="s">
        <v>69</v>
      </c>
      <c r="E61">
        <v>0</v>
      </c>
      <c r="F61">
        <v>4</v>
      </c>
    </row>
    <row r="62" spans="1:6" x14ac:dyDescent="0.3">
      <c r="A62" t="s">
        <v>31</v>
      </c>
      <c r="B62" t="s">
        <v>40</v>
      </c>
      <c r="C62" t="s">
        <v>70</v>
      </c>
      <c r="E62">
        <v>0</v>
      </c>
      <c r="F62">
        <v>4</v>
      </c>
    </row>
    <row r="63" spans="1:6" x14ac:dyDescent="0.3">
      <c r="A63" t="s">
        <v>31</v>
      </c>
      <c r="B63" t="s">
        <v>71</v>
      </c>
      <c r="E63">
        <v>6</v>
      </c>
      <c r="F63">
        <v>0</v>
      </c>
    </row>
    <row r="64" spans="1:6" x14ac:dyDescent="0.3">
      <c r="A64" t="s">
        <v>31</v>
      </c>
      <c r="B64" t="s">
        <v>72</v>
      </c>
      <c r="C64" t="s">
        <v>73</v>
      </c>
      <c r="E64">
        <v>1</v>
      </c>
      <c r="F64">
        <v>0</v>
      </c>
    </row>
    <row r="65" spans="1:6" x14ac:dyDescent="0.3">
      <c r="A65" t="s">
        <v>31</v>
      </c>
      <c r="B65" t="s">
        <v>74</v>
      </c>
      <c r="C65" t="s">
        <v>75</v>
      </c>
      <c r="D65" t="s">
        <v>76</v>
      </c>
      <c r="E65">
        <v>9</v>
      </c>
      <c r="F65">
        <v>0</v>
      </c>
    </row>
    <row r="66" spans="1:6" x14ac:dyDescent="0.3">
      <c r="A66" t="s">
        <v>31</v>
      </c>
      <c r="B66" t="s">
        <v>77</v>
      </c>
      <c r="E66">
        <v>2</v>
      </c>
      <c r="F66">
        <v>0</v>
      </c>
    </row>
    <row r="67" spans="1:6" x14ac:dyDescent="0.3">
      <c r="A67" t="s">
        <v>31</v>
      </c>
      <c r="B67" t="s">
        <v>78</v>
      </c>
      <c r="E67">
        <v>1</v>
      </c>
      <c r="F67">
        <v>0</v>
      </c>
    </row>
    <row r="68" spans="1:6" x14ac:dyDescent="0.3">
      <c r="A68" t="s">
        <v>31</v>
      </c>
      <c r="B68" t="s">
        <v>79</v>
      </c>
      <c r="C68" t="s">
        <v>80</v>
      </c>
      <c r="E68">
        <v>26</v>
      </c>
      <c r="F68">
        <v>20</v>
      </c>
    </row>
    <row r="69" spans="1:6" x14ac:dyDescent="0.3">
      <c r="A69" t="s">
        <v>31</v>
      </c>
      <c r="B69" t="s">
        <v>79</v>
      </c>
      <c r="C69" t="s">
        <v>81</v>
      </c>
      <c r="E69">
        <v>0</v>
      </c>
      <c r="F69">
        <v>10</v>
      </c>
    </row>
    <row r="70" spans="1:6" x14ac:dyDescent="0.3">
      <c r="A70" t="s">
        <v>31</v>
      </c>
      <c r="B70" t="s">
        <v>79</v>
      </c>
      <c r="C70" t="s">
        <v>82</v>
      </c>
      <c r="E70">
        <v>0</v>
      </c>
      <c r="F70">
        <v>12</v>
      </c>
    </row>
    <row r="71" spans="1:6" x14ac:dyDescent="0.3">
      <c r="A71" t="s">
        <v>31</v>
      </c>
      <c r="B71" t="s">
        <v>83</v>
      </c>
      <c r="C71" t="s">
        <v>84</v>
      </c>
      <c r="E71">
        <v>1</v>
      </c>
      <c r="F71">
        <v>0</v>
      </c>
    </row>
    <row r="72" spans="1:6" x14ac:dyDescent="0.3">
      <c r="A72" t="s">
        <v>31</v>
      </c>
      <c r="B72" t="s">
        <v>85</v>
      </c>
      <c r="C72" t="s">
        <v>86</v>
      </c>
      <c r="E72">
        <v>1</v>
      </c>
      <c r="F72">
        <v>0</v>
      </c>
    </row>
    <row r="73" spans="1:6" x14ac:dyDescent="0.3">
      <c r="A73" t="s">
        <v>31</v>
      </c>
      <c r="B73" t="s">
        <v>87</v>
      </c>
      <c r="C73" t="s">
        <v>88</v>
      </c>
      <c r="E73">
        <v>8</v>
      </c>
      <c r="F73">
        <v>0</v>
      </c>
    </row>
    <row r="74" spans="1:6" x14ac:dyDescent="0.3">
      <c r="A74" t="s">
        <v>31</v>
      </c>
      <c r="B74" t="s">
        <v>87</v>
      </c>
      <c r="C74" t="s">
        <v>88</v>
      </c>
      <c r="D74" t="s">
        <v>89</v>
      </c>
      <c r="E74">
        <v>0</v>
      </c>
      <c r="F74">
        <v>1</v>
      </c>
    </row>
    <row r="75" spans="1:6" x14ac:dyDescent="0.3">
      <c r="A75" t="s">
        <v>31</v>
      </c>
      <c r="B75" t="s">
        <v>87</v>
      </c>
      <c r="C75" t="s">
        <v>90</v>
      </c>
      <c r="E75">
        <v>55</v>
      </c>
      <c r="F75">
        <v>15</v>
      </c>
    </row>
    <row r="76" spans="1:6" x14ac:dyDescent="0.3">
      <c r="A76" t="s">
        <v>31</v>
      </c>
      <c r="B76" t="s">
        <v>87</v>
      </c>
      <c r="C76" t="s">
        <v>91</v>
      </c>
      <c r="E76">
        <v>0</v>
      </c>
      <c r="F76">
        <v>9</v>
      </c>
    </row>
    <row r="77" spans="1:6" x14ac:dyDescent="0.3">
      <c r="A77" t="s">
        <v>31</v>
      </c>
      <c r="B77" t="s">
        <v>87</v>
      </c>
      <c r="C77" t="s">
        <v>92</v>
      </c>
      <c r="E77">
        <v>0</v>
      </c>
      <c r="F77">
        <v>11</v>
      </c>
    </row>
    <row r="78" spans="1:6" x14ac:dyDescent="0.3">
      <c r="A78" t="s">
        <v>31</v>
      </c>
      <c r="B78" t="s">
        <v>87</v>
      </c>
      <c r="C78" t="s">
        <v>93</v>
      </c>
      <c r="E78">
        <v>8</v>
      </c>
      <c r="F78">
        <v>0</v>
      </c>
    </row>
    <row r="79" spans="1:6" x14ac:dyDescent="0.3">
      <c r="A79" t="s">
        <v>31</v>
      </c>
      <c r="B79" t="s">
        <v>87</v>
      </c>
      <c r="C79" t="s">
        <v>94</v>
      </c>
      <c r="E79">
        <v>46</v>
      </c>
      <c r="F79">
        <v>14</v>
      </c>
    </row>
    <row r="80" spans="1:6" x14ac:dyDescent="0.3">
      <c r="A80" t="s">
        <v>31</v>
      </c>
      <c r="B80" t="s">
        <v>87</v>
      </c>
      <c r="C80" t="s">
        <v>94</v>
      </c>
      <c r="D80" t="s">
        <v>95</v>
      </c>
      <c r="E80">
        <v>0</v>
      </c>
      <c r="F80">
        <v>3</v>
      </c>
    </row>
    <row r="81" spans="1:6" x14ac:dyDescent="0.3">
      <c r="A81" t="s">
        <v>31</v>
      </c>
      <c r="B81" t="s">
        <v>87</v>
      </c>
      <c r="C81" t="s">
        <v>94</v>
      </c>
      <c r="D81" t="s">
        <v>96</v>
      </c>
      <c r="E81">
        <v>0</v>
      </c>
      <c r="F81">
        <v>9</v>
      </c>
    </row>
    <row r="82" spans="1:6" x14ac:dyDescent="0.3">
      <c r="A82" t="s">
        <v>31</v>
      </c>
      <c r="B82" t="s">
        <v>87</v>
      </c>
      <c r="C82" t="s">
        <v>94</v>
      </c>
      <c r="D82" t="s">
        <v>97</v>
      </c>
      <c r="E82">
        <v>0</v>
      </c>
      <c r="F82">
        <v>27</v>
      </c>
    </row>
    <row r="83" spans="1:6" x14ac:dyDescent="0.3">
      <c r="A83" t="s">
        <v>31</v>
      </c>
      <c r="B83" t="s">
        <v>87</v>
      </c>
      <c r="C83" t="s">
        <v>98</v>
      </c>
      <c r="E83">
        <v>302</v>
      </c>
      <c r="F83">
        <v>26</v>
      </c>
    </row>
    <row r="84" spans="1:6" x14ac:dyDescent="0.3">
      <c r="A84" t="s">
        <v>31</v>
      </c>
      <c r="B84" t="s">
        <v>87</v>
      </c>
      <c r="C84" t="s">
        <v>99</v>
      </c>
      <c r="E84">
        <v>0</v>
      </c>
      <c r="F84">
        <v>4</v>
      </c>
    </row>
    <row r="85" spans="1:6" x14ac:dyDescent="0.3">
      <c r="A85" t="s">
        <v>31</v>
      </c>
      <c r="B85" t="s">
        <v>87</v>
      </c>
      <c r="E85">
        <v>5</v>
      </c>
      <c r="F85">
        <v>0</v>
      </c>
    </row>
    <row r="86" spans="1:6" x14ac:dyDescent="0.3">
      <c r="A86" t="s">
        <v>31</v>
      </c>
      <c r="B86" t="s">
        <v>100</v>
      </c>
      <c r="C86" t="s">
        <v>101</v>
      </c>
      <c r="D86" t="s">
        <v>102</v>
      </c>
      <c r="E86">
        <v>0</v>
      </c>
      <c r="F86">
        <v>1</v>
      </c>
    </row>
    <row r="87" spans="1:6" x14ac:dyDescent="0.3">
      <c r="A87" t="s">
        <v>31</v>
      </c>
      <c r="B87" t="s">
        <v>100</v>
      </c>
      <c r="C87" t="s">
        <v>101</v>
      </c>
      <c r="E87">
        <v>0</v>
      </c>
      <c r="F87">
        <v>2</v>
      </c>
    </row>
    <row r="88" spans="1:6" x14ac:dyDescent="0.3">
      <c r="A88" t="s">
        <v>31</v>
      </c>
      <c r="B88" t="s">
        <v>100</v>
      </c>
      <c r="C88" t="s">
        <v>103</v>
      </c>
      <c r="E88">
        <v>0</v>
      </c>
      <c r="F88">
        <v>6</v>
      </c>
    </row>
    <row r="89" spans="1:6" x14ac:dyDescent="0.3">
      <c r="A89" t="s">
        <v>31</v>
      </c>
      <c r="B89" t="s">
        <v>100</v>
      </c>
      <c r="C89" t="s">
        <v>104</v>
      </c>
      <c r="E89">
        <v>0</v>
      </c>
      <c r="F89">
        <v>1</v>
      </c>
    </row>
    <row r="90" spans="1:6" x14ac:dyDescent="0.3">
      <c r="A90" t="s">
        <v>31</v>
      </c>
      <c r="B90" t="s">
        <v>100</v>
      </c>
      <c r="C90" t="s">
        <v>105</v>
      </c>
      <c r="D90" t="s">
        <v>106</v>
      </c>
      <c r="E90">
        <v>0</v>
      </c>
      <c r="F90">
        <v>2</v>
      </c>
    </row>
    <row r="91" spans="1:6" x14ac:dyDescent="0.3">
      <c r="A91" t="s">
        <v>31</v>
      </c>
      <c r="B91" t="s">
        <v>100</v>
      </c>
      <c r="C91" t="s">
        <v>105</v>
      </c>
      <c r="D91" t="s">
        <v>107</v>
      </c>
      <c r="E91">
        <v>0</v>
      </c>
      <c r="F91">
        <v>2</v>
      </c>
    </row>
    <row r="92" spans="1:6" x14ac:dyDescent="0.3">
      <c r="A92" t="s">
        <v>31</v>
      </c>
      <c r="B92" t="s">
        <v>100</v>
      </c>
      <c r="C92" t="s">
        <v>105</v>
      </c>
      <c r="E92">
        <v>0</v>
      </c>
      <c r="F92">
        <v>1</v>
      </c>
    </row>
    <row r="93" spans="1:6" x14ac:dyDescent="0.3">
      <c r="A93" t="s">
        <v>31</v>
      </c>
      <c r="B93" t="s">
        <v>100</v>
      </c>
      <c r="C93" t="s">
        <v>108</v>
      </c>
      <c r="E93">
        <v>0</v>
      </c>
      <c r="F93">
        <v>5</v>
      </c>
    </row>
    <row r="94" spans="1:6" x14ac:dyDescent="0.3">
      <c r="A94" t="s">
        <v>31</v>
      </c>
      <c r="B94" t="s">
        <v>100</v>
      </c>
      <c r="C94" t="s">
        <v>109</v>
      </c>
      <c r="E94">
        <v>0</v>
      </c>
      <c r="F94">
        <v>4</v>
      </c>
    </row>
    <row r="95" spans="1:6" x14ac:dyDescent="0.3">
      <c r="A95" t="s">
        <v>31</v>
      </c>
      <c r="B95" t="s">
        <v>110</v>
      </c>
      <c r="C95" t="s">
        <v>111</v>
      </c>
      <c r="D95" t="s">
        <v>112</v>
      </c>
      <c r="E95">
        <v>0</v>
      </c>
      <c r="F95">
        <v>2</v>
      </c>
    </row>
    <row r="96" spans="1:6" x14ac:dyDescent="0.3">
      <c r="A96" t="s">
        <v>31</v>
      </c>
      <c r="B96" t="s">
        <v>113</v>
      </c>
      <c r="C96" t="s">
        <v>114</v>
      </c>
      <c r="E96">
        <v>1</v>
      </c>
      <c r="F96">
        <v>0</v>
      </c>
    </row>
    <row r="97" spans="1:6" x14ac:dyDescent="0.3">
      <c r="A97" t="s">
        <v>31</v>
      </c>
      <c r="B97" t="s">
        <v>115</v>
      </c>
      <c r="C97" t="s">
        <v>116</v>
      </c>
      <c r="E97">
        <v>0</v>
      </c>
      <c r="F97">
        <v>0</v>
      </c>
    </row>
    <row r="98" spans="1:6" x14ac:dyDescent="0.3">
      <c r="A98" t="s">
        <v>31</v>
      </c>
      <c r="B98" t="s">
        <v>117</v>
      </c>
      <c r="C98" t="s">
        <v>118</v>
      </c>
      <c r="E98">
        <v>26</v>
      </c>
      <c r="F98">
        <v>0</v>
      </c>
    </row>
    <row r="99" spans="1:6" x14ac:dyDescent="0.3">
      <c r="A99" t="s">
        <v>31</v>
      </c>
      <c r="B99" t="s">
        <v>119</v>
      </c>
      <c r="C99" t="s">
        <v>120</v>
      </c>
      <c r="D99" t="s">
        <v>121</v>
      </c>
      <c r="E99">
        <v>5</v>
      </c>
      <c r="F99">
        <v>0</v>
      </c>
    </row>
    <row r="100" spans="1:6" x14ac:dyDescent="0.3">
      <c r="A100" t="s">
        <v>31</v>
      </c>
      <c r="B100" t="s">
        <v>119</v>
      </c>
      <c r="C100" t="s">
        <v>120</v>
      </c>
      <c r="E100">
        <v>172</v>
      </c>
      <c r="F100">
        <v>0</v>
      </c>
    </row>
    <row r="101" spans="1:6" x14ac:dyDescent="0.3">
      <c r="A101" t="s">
        <v>31</v>
      </c>
      <c r="B101" t="s">
        <v>119</v>
      </c>
      <c r="C101" t="s">
        <v>122</v>
      </c>
      <c r="E101">
        <v>1</v>
      </c>
      <c r="F101">
        <v>0</v>
      </c>
    </row>
    <row r="102" spans="1:6" x14ac:dyDescent="0.3">
      <c r="A102" t="s">
        <v>31</v>
      </c>
      <c r="B102" t="s">
        <v>119</v>
      </c>
      <c r="E102">
        <v>26</v>
      </c>
      <c r="F102">
        <v>0</v>
      </c>
    </row>
    <row r="103" spans="1:6" x14ac:dyDescent="0.3">
      <c r="A103" t="s">
        <v>123</v>
      </c>
      <c r="E103">
        <v>1</v>
      </c>
      <c r="F103">
        <v>62</v>
      </c>
    </row>
    <row r="104" spans="1:6" x14ac:dyDescent="0.3">
      <c r="A104" t="s">
        <v>124</v>
      </c>
      <c r="B104" t="s">
        <v>125</v>
      </c>
      <c r="C104" t="s">
        <v>126</v>
      </c>
      <c r="D104" t="s">
        <v>127</v>
      </c>
      <c r="E104">
        <v>8</v>
      </c>
      <c r="F104">
        <v>0</v>
      </c>
    </row>
    <row r="105" spans="1:6" x14ac:dyDescent="0.3">
      <c r="A105" t="s">
        <v>124</v>
      </c>
      <c r="B105" t="s">
        <v>125</v>
      </c>
      <c r="E105">
        <v>1</v>
      </c>
      <c r="F105">
        <v>0</v>
      </c>
    </row>
    <row r="106" spans="1:6" x14ac:dyDescent="0.3">
      <c r="A106" t="s">
        <v>124</v>
      </c>
      <c r="B106" t="s">
        <v>128</v>
      </c>
      <c r="C106" t="s">
        <v>129</v>
      </c>
      <c r="D106" t="s">
        <v>130</v>
      </c>
      <c r="E106">
        <v>1</v>
      </c>
      <c r="F106">
        <v>0</v>
      </c>
    </row>
    <row r="107" spans="1:6" x14ac:dyDescent="0.3">
      <c r="A107" t="s">
        <v>124</v>
      </c>
      <c r="B107" t="s">
        <v>131</v>
      </c>
      <c r="C107" t="s">
        <v>132</v>
      </c>
      <c r="D107" t="s">
        <v>133</v>
      </c>
      <c r="E107">
        <v>1</v>
      </c>
      <c r="F107">
        <v>0</v>
      </c>
    </row>
    <row r="108" spans="1:6" x14ac:dyDescent="0.3">
      <c r="A108" t="s">
        <v>124</v>
      </c>
      <c r="B108" t="s">
        <v>131</v>
      </c>
      <c r="C108" t="s">
        <v>134</v>
      </c>
      <c r="D108" t="s">
        <v>135</v>
      </c>
      <c r="E108">
        <v>3</v>
      </c>
      <c r="F108">
        <v>0</v>
      </c>
    </row>
    <row r="109" spans="1:6" x14ac:dyDescent="0.3">
      <c r="A109" t="s">
        <v>124</v>
      </c>
      <c r="B109" t="s">
        <v>131</v>
      </c>
      <c r="C109" t="s">
        <v>136</v>
      </c>
      <c r="D109" t="s">
        <v>137</v>
      </c>
      <c r="E109">
        <v>2</v>
      </c>
      <c r="F109">
        <v>0</v>
      </c>
    </row>
    <row r="110" spans="1:6" x14ac:dyDescent="0.3">
      <c r="A110" t="s">
        <v>124</v>
      </c>
      <c r="B110" t="s">
        <v>138</v>
      </c>
      <c r="C110" t="s">
        <v>139</v>
      </c>
      <c r="D110" t="s">
        <v>140</v>
      </c>
      <c r="E110">
        <v>1</v>
      </c>
      <c r="F110">
        <v>0</v>
      </c>
    </row>
    <row r="111" spans="1:6" x14ac:dyDescent="0.3">
      <c r="A111" t="s">
        <v>141</v>
      </c>
      <c r="E111">
        <v>1</v>
      </c>
      <c r="F111">
        <v>38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0DA9E9-189A-4F5E-85D3-79B1637529B5}">
  <dimension ref="A1:F116"/>
  <sheetViews>
    <sheetView workbookViewId="0">
      <selection activeCell="I10" sqref="I10"/>
    </sheetView>
  </sheetViews>
  <sheetFormatPr defaultRowHeight="14.4" x14ac:dyDescent="0.3"/>
  <cols>
    <col min="1" max="1" width="17.44140625" bestFit="1" customWidth="1"/>
    <col min="2" max="2" width="18.88671875" bestFit="1" customWidth="1"/>
    <col min="3" max="3" width="19.33203125" bestFit="1" customWidth="1"/>
    <col min="4" max="4" width="23.109375" bestFit="1" customWidth="1"/>
    <col min="5" max="5" width="7" customWidth="1"/>
    <col min="6" max="6" width="9.6640625" bestFit="1" customWidth="1"/>
  </cols>
  <sheetData>
    <row r="1" spans="1:6" s="3" customFormat="1" x14ac:dyDescent="0.3">
      <c r="A1" s="3" t="s">
        <v>0</v>
      </c>
      <c r="B1" s="3" t="s">
        <v>1</v>
      </c>
      <c r="C1" s="3" t="s">
        <v>2</v>
      </c>
      <c r="D1" s="3" t="s">
        <v>3</v>
      </c>
      <c r="E1" s="3">
        <v>2024</v>
      </c>
      <c r="F1" s="3" t="s">
        <v>142</v>
      </c>
    </row>
    <row r="2" spans="1:6" x14ac:dyDescent="0.3">
      <c r="A2" t="s">
        <v>4</v>
      </c>
      <c r="B2" t="s">
        <v>8</v>
      </c>
      <c r="E2">
        <v>16</v>
      </c>
      <c r="F2">
        <v>0</v>
      </c>
    </row>
    <row r="3" spans="1:6" x14ac:dyDescent="0.3">
      <c r="A3" t="s">
        <v>4</v>
      </c>
      <c r="B3" t="s">
        <v>7</v>
      </c>
      <c r="E3">
        <v>7</v>
      </c>
      <c r="F3">
        <v>0</v>
      </c>
    </row>
    <row r="4" spans="1:6" x14ac:dyDescent="0.3">
      <c r="A4" t="s">
        <v>4</v>
      </c>
      <c r="B4" t="s">
        <v>6</v>
      </c>
      <c r="E4">
        <v>6</v>
      </c>
      <c r="F4">
        <v>0</v>
      </c>
    </row>
    <row r="5" spans="1:6" x14ac:dyDescent="0.3">
      <c r="A5" t="s">
        <v>4</v>
      </c>
      <c r="B5" t="s">
        <v>9</v>
      </c>
      <c r="E5">
        <v>3</v>
      </c>
      <c r="F5">
        <v>0</v>
      </c>
    </row>
    <row r="6" spans="1:6" x14ac:dyDescent="0.3">
      <c r="A6" t="s">
        <v>4</v>
      </c>
      <c r="B6" t="s">
        <v>5</v>
      </c>
      <c r="E6">
        <v>2</v>
      </c>
      <c r="F6">
        <v>0</v>
      </c>
    </row>
    <row r="7" spans="1:6" x14ac:dyDescent="0.3">
      <c r="A7" t="s">
        <v>4</v>
      </c>
      <c r="B7" t="s">
        <v>10</v>
      </c>
      <c r="E7">
        <v>0</v>
      </c>
      <c r="F7">
        <v>54</v>
      </c>
    </row>
    <row r="8" spans="1:6" s="3" customFormat="1" x14ac:dyDescent="0.3">
      <c r="A8" s="3" t="s">
        <v>151</v>
      </c>
      <c r="E8" s="3">
        <f>SUM(E2:E7)</f>
        <v>34</v>
      </c>
      <c r="F8" s="3">
        <f>SUM(F2:F7)</f>
        <v>54</v>
      </c>
    </row>
    <row r="9" spans="1:6" x14ac:dyDescent="0.3">
      <c r="A9" t="s">
        <v>11</v>
      </c>
      <c r="B9" t="s">
        <v>22</v>
      </c>
      <c r="E9">
        <v>132</v>
      </c>
      <c r="F9">
        <v>49</v>
      </c>
    </row>
    <row r="10" spans="1:6" ht="28.8" x14ac:dyDescent="0.3">
      <c r="A10" t="s">
        <v>11</v>
      </c>
      <c r="B10" s="6" t="s">
        <v>161</v>
      </c>
      <c r="E10">
        <v>131</v>
      </c>
      <c r="F10">
        <v>0</v>
      </c>
    </row>
    <row r="11" spans="1:6" x14ac:dyDescent="0.3">
      <c r="A11" t="s">
        <v>11</v>
      </c>
      <c r="B11" t="s">
        <v>23</v>
      </c>
      <c r="E11">
        <v>76</v>
      </c>
      <c r="F11">
        <v>0</v>
      </c>
    </row>
    <row r="12" spans="1:6" x14ac:dyDescent="0.3">
      <c r="A12" t="s">
        <v>11</v>
      </c>
      <c r="B12" t="s">
        <v>18</v>
      </c>
      <c r="E12">
        <v>63</v>
      </c>
      <c r="F12">
        <v>0</v>
      </c>
    </row>
    <row r="13" spans="1:6" x14ac:dyDescent="0.3">
      <c r="A13" t="s">
        <v>11</v>
      </c>
      <c r="B13" t="s">
        <v>21</v>
      </c>
      <c r="E13">
        <v>61</v>
      </c>
      <c r="F13">
        <v>0</v>
      </c>
    </row>
    <row r="14" spans="1:6" x14ac:dyDescent="0.3">
      <c r="A14" t="s">
        <v>11</v>
      </c>
      <c r="B14" t="s">
        <v>15</v>
      </c>
      <c r="E14">
        <v>43</v>
      </c>
      <c r="F14">
        <v>0</v>
      </c>
    </row>
    <row r="15" spans="1:6" x14ac:dyDescent="0.3">
      <c r="A15" t="s">
        <v>11</v>
      </c>
      <c r="B15" t="s">
        <v>19</v>
      </c>
      <c r="E15">
        <v>27</v>
      </c>
      <c r="F15">
        <v>0</v>
      </c>
    </row>
    <row r="16" spans="1:6" x14ac:dyDescent="0.3">
      <c r="A16" t="s">
        <v>11</v>
      </c>
      <c r="B16" t="s">
        <v>14</v>
      </c>
      <c r="E16">
        <v>17</v>
      </c>
      <c r="F16">
        <v>0</v>
      </c>
    </row>
    <row r="17" spans="1:6" x14ac:dyDescent="0.3">
      <c r="A17" t="s">
        <v>11</v>
      </c>
      <c r="B17" t="s">
        <v>17</v>
      </c>
      <c r="E17">
        <v>6</v>
      </c>
      <c r="F17">
        <v>0</v>
      </c>
    </row>
    <row r="18" spans="1:6" x14ac:dyDescent="0.3">
      <c r="A18" t="s">
        <v>11</v>
      </c>
      <c r="B18" t="s">
        <v>12</v>
      </c>
      <c r="E18">
        <v>5</v>
      </c>
      <c r="F18">
        <v>0</v>
      </c>
    </row>
    <row r="19" spans="1:6" x14ac:dyDescent="0.3">
      <c r="A19" t="s">
        <v>11</v>
      </c>
      <c r="B19" t="s">
        <v>20</v>
      </c>
      <c r="E19">
        <v>3</v>
      </c>
      <c r="F19">
        <v>0</v>
      </c>
    </row>
    <row r="20" spans="1:6" x14ac:dyDescent="0.3">
      <c r="A20" t="s">
        <v>11</v>
      </c>
      <c r="B20" t="s">
        <v>13</v>
      </c>
      <c r="E20">
        <v>1</v>
      </c>
      <c r="F20">
        <v>0</v>
      </c>
    </row>
    <row r="21" spans="1:6" x14ac:dyDescent="0.3">
      <c r="A21" t="s">
        <v>11</v>
      </c>
      <c r="B21" t="s">
        <v>16</v>
      </c>
      <c r="E21">
        <v>1</v>
      </c>
      <c r="F21">
        <v>0</v>
      </c>
    </row>
    <row r="22" spans="1:6" x14ac:dyDescent="0.3">
      <c r="A22" t="s">
        <v>11</v>
      </c>
      <c r="B22" t="s">
        <v>24</v>
      </c>
      <c r="E22">
        <v>1</v>
      </c>
      <c r="F22">
        <v>0</v>
      </c>
    </row>
    <row r="23" spans="1:6" x14ac:dyDescent="0.3">
      <c r="A23" t="s">
        <v>11</v>
      </c>
      <c r="B23" t="s">
        <v>10</v>
      </c>
      <c r="E23">
        <v>1</v>
      </c>
      <c r="F23">
        <v>55</v>
      </c>
    </row>
    <row r="24" spans="1:6" s="3" customFormat="1" x14ac:dyDescent="0.3">
      <c r="A24" s="3" t="s">
        <v>152</v>
      </c>
      <c r="E24" s="3">
        <f>SUM(E9:E23)</f>
        <v>568</v>
      </c>
      <c r="F24" s="3">
        <f>SUM(F9:F23)</f>
        <v>104</v>
      </c>
    </row>
    <row r="25" spans="1:6" x14ac:dyDescent="0.3">
      <c r="A25" t="s">
        <v>26</v>
      </c>
      <c r="B25" t="s">
        <v>30</v>
      </c>
      <c r="E25">
        <v>3</v>
      </c>
      <c r="F25">
        <v>0</v>
      </c>
    </row>
    <row r="26" spans="1:6" x14ac:dyDescent="0.3">
      <c r="A26" t="s">
        <v>26</v>
      </c>
      <c r="B26" t="s">
        <v>29</v>
      </c>
      <c r="E26">
        <v>2</v>
      </c>
      <c r="F26">
        <v>0</v>
      </c>
    </row>
    <row r="27" spans="1:6" x14ac:dyDescent="0.3">
      <c r="A27" t="s">
        <v>26</v>
      </c>
      <c r="B27" t="s">
        <v>27</v>
      </c>
      <c r="E27">
        <v>1</v>
      </c>
      <c r="F27">
        <v>0</v>
      </c>
    </row>
    <row r="28" spans="1:6" x14ac:dyDescent="0.3">
      <c r="A28" t="s">
        <v>26</v>
      </c>
      <c r="B28" t="s">
        <v>28</v>
      </c>
      <c r="E28">
        <v>1</v>
      </c>
      <c r="F28">
        <v>0</v>
      </c>
    </row>
    <row r="29" spans="1:6" s="3" customFormat="1" x14ac:dyDescent="0.3">
      <c r="A29" s="3" t="s">
        <v>153</v>
      </c>
      <c r="E29" s="3">
        <f>SUM(E25:E28)</f>
        <v>7</v>
      </c>
      <c r="F29" s="3">
        <f>SUM(F25:F28)</f>
        <v>0</v>
      </c>
    </row>
    <row r="30" spans="1:6" x14ac:dyDescent="0.3">
      <c r="A30" t="s">
        <v>31</v>
      </c>
      <c r="B30" t="s">
        <v>87</v>
      </c>
      <c r="C30" t="s">
        <v>98</v>
      </c>
      <c r="E30">
        <v>302</v>
      </c>
      <c r="F30">
        <v>26</v>
      </c>
    </row>
    <row r="31" spans="1:6" x14ac:dyDescent="0.3">
      <c r="A31" t="s">
        <v>31</v>
      </c>
      <c r="B31" t="s">
        <v>40</v>
      </c>
      <c r="C31" t="s">
        <v>41</v>
      </c>
      <c r="D31" t="s">
        <v>42</v>
      </c>
      <c r="E31">
        <v>280</v>
      </c>
      <c r="F31">
        <v>71</v>
      </c>
    </row>
    <row r="32" spans="1:6" x14ac:dyDescent="0.3">
      <c r="A32" t="s">
        <v>31</v>
      </c>
      <c r="B32" t="s">
        <v>40</v>
      </c>
      <c r="C32" t="s">
        <v>46</v>
      </c>
      <c r="D32" t="s">
        <v>52</v>
      </c>
      <c r="E32">
        <v>243</v>
      </c>
      <c r="F32">
        <v>41</v>
      </c>
    </row>
    <row r="33" spans="1:6" x14ac:dyDescent="0.3">
      <c r="A33" t="s">
        <v>31</v>
      </c>
      <c r="B33" t="s">
        <v>119</v>
      </c>
      <c r="C33" t="s">
        <v>120</v>
      </c>
      <c r="E33">
        <v>172</v>
      </c>
      <c r="F33">
        <v>0</v>
      </c>
    </row>
    <row r="34" spans="1:6" x14ac:dyDescent="0.3">
      <c r="A34" t="s">
        <v>31</v>
      </c>
      <c r="B34" t="s">
        <v>87</v>
      </c>
      <c r="C34" t="s">
        <v>90</v>
      </c>
      <c r="E34">
        <v>55</v>
      </c>
      <c r="F34">
        <v>15</v>
      </c>
    </row>
    <row r="35" spans="1:6" x14ac:dyDescent="0.3">
      <c r="A35" t="s">
        <v>31</v>
      </c>
      <c r="B35" t="s">
        <v>87</v>
      </c>
      <c r="C35" t="s">
        <v>94</v>
      </c>
      <c r="E35">
        <v>46</v>
      </c>
      <c r="F35">
        <v>14</v>
      </c>
    </row>
    <row r="36" spans="1:6" x14ac:dyDescent="0.3">
      <c r="A36" t="s">
        <v>31</v>
      </c>
      <c r="B36" t="s">
        <v>79</v>
      </c>
      <c r="C36" t="s">
        <v>80</v>
      </c>
      <c r="E36">
        <v>26</v>
      </c>
      <c r="F36">
        <v>20</v>
      </c>
    </row>
    <row r="37" spans="1:6" x14ac:dyDescent="0.3">
      <c r="A37" t="s">
        <v>31</v>
      </c>
      <c r="B37" t="s">
        <v>117</v>
      </c>
      <c r="C37" t="s">
        <v>118</v>
      </c>
      <c r="E37">
        <v>26</v>
      </c>
      <c r="F37">
        <v>0</v>
      </c>
    </row>
    <row r="38" spans="1:6" x14ac:dyDescent="0.3">
      <c r="A38" t="s">
        <v>31</v>
      </c>
      <c r="B38" t="s">
        <v>119</v>
      </c>
      <c r="E38">
        <v>26</v>
      </c>
      <c r="F38">
        <v>0</v>
      </c>
    </row>
    <row r="39" spans="1:6" x14ac:dyDescent="0.3">
      <c r="A39" t="s">
        <v>31</v>
      </c>
      <c r="B39" t="s">
        <v>40</v>
      </c>
      <c r="C39" t="s">
        <v>46</v>
      </c>
      <c r="D39" t="s">
        <v>148</v>
      </c>
      <c r="E39">
        <v>15</v>
      </c>
      <c r="F39">
        <v>16</v>
      </c>
    </row>
    <row r="40" spans="1:6" x14ac:dyDescent="0.3">
      <c r="A40" t="s">
        <v>31</v>
      </c>
      <c r="B40" t="s">
        <v>40</v>
      </c>
      <c r="C40" t="s">
        <v>58</v>
      </c>
      <c r="E40">
        <v>15</v>
      </c>
      <c r="F40">
        <v>16</v>
      </c>
    </row>
    <row r="41" spans="1:6" x14ac:dyDescent="0.3">
      <c r="A41" t="s">
        <v>31</v>
      </c>
      <c r="B41" t="s">
        <v>40</v>
      </c>
      <c r="C41" t="s">
        <v>61</v>
      </c>
      <c r="E41">
        <v>14</v>
      </c>
      <c r="F41">
        <v>11</v>
      </c>
    </row>
    <row r="42" spans="1:6" x14ac:dyDescent="0.3">
      <c r="A42" t="s">
        <v>31</v>
      </c>
      <c r="B42" t="s">
        <v>74</v>
      </c>
      <c r="C42" t="s">
        <v>75</v>
      </c>
      <c r="D42" t="s">
        <v>76</v>
      </c>
      <c r="E42">
        <v>9</v>
      </c>
      <c r="F42">
        <v>0</v>
      </c>
    </row>
    <row r="43" spans="1:6" x14ac:dyDescent="0.3">
      <c r="A43" t="s">
        <v>31</v>
      </c>
      <c r="B43" t="s">
        <v>87</v>
      </c>
      <c r="C43" t="s">
        <v>88</v>
      </c>
      <c r="E43">
        <v>8</v>
      </c>
      <c r="F43">
        <v>0</v>
      </c>
    </row>
    <row r="44" spans="1:6" x14ac:dyDescent="0.3">
      <c r="A44" t="s">
        <v>31</v>
      </c>
      <c r="B44" t="s">
        <v>87</v>
      </c>
      <c r="C44" t="s">
        <v>164</v>
      </c>
      <c r="E44">
        <v>8</v>
      </c>
      <c r="F44">
        <v>0</v>
      </c>
    </row>
    <row r="45" spans="1:6" x14ac:dyDescent="0.3">
      <c r="A45" t="s">
        <v>31</v>
      </c>
      <c r="B45" t="s">
        <v>32</v>
      </c>
      <c r="C45" t="s">
        <v>34</v>
      </c>
      <c r="E45">
        <v>6</v>
      </c>
      <c r="F45">
        <v>0</v>
      </c>
    </row>
    <row r="46" spans="1:6" x14ac:dyDescent="0.3">
      <c r="A46" t="s">
        <v>31</v>
      </c>
      <c r="B46" t="s">
        <v>71</v>
      </c>
      <c r="E46">
        <v>6</v>
      </c>
      <c r="F46">
        <v>0</v>
      </c>
    </row>
    <row r="47" spans="1:6" x14ac:dyDescent="0.3">
      <c r="A47" t="s">
        <v>31</v>
      </c>
      <c r="B47" t="s">
        <v>87</v>
      </c>
      <c r="E47">
        <v>5</v>
      </c>
      <c r="F47">
        <v>0</v>
      </c>
    </row>
    <row r="48" spans="1:6" x14ac:dyDescent="0.3">
      <c r="A48" t="s">
        <v>31</v>
      </c>
      <c r="B48" t="s">
        <v>119</v>
      </c>
      <c r="C48" t="s">
        <v>120</v>
      </c>
      <c r="D48" t="s">
        <v>121</v>
      </c>
      <c r="E48">
        <v>5</v>
      </c>
      <c r="F48">
        <v>0</v>
      </c>
    </row>
    <row r="49" spans="1:6" x14ac:dyDescent="0.3">
      <c r="A49" t="s">
        <v>31</v>
      </c>
      <c r="B49" t="s">
        <v>40</v>
      </c>
      <c r="C49" t="s">
        <v>46</v>
      </c>
      <c r="D49" t="s">
        <v>50</v>
      </c>
      <c r="E49">
        <v>3</v>
      </c>
      <c r="F49">
        <v>12</v>
      </c>
    </row>
    <row r="50" spans="1:6" x14ac:dyDescent="0.3">
      <c r="A50" t="s">
        <v>31</v>
      </c>
      <c r="B50" t="s">
        <v>32</v>
      </c>
      <c r="C50" t="s">
        <v>33</v>
      </c>
      <c r="E50">
        <v>2</v>
      </c>
      <c r="F50">
        <v>0</v>
      </c>
    </row>
    <row r="51" spans="1:6" x14ac:dyDescent="0.3">
      <c r="A51" t="s">
        <v>31</v>
      </c>
      <c r="B51" t="s">
        <v>40</v>
      </c>
      <c r="C51" t="s">
        <v>46</v>
      </c>
      <c r="D51" t="s">
        <v>48</v>
      </c>
      <c r="E51">
        <v>2</v>
      </c>
      <c r="F51">
        <v>20</v>
      </c>
    </row>
    <row r="52" spans="1:6" x14ac:dyDescent="0.3">
      <c r="A52" t="s">
        <v>31</v>
      </c>
      <c r="B52" t="s">
        <v>40</v>
      </c>
      <c r="C52" t="s">
        <v>68</v>
      </c>
      <c r="E52">
        <v>2</v>
      </c>
      <c r="F52">
        <v>11</v>
      </c>
    </row>
    <row r="53" spans="1:6" x14ac:dyDescent="0.3">
      <c r="A53" t="s">
        <v>31</v>
      </c>
      <c r="B53" t="s">
        <v>77</v>
      </c>
      <c r="E53">
        <v>2</v>
      </c>
      <c r="F53">
        <v>0</v>
      </c>
    </row>
    <row r="54" spans="1:6" x14ac:dyDescent="0.3">
      <c r="A54" t="s">
        <v>31</v>
      </c>
      <c r="B54" t="s">
        <v>40</v>
      </c>
      <c r="C54" t="s">
        <v>46</v>
      </c>
      <c r="D54" t="s">
        <v>47</v>
      </c>
      <c r="E54">
        <v>1</v>
      </c>
      <c r="F54">
        <v>0</v>
      </c>
    </row>
    <row r="55" spans="1:6" x14ac:dyDescent="0.3">
      <c r="A55" t="s">
        <v>31</v>
      </c>
      <c r="B55" t="s">
        <v>40</v>
      </c>
      <c r="C55" t="s">
        <v>46</v>
      </c>
      <c r="D55" t="s">
        <v>57</v>
      </c>
      <c r="E55">
        <v>1</v>
      </c>
      <c r="F55">
        <v>0</v>
      </c>
    </row>
    <row r="56" spans="1:6" x14ac:dyDescent="0.3">
      <c r="A56" t="s">
        <v>31</v>
      </c>
      <c r="B56" t="s">
        <v>40</v>
      </c>
      <c r="C56" t="s">
        <v>66</v>
      </c>
      <c r="E56">
        <v>1</v>
      </c>
      <c r="F56">
        <v>0</v>
      </c>
    </row>
    <row r="57" spans="1:6" x14ac:dyDescent="0.3">
      <c r="A57" t="s">
        <v>31</v>
      </c>
      <c r="B57" t="s">
        <v>72</v>
      </c>
      <c r="C57" t="s">
        <v>73</v>
      </c>
      <c r="E57">
        <v>1</v>
      </c>
      <c r="F57">
        <v>0</v>
      </c>
    </row>
    <row r="58" spans="1:6" x14ac:dyDescent="0.3">
      <c r="A58" t="s">
        <v>31</v>
      </c>
      <c r="B58" t="s">
        <v>78</v>
      </c>
      <c r="E58">
        <v>1</v>
      </c>
      <c r="F58">
        <v>0</v>
      </c>
    </row>
    <row r="59" spans="1:6" x14ac:dyDescent="0.3">
      <c r="A59" t="s">
        <v>31</v>
      </c>
      <c r="B59" t="s">
        <v>83</v>
      </c>
      <c r="C59" t="s">
        <v>84</v>
      </c>
      <c r="E59">
        <v>1</v>
      </c>
      <c r="F59">
        <v>0</v>
      </c>
    </row>
    <row r="60" spans="1:6" x14ac:dyDescent="0.3">
      <c r="A60" t="s">
        <v>31</v>
      </c>
      <c r="B60" t="s">
        <v>85</v>
      </c>
      <c r="C60" t="s">
        <v>86</v>
      </c>
      <c r="E60">
        <v>1</v>
      </c>
      <c r="F60">
        <v>0</v>
      </c>
    </row>
    <row r="61" spans="1:6" x14ac:dyDescent="0.3">
      <c r="A61" t="s">
        <v>31</v>
      </c>
      <c r="B61" t="s">
        <v>113</v>
      </c>
      <c r="C61" t="s">
        <v>114</v>
      </c>
      <c r="E61">
        <v>1</v>
      </c>
      <c r="F61">
        <v>0</v>
      </c>
    </row>
    <row r="62" spans="1:6" x14ac:dyDescent="0.3">
      <c r="A62" t="s">
        <v>31</v>
      </c>
      <c r="B62" t="s">
        <v>119</v>
      </c>
      <c r="C62" t="s">
        <v>122</v>
      </c>
      <c r="E62">
        <v>1</v>
      </c>
      <c r="F62">
        <v>0</v>
      </c>
    </row>
    <row r="63" spans="1:6" ht="28.8" x14ac:dyDescent="0.3">
      <c r="A63" s="6" t="s">
        <v>162</v>
      </c>
      <c r="E63">
        <v>1</v>
      </c>
      <c r="F63">
        <v>64</v>
      </c>
    </row>
    <row r="64" spans="1:6" x14ac:dyDescent="0.3">
      <c r="A64" t="s">
        <v>31</v>
      </c>
      <c r="B64" t="s">
        <v>32</v>
      </c>
      <c r="C64" t="s">
        <v>34</v>
      </c>
      <c r="D64" t="s">
        <v>35</v>
      </c>
      <c r="E64">
        <v>0</v>
      </c>
      <c r="F64">
        <v>3</v>
      </c>
    </row>
    <row r="65" spans="1:6" x14ac:dyDescent="0.3">
      <c r="A65" t="s">
        <v>31</v>
      </c>
      <c r="B65" t="s">
        <v>32</v>
      </c>
      <c r="C65" t="s">
        <v>34</v>
      </c>
      <c r="D65" t="s">
        <v>36</v>
      </c>
      <c r="E65">
        <v>0</v>
      </c>
      <c r="F65">
        <v>1</v>
      </c>
    </row>
    <row r="66" spans="1:6" x14ac:dyDescent="0.3">
      <c r="A66" t="s">
        <v>31</v>
      </c>
      <c r="B66" t="s">
        <v>32</v>
      </c>
      <c r="C66" t="s">
        <v>37</v>
      </c>
      <c r="E66">
        <v>0</v>
      </c>
      <c r="F66">
        <v>1</v>
      </c>
    </row>
    <row r="67" spans="1:6" x14ac:dyDescent="0.3">
      <c r="A67" t="s">
        <v>31</v>
      </c>
      <c r="B67" t="s">
        <v>32</v>
      </c>
      <c r="C67" t="s">
        <v>38</v>
      </c>
      <c r="E67">
        <v>0</v>
      </c>
      <c r="F67">
        <v>6</v>
      </c>
    </row>
    <row r="68" spans="1:6" x14ac:dyDescent="0.3">
      <c r="A68" t="s">
        <v>31</v>
      </c>
      <c r="B68" t="s">
        <v>32</v>
      </c>
      <c r="C68" t="s">
        <v>39</v>
      </c>
      <c r="E68">
        <v>0</v>
      </c>
      <c r="F68">
        <v>4</v>
      </c>
    </row>
    <row r="69" spans="1:6" x14ac:dyDescent="0.3">
      <c r="A69" t="s">
        <v>31</v>
      </c>
      <c r="B69" t="s">
        <v>40</v>
      </c>
      <c r="C69" t="s">
        <v>43</v>
      </c>
      <c r="D69" t="s">
        <v>44</v>
      </c>
      <c r="E69">
        <v>0</v>
      </c>
      <c r="F69">
        <v>4</v>
      </c>
    </row>
    <row r="70" spans="1:6" x14ac:dyDescent="0.3">
      <c r="A70" t="s">
        <v>31</v>
      </c>
      <c r="B70" t="s">
        <v>40</v>
      </c>
      <c r="C70" t="s">
        <v>43</v>
      </c>
      <c r="D70" t="s">
        <v>45</v>
      </c>
      <c r="E70">
        <v>0</v>
      </c>
      <c r="F70">
        <v>1</v>
      </c>
    </row>
    <row r="71" spans="1:6" x14ac:dyDescent="0.3">
      <c r="A71" t="s">
        <v>31</v>
      </c>
      <c r="B71" t="s">
        <v>40</v>
      </c>
      <c r="C71" t="s">
        <v>43</v>
      </c>
      <c r="E71">
        <v>0</v>
      </c>
      <c r="F71">
        <v>1</v>
      </c>
    </row>
    <row r="72" spans="1:6" x14ac:dyDescent="0.3">
      <c r="A72" t="s">
        <v>31</v>
      </c>
      <c r="B72" t="s">
        <v>40</v>
      </c>
      <c r="C72" t="s">
        <v>46</v>
      </c>
      <c r="D72" t="s">
        <v>49</v>
      </c>
      <c r="E72">
        <v>0</v>
      </c>
      <c r="F72">
        <v>11</v>
      </c>
    </row>
    <row r="73" spans="1:6" x14ac:dyDescent="0.3">
      <c r="A73" t="s">
        <v>31</v>
      </c>
      <c r="B73" t="s">
        <v>40</v>
      </c>
      <c r="C73" t="s">
        <v>46</v>
      </c>
      <c r="D73" t="s">
        <v>51</v>
      </c>
      <c r="E73">
        <v>0</v>
      </c>
      <c r="F73">
        <v>2</v>
      </c>
    </row>
    <row r="74" spans="1:6" x14ac:dyDescent="0.3">
      <c r="A74" t="s">
        <v>31</v>
      </c>
      <c r="B74" t="s">
        <v>40</v>
      </c>
      <c r="C74" t="s">
        <v>46</v>
      </c>
      <c r="D74" t="s">
        <v>53</v>
      </c>
      <c r="E74">
        <v>0</v>
      </c>
      <c r="F74">
        <v>2</v>
      </c>
    </row>
    <row r="75" spans="1:6" x14ac:dyDescent="0.3">
      <c r="A75" t="s">
        <v>31</v>
      </c>
      <c r="B75" t="s">
        <v>40</v>
      </c>
      <c r="C75" t="s">
        <v>46</v>
      </c>
      <c r="D75" t="s">
        <v>54</v>
      </c>
      <c r="E75">
        <v>0</v>
      </c>
      <c r="F75">
        <v>3</v>
      </c>
    </row>
    <row r="76" spans="1:6" x14ac:dyDescent="0.3">
      <c r="A76" t="s">
        <v>31</v>
      </c>
      <c r="B76" t="s">
        <v>40</v>
      </c>
      <c r="C76" t="s">
        <v>46</v>
      </c>
      <c r="D76" t="s">
        <v>55</v>
      </c>
      <c r="E76">
        <v>0</v>
      </c>
      <c r="F76">
        <v>9</v>
      </c>
    </row>
    <row r="77" spans="1:6" x14ac:dyDescent="0.3">
      <c r="A77" t="s">
        <v>31</v>
      </c>
      <c r="B77" t="s">
        <v>40</v>
      </c>
      <c r="C77" t="s">
        <v>46</v>
      </c>
      <c r="D77" t="s">
        <v>56</v>
      </c>
      <c r="E77">
        <v>0</v>
      </c>
      <c r="F77">
        <v>7</v>
      </c>
    </row>
    <row r="78" spans="1:6" x14ac:dyDescent="0.3">
      <c r="A78" t="s">
        <v>31</v>
      </c>
      <c r="B78" t="s">
        <v>40</v>
      </c>
      <c r="C78" t="s">
        <v>59</v>
      </c>
      <c r="E78">
        <v>0</v>
      </c>
      <c r="F78">
        <v>18</v>
      </c>
    </row>
    <row r="79" spans="1:6" x14ac:dyDescent="0.3">
      <c r="A79" t="s">
        <v>31</v>
      </c>
      <c r="B79" t="s">
        <v>40</v>
      </c>
      <c r="C79" t="s">
        <v>60</v>
      </c>
      <c r="E79">
        <v>0</v>
      </c>
      <c r="F79">
        <v>1</v>
      </c>
    </row>
    <row r="80" spans="1:6" x14ac:dyDescent="0.3">
      <c r="A80" t="s">
        <v>31</v>
      </c>
      <c r="B80" t="s">
        <v>40</v>
      </c>
      <c r="C80" t="s">
        <v>62</v>
      </c>
      <c r="E80">
        <v>0</v>
      </c>
      <c r="F80">
        <v>1</v>
      </c>
    </row>
    <row r="81" spans="1:6" x14ac:dyDescent="0.3">
      <c r="A81" t="s">
        <v>31</v>
      </c>
      <c r="B81" t="s">
        <v>40</v>
      </c>
      <c r="C81" t="s">
        <v>63</v>
      </c>
      <c r="E81">
        <v>0</v>
      </c>
      <c r="F81">
        <v>1</v>
      </c>
    </row>
    <row r="82" spans="1:6" x14ac:dyDescent="0.3">
      <c r="A82" t="s">
        <v>31</v>
      </c>
      <c r="B82" t="s">
        <v>40</v>
      </c>
      <c r="C82" t="s">
        <v>64</v>
      </c>
      <c r="E82">
        <v>0</v>
      </c>
      <c r="F82">
        <v>1</v>
      </c>
    </row>
    <row r="83" spans="1:6" x14ac:dyDescent="0.3">
      <c r="A83" t="s">
        <v>31</v>
      </c>
      <c r="B83" t="s">
        <v>40</v>
      </c>
      <c r="C83" t="s">
        <v>65</v>
      </c>
      <c r="E83">
        <v>0</v>
      </c>
      <c r="F83">
        <v>3</v>
      </c>
    </row>
    <row r="84" spans="1:6" x14ac:dyDescent="0.3">
      <c r="A84" t="s">
        <v>31</v>
      </c>
      <c r="B84" t="s">
        <v>40</v>
      </c>
      <c r="C84" t="s">
        <v>67</v>
      </c>
      <c r="E84">
        <v>0</v>
      </c>
      <c r="F84">
        <v>6</v>
      </c>
    </row>
    <row r="85" spans="1:6" x14ac:dyDescent="0.3">
      <c r="A85" t="s">
        <v>31</v>
      </c>
      <c r="B85" t="s">
        <v>40</v>
      </c>
      <c r="C85" t="s">
        <v>68</v>
      </c>
      <c r="D85" t="s">
        <v>69</v>
      </c>
      <c r="E85">
        <v>0</v>
      </c>
      <c r="F85">
        <v>4</v>
      </c>
    </row>
    <row r="86" spans="1:6" x14ac:dyDescent="0.3">
      <c r="A86" t="s">
        <v>31</v>
      </c>
      <c r="B86" t="s">
        <v>40</v>
      </c>
      <c r="C86" t="s">
        <v>70</v>
      </c>
      <c r="E86">
        <v>0</v>
      </c>
      <c r="F86">
        <v>4</v>
      </c>
    </row>
    <row r="87" spans="1:6" x14ac:dyDescent="0.3">
      <c r="A87" t="s">
        <v>31</v>
      </c>
      <c r="B87" t="s">
        <v>79</v>
      </c>
      <c r="C87" t="s">
        <v>165</v>
      </c>
      <c r="E87">
        <v>0</v>
      </c>
      <c r="F87">
        <v>10</v>
      </c>
    </row>
    <row r="88" spans="1:6" x14ac:dyDescent="0.3">
      <c r="A88" t="s">
        <v>31</v>
      </c>
      <c r="B88" t="s">
        <v>79</v>
      </c>
      <c r="C88" t="s">
        <v>166</v>
      </c>
      <c r="E88">
        <v>0</v>
      </c>
      <c r="F88">
        <v>12</v>
      </c>
    </row>
    <row r="89" spans="1:6" x14ac:dyDescent="0.3">
      <c r="A89" t="s">
        <v>31</v>
      </c>
      <c r="B89" t="s">
        <v>87</v>
      </c>
      <c r="C89" t="s">
        <v>88</v>
      </c>
      <c r="D89" t="s">
        <v>89</v>
      </c>
      <c r="E89">
        <v>0</v>
      </c>
      <c r="F89">
        <v>1</v>
      </c>
    </row>
    <row r="90" spans="1:6" x14ac:dyDescent="0.3">
      <c r="A90" t="s">
        <v>31</v>
      </c>
      <c r="B90" t="s">
        <v>87</v>
      </c>
      <c r="C90" t="s">
        <v>91</v>
      </c>
      <c r="E90">
        <v>0</v>
      </c>
      <c r="F90">
        <v>9</v>
      </c>
    </row>
    <row r="91" spans="1:6" x14ac:dyDescent="0.3">
      <c r="A91" t="s">
        <v>31</v>
      </c>
      <c r="B91" t="s">
        <v>87</v>
      </c>
      <c r="C91" t="s">
        <v>92</v>
      </c>
      <c r="E91">
        <v>0</v>
      </c>
      <c r="F91">
        <v>11</v>
      </c>
    </row>
    <row r="92" spans="1:6" x14ac:dyDescent="0.3">
      <c r="A92" t="s">
        <v>31</v>
      </c>
      <c r="B92" t="s">
        <v>87</v>
      </c>
      <c r="C92" t="s">
        <v>94</v>
      </c>
      <c r="D92" t="s">
        <v>95</v>
      </c>
      <c r="E92">
        <v>0</v>
      </c>
      <c r="F92">
        <v>3</v>
      </c>
    </row>
    <row r="93" spans="1:6" x14ac:dyDescent="0.3">
      <c r="A93" t="s">
        <v>31</v>
      </c>
      <c r="B93" t="s">
        <v>87</v>
      </c>
      <c r="C93" t="s">
        <v>94</v>
      </c>
      <c r="D93" t="s">
        <v>96</v>
      </c>
      <c r="E93">
        <v>0</v>
      </c>
      <c r="F93">
        <v>9</v>
      </c>
    </row>
    <row r="94" spans="1:6" x14ac:dyDescent="0.3">
      <c r="A94" t="s">
        <v>31</v>
      </c>
      <c r="B94" t="s">
        <v>87</v>
      </c>
      <c r="C94" t="s">
        <v>94</v>
      </c>
      <c r="D94" t="s">
        <v>97</v>
      </c>
      <c r="E94">
        <v>0</v>
      </c>
      <c r="F94">
        <v>27</v>
      </c>
    </row>
    <row r="95" spans="1:6" x14ac:dyDescent="0.3">
      <c r="A95" t="s">
        <v>31</v>
      </c>
      <c r="B95" t="s">
        <v>87</v>
      </c>
      <c r="C95" t="s">
        <v>99</v>
      </c>
      <c r="E95">
        <v>0</v>
      </c>
      <c r="F95">
        <v>4</v>
      </c>
    </row>
    <row r="96" spans="1:6" x14ac:dyDescent="0.3">
      <c r="A96" t="s">
        <v>31</v>
      </c>
      <c r="B96" t="s">
        <v>100</v>
      </c>
      <c r="C96" t="s">
        <v>101</v>
      </c>
      <c r="D96" t="s">
        <v>102</v>
      </c>
      <c r="E96">
        <v>0</v>
      </c>
      <c r="F96">
        <v>1</v>
      </c>
    </row>
    <row r="97" spans="1:6" x14ac:dyDescent="0.3">
      <c r="A97" t="s">
        <v>31</v>
      </c>
      <c r="B97" t="s">
        <v>100</v>
      </c>
      <c r="C97" t="s">
        <v>101</v>
      </c>
      <c r="E97">
        <v>0</v>
      </c>
      <c r="F97">
        <v>2</v>
      </c>
    </row>
    <row r="98" spans="1:6" x14ac:dyDescent="0.3">
      <c r="A98" t="s">
        <v>31</v>
      </c>
      <c r="B98" t="s">
        <v>100</v>
      </c>
      <c r="C98" t="s">
        <v>103</v>
      </c>
      <c r="E98">
        <v>0</v>
      </c>
      <c r="F98">
        <v>6</v>
      </c>
    </row>
    <row r="99" spans="1:6" x14ac:dyDescent="0.3">
      <c r="A99" t="s">
        <v>31</v>
      </c>
      <c r="B99" t="s">
        <v>100</v>
      </c>
      <c r="C99" t="s">
        <v>104</v>
      </c>
      <c r="E99">
        <v>0</v>
      </c>
      <c r="F99">
        <v>1</v>
      </c>
    </row>
    <row r="100" spans="1:6" x14ac:dyDescent="0.3">
      <c r="A100" t="s">
        <v>31</v>
      </c>
      <c r="B100" t="s">
        <v>100</v>
      </c>
      <c r="C100" t="s">
        <v>105</v>
      </c>
      <c r="D100" t="s">
        <v>106</v>
      </c>
      <c r="E100">
        <v>0</v>
      </c>
      <c r="F100">
        <v>2</v>
      </c>
    </row>
    <row r="101" spans="1:6" x14ac:dyDescent="0.3">
      <c r="A101" t="s">
        <v>31</v>
      </c>
      <c r="B101" t="s">
        <v>100</v>
      </c>
      <c r="C101" t="s">
        <v>105</v>
      </c>
      <c r="D101" t="s">
        <v>107</v>
      </c>
      <c r="E101">
        <v>0</v>
      </c>
      <c r="F101">
        <v>2</v>
      </c>
    </row>
    <row r="102" spans="1:6" x14ac:dyDescent="0.3">
      <c r="A102" t="s">
        <v>31</v>
      </c>
      <c r="B102" t="s">
        <v>100</v>
      </c>
      <c r="C102" t="s">
        <v>105</v>
      </c>
      <c r="E102">
        <v>0</v>
      </c>
      <c r="F102">
        <v>1</v>
      </c>
    </row>
    <row r="103" spans="1:6" x14ac:dyDescent="0.3">
      <c r="A103" t="s">
        <v>31</v>
      </c>
      <c r="B103" t="s">
        <v>100</v>
      </c>
      <c r="C103" t="s">
        <v>108</v>
      </c>
      <c r="E103">
        <v>0</v>
      </c>
      <c r="F103">
        <v>5</v>
      </c>
    </row>
    <row r="104" spans="1:6" x14ac:dyDescent="0.3">
      <c r="A104" t="s">
        <v>31</v>
      </c>
      <c r="B104" t="s">
        <v>100</v>
      </c>
      <c r="C104" t="s">
        <v>109</v>
      </c>
      <c r="E104">
        <v>0</v>
      </c>
      <c r="F104">
        <v>4</v>
      </c>
    </row>
    <row r="105" spans="1:6" x14ac:dyDescent="0.3">
      <c r="A105" t="s">
        <v>31</v>
      </c>
      <c r="B105" t="s">
        <v>115</v>
      </c>
      <c r="C105" t="s">
        <v>116</v>
      </c>
      <c r="E105">
        <v>0</v>
      </c>
      <c r="F105">
        <v>0</v>
      </c>
    </row>
    <row r="106" spans="1:6" s="3" customFormat="1" x14ac:dyDescent="0.3">
      <c r="A106" s="3" t="s">
        <v>154</v>
      </c>
      <c r="E106" s="3">
        <f>SUM(E30:E105)</f>
        <v>1288</v>
      </c>
      <c r="F106" s="3">
        <f>SUM(F30:F105)</f>
        <v>541</v>
      </c>
    </row>
    <row r="107" spans="1:6" x14ac:dyDescent="0.3">
      <c r="A107" t="s">
        <v>124</v>
      </c>
      <c r="B107" t="s">
        <v>125</v>
      </c>
      <c r="C107" t="s">
        <v>126</v>
      </c>
      <c r="D107" t="s">
        <v>127</v>
      </c>
      <c r="E107">
        <v>8</v>
      </c>
      <c r="F107">
        <v>0</v>
      </c>
    </row>
    <row r="108" spans="1:6" x14ac:dyDescent="0.3">
      <c r="A108" t="s">
        <v>124</v>
      </c>
      <c r="B108" t="s">
        <v>131</v>
      </c>
      <c r="C108" t="s">
        <v>134</v>
      </c>
      <c r="D108" t="s">
        <v>135</v>
      </c>
      <c r="E108">
        <v>3</v>
      </c>
      <c r="F108">
        <v>0</v>
      </c>
    </row>
    <row r="109" spans="1:6" x14ac:dyDescent="0.3">
      <c r="A109" t="s">
        <v>124</v>
      </c>
      <c r="B109" t="s">
        <v>131</v>
      </c>
      <c r="C109" t="s">
        <v>136</v>
      </c>
      <c r="D109" t="s">
        <v>137</v>
      </c>
      <c r="E109">
        <v>2</v>
      </c>
      <c r="F109">
        <v>0</v>
      </c>
    </row>
    <row r="110" spans="1:6" x14ac:dyDescent="0.3">
      <c r="A110" t="s">
        <v>124</v>
      </c>
      <c r="B110" t="s">
        <v>125</v>
      </c>
      <c r="E110">
        <v>1</v>
      </c>
      <c r="F110">
        <v>0</v>
      </c>
    </row>
    <row r="111" spans="1:6" x14ac:dyDescent="0.3">
      <c r="A111" t="s">
        <v>124</v>
      </c>
      <c r="B111" t="s">
        <v>128</v>
      </c>
      <c r="C111" t="s">
        <v>129</v>
      </c>
      <c r="D111" t="s">
        <v>130</v>
      </c>
      <c r="E111">
        <v>1</v>
      </c>
      <c r="F111">
        <v>0</v>
      </c>
    </row>
    <row r="112" spans="1:6" x14ac:dyDescent="0.3">
      <c r="A112" t="s">
        <v>124</v>
      </c>
      <c r="B112" t="s">
        <v>131</v>
      </c>
      <c r="C112" t="s">
        <v>132</v>
      </c>
      <c r="D112" t="s">
        <v>133</v>
      </c>
      <c r="E112">
        <v>1</v>
      </c>
      <c r="F112">
        <v>0</v>
      </c>
    </row>
    <row r="113" spans="1:6" x14ac:dyDescent="0.3">
      <c r="A113" t="s">
        <v>124</v>
      </c>
      <c r="B113" t="s">
        <v>138</v>
      </c>
      <c r="C113" t="s">
        <v>139</v>
      </c>
      <c r="D113" t="s">
        <v>140</v>
      </c>
      <c r="E113">
        <v>1</v>
      </c>
      <c r="F113">
        <v>0</v>
      </c>
    </row>
    <row r="114" spans="1:6" ht="28.8" x14ac:dyDescent="0.3">
      <c r="A114" s="6" t="s">
        <v>163</v>
      </c>
      <c r="E114">
        <v>1</v>
      </c>
      <c r="F114">
        <v>38</v>
      </c>
    </row>
    <row r="115" spans="1:6" s="3" customFormat="1" x14ac:dyDescent="0.3">
      <c r="A115" s="3" t="s">
        <v>155</v>
      </c>
      <c r="E115" s="3">
        <f>SUM(E107:E114)</f>
        <v>18</v>
      </c>
      <c r="F115" s="3">
        <f>SUM(F107:F114)</f>
        <v>38</v>
      </c>
    </row>
    <row r="116" spans="1:6" s="3" customFormat="1" x14ac:dyDescent="0.3">
      <c r="A116" s="3" t="s">
        <v>167</v>
      </c>
      <c r="E116" s="3">
        <f>E8+E24+E29+E106+E115</f>
        <v>1915</v>
      </c>
      <c r="F116" s="3">
        <f>F8+F24+F29+F106+F115</f>
        <v>737</v>
      </c>
    </row>
  </sheetData>
  <sortState xmlns:xlrd2="http://schemas.microsoft.com/office/spreadsheetml/2017/richdata2" ref="A107:F114">
    <sortCondition descending="1" ref="E107:E114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Pie charts</vt:lpstr>
      <vt:lpstr>r_piechart_df</vt:lpstr>
      <vt:lpstr>All years</vt:lpstr>
      <vt:lpstr>2019-2022 pivot</vt:lpstr>
      <vt:lpstr>full_insect_list_for_pivot</vt:lpstr>
      <vt:lpstr>full_insect_list_labeled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Elizabeth Braatz</dc:creator>
  <cp:lastModifiedBy>Elizabeth Braatz</cp:lastModifiedBy>
  <dcterms:created xsi:type="dcterms:W3CDTF">2025-08-11T15:16:11Z</dcterms:created>
  <dcterms:modified xsi:type="dcterms:W3CDTF">2026-01-23T20:48:59Z</dcterms:modified>
</cp:coreProperties>
</file>