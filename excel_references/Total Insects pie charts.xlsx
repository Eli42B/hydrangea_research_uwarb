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UW Arboretum Hydrangea research\UW Arboretum Hydrangea research\Hydrangea_R_code\Excel Files\"/>
    </mc:Choice>
  </mc:AlternateContent>
  <xr:revisionPtr revIDLastSave="0" documentId="13_ncr:1_{7350CE0C-B43C-430A-860D-7F07C8FB3CCB}" xr6:coauthVersionLast="47" xr6:coauthVersionMax="47" xr10:uidLastSave="{00000000-0000-0000-0000-000000000000}"/>
  <bookViews>
    <workbookView xWindow="0" yWindow="2064" windowWidth="22404" windowHeight="11616" xr2:uid="{B16929AE-A379-4791-A7B4-499D3073860F}"/>
  </bookViews>
  <sheets>
    <sheet name="All years" sheetId="5" r:id="rId1"/>
    <sheet name="2024 Pivot" sheetId="6" r:id="rId2"/>
    <sheet name="2019-2022 pivot" sheetId="7" r:id="rId3"/>
    <sheet name="Table B " sheetId="1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5" l="1"/>
  <c r="D7" i="5"/>
  <c r="E7" i="5"/>
  <c r="D6" i="5"/>
  <c r="E6" i="5"/>
  <c r="D9" i="5"/>
  <c r="E9" i="5"/>
  <c r="B5" i="5"/>
  <c r="D5" i="5"/>
  <c r="E5" i="5"/>
  <c r="D8" i="5"/>
  <c r="E8" i="5"/>
  <c r="D10" i="5"/>
  <c r="E10" i="5"/>
  <c r="C15" i="7"/>
  <c r="C16" i="7"/>
  <c r="C17" i="7"/>
  <c r="C18" i="7"/>
  <c r="C19" i="7"/>
  <c r="C14" i="7"/>
  <c r="B17" i="7"/>
  <c r="C16" i="6"/>
  <c r="C17" i="6"/>
  <c r="C18" i="6"/>
  <c r="C19" i="6"/>
  <c r="C20" i="6"/>
  <c r="C15" i="6"/>
</calcChain>
</file>

<file path=xl/sharedStrings.xml><?xml version="1.0" encoding="utf-8"?>
<sst xmlns="http://schemas.openxmlformats.org/spreadsheetml/2006/main" count="384" uniqueCount="151">
  <si>
    <t>Order</t>
  </si>
  <si>
    <t xml:space="preserve">Family </t>
  </si>
  <si>
    <t>Genus</t>
  </si>
  <si>
    <t>Species</t>
  </si>
  <si>
    <t>Coleoptera</t>
  </si>
  <si>
    <t>Cerambycidae</t>
  </si>
  <si>
    <t>Chrysomelidae</t>
  </si>
  <si>
    <t>Curculionidae</t>
  </si>
  <si>
    <t>Mordellidae</t>
  </si>
  <si>
    <t>Scarabaeoidea</t>
  </si>
  <si>
    <t xml:space="preserve">Unknown </t>
  </si>
  <si>
    <t>Diptera</t>
  </si>
  <si>
    <t>Bombyliidae</t>
  </si>
  <si>
    <t>Calliphoridae</t>
  </si>
  <si>
    <t>Cecidomyiidae</t>
  </si>
  <si>
    <t>Conopidae</t>
  </si>
  <si>
    <t>Culicidae</t>
  </si>
  <si>
    <t>Dolichopodidae</t>
  </si>
  <si>
    <t>Drosophilidae</t>
  </si>
  <si>
    <t>Empididae</t>
  </si>
  <si>
    <t>Muscidae</t>
  </si>
  <si>
    <t>Oestroidea</t>
  </si>
  <si>
    <t xml:space="preserve">Syrphidae </t>
  </si>
  <si>
    <t>Tipulidae</t>
  </si>
  <si>
    <t>Ulidiidae</t>
  </si>
  <si>
    <t>Unknown Bristly Flies, including Tachinidae</t>
  </si>
  <si>
    <t>Hemiptera</t>
  </si>
  <si>
    <t>Aphididae</t>
  </si>
  <si>
    <t>Cicadellidae</t>
  </si>
  <si>
    <t>Miridae</t>
  </si>
  <si>
    <t>Reduviidae</t>
  </si>
  <si>
    <t>Hymenoptera</t>
  </si>
  <si>
    <t>Andrenidae</t>
  </si>
  <si>
    <t>Protandrena</t>
  </si>
  <si>
    <t>Andrena</t>
  </si>
  <si>
    <t>Andrena milwaukeensis</t>
  </si>
  <si>
    <t>Andrena prunorum</t>
  </si>
  <si>
    <t>Panurginus</t>
  </si>
  <si>
    <t>Perdita</t>
  </si>
  <si>
    <t>Pseudopanurgus</t>
  </si>
  <si>
    <t>Apidae</t>
  </si>
  <si>
    <t>Apis</t>
  </si>
  <si>
    <t>Apis mellifera</t>
  </si>
  <si>
    <t>Anthophora</t>
  </si>
  <si>
    <t>Anthophora abrupta</t>
  </si>
  <si>
    <t>Anthophora plumipes</t>
  </si>
  <si>
    <t>Bombus</t>
  </si>
  <si>
    <t>Bombus auricomus</t>
  </si>
  <si>
    <t>Bombus bimaculatus</t>
  </si>
  <si>
    <t>Bombus citrinus</t>
  </si>
  <si>
    <t>Bombus griseocollis</t>
  </si>
  <si>
    <t>Bombus flavidus</t>
  </si>
  <si>
    <t>Bombus impatiens</t>
  </si>
  <si>
    <t>Bombus pensylvanicus</t>
  </si>
  <si>
    <t>Bombus perplexus</t>
  </si>
  <si>
    <t>Bombus rufocinctus</t>
  </si>
  <si>
    <t>Bombus vagans sandersoni</t>
  </si>
  <si>
    <t>Bombus vagans</t>
  </si>
  <si>
    <t>Bombus (other)</t>
  </si>
  <si>
    <t>Bombus (unknown)</t>
  </si>
  <si>
    <t>Brachymelecta</t>
  </si>
  <si>
    <t>Ceratina</t>
  </si>
  <si>
    <t>Diadasia*</t>
  </si>
  <si>
    <t>Epeolus</t>
  </si>
  <si>
    <t>Florilegus</t>
  </si>
  <si>
    <t>Habropoda</t>
  </si>
  <si>
    <t>Melissodes</t>
  </si>
  <si>
    <t>Nomada</t>
  </si>
  <si>
    <t>Xylocopa</t>
  </si>
  <si>
    <t>Xylocopa virginica</t>
  </si>
  <si>
    <t>Unknown</t>
  </si>
  <si>
    <t>Apocrita (suborder)</t>
  </si>
  <si>
    <t>Astatidae</t>
  </si>
  <si>
    <t>Astata*</t>
  </si>
  <si>
    <t>Bembicidae</t>
  </si>
  <si>
    <t>Sphecius</t>
  </si>
  <si>
    <t>Sphecius speciosus</t>
  </si>
  <si>
    <t>Braconidae</t>
  </si>
  <si>
    <t>Chrysididae</t>
  </si>
  <si>
    <t>Colletidae</t>
  </si>
  <si>
    <t>Hylaeus</t>
  </si>
  <si>
    <t>Hylaeus_leptocephalus</t>
  </si>
  <si>
    <t>Hylaeus_modestus</t>
  </si>
  <si>
    <t>Eurytomidae</t>
  </si>
  <si>
    <t>Eurytoma</t>
  </si>
  <si>
    <t>Gasteruptiinae</t>
  </si>
  <si>
    <t>Gasteruption</t>
  </si>
  <si>
    <t>Halictidae</t>
  </si>
  <si>
    <t>Agapostemon</t>
  </si>
  <si>
    <t>Agapostemon splendens</t>
  </si>
  <si>
    <t>Augochlora</t>
  </si>
  <si>
    <t>Augochlorella</t>
  </si>
  <si>
    <t>Augochloropsis</t>
  </si>
  <si>
    <t>Green.Sweatbee</t>
  </si>
  <si>
    <t>Halictus</t>
  </si>
  <si>
    <t>Halictus ligatus</t>
  </si>
  <si>
    <t>Halictus rubicundus</t>
  </si>
  <si>
    <t>Halictus tripartitus</t>
  </si>
  <si>
    <t>Lasioglossum</t>
  </si>
  <si>
    <t>Sphecodes</t>
  </si>
  <si>
    <t>Megachilidae</t>
  </si>
  <si>
    <t>Anthidium</t>
  </si>
  <si>
    <t>Anthidium oblongatum</t>
  </si>
  <si>
    <t>Chelostoma</t>
  </si>
  <si>
    <t>Heriades</t>
  </si>
  <si>
    <t>Megachile</t>
  </si>
  <si>
    <t>Megachile sculpturalis</t>
  </si>
  <si>
    <t>Melissodes bimaculatus</t>
  </si>
  <si>
    <t>Osmia</t>
  </si>
  <si>
    <t>Stelis</t>
  </si>
  <si>
    <t>Melittidae</t>
  </si>
  <si>
    <t>Macropis</t>
  </si>
  <si>
    <t>Note: not included in final count after checked by hand</t>
  </si>
  <si>
    <t>Philanthidae</t>
  </si>
  <si>
    <t>Cerceris</t>
  </si>
  <si>
    <t>Scoliidae</t>
  </si>
  <si>
    <t>Scolia</t>
  </si>
  <si>
    <t>Sphecidae</t>
  </si>
  <si>
    <t>Sphex</t>
  </si>
  <si>
    <t>Vespidae</t>
  </si>
  <si>
    <t>Dolichovespula</t>
  </si>
  <si>
    <t>Dolichovespula maculata</t>
  </si>
  <si>
    <t>Symmorphus</t>
  </si>
  <si>
    <t>Hymenoptera (unknown)</t>
  </si>
  <si>
    <t>Lepidoptera</t>
  </si>
  <si>
    <t>Hesperiidae</t>
  </si>
  <si>
    <t>Epargyreus</t>
  </si>
  <si>
    <t>Epargyreus clarus</t>
  </si>
  <si>
    <t>Lycaenidae</t>
  </si>
  <si>
    <t>Celastrina</t>
  </si>
  <si>
    <t>Celastrina ladon</t>
  </si>
  <si>
    <t>Nymphalidae</t>
  </si>
  <si>
    <t>Libythean</t>
  </si>
  <si>
    <t>Libythean carinenta</t>
  </si>
  <si>
    <t>Polygonia</t>
  </si>
  <si>
    <t>Polygonia comma</t>
  </si>
  <si>
    <t>Vanessa</t>
  </si>
  <si>
    <t>Vanessa atalanta</t>
  </si>
  <si>
    <t>Pieridae</t>
  </si>
  <si>
    <t>Pieris</t>
  </si>
  <si>
    <t>Pieris rapae</t>
  </si>
  <si>
    <t>Lepidoptera (unknown)</t>
  </si>
  <si>
    <t>2019-2022</t>
  </si>
  <si>
    <t>Row Labels</t>
  </si>
  <si>
    <t>Sum of 2024</t>
  </si>
  <si>
    <t>Grand Total</t>
  </si>
  <si>
    <t>Sum of 2019-2022</t>
  </si>
  <si>
    <t>Total</t>
  </si>
  <si>
    <t>Bombus affinis</t>
  </si>
  <si>
    <t>Percentage</t>
  </si>
  <si>
    <t>Affinis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</si>
</sst>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" refreshedDate="45880.447087384258" createdVersion="8" refreshedVersion="8" minRefreshableVersion="3" recordCount="110" xr:uid="{18B833BF-5F87-4378-A7CD-849491AF0E4C}">
  <cacheSource type="worksheet">
    <worksheetSource ref="A1:F111" sheet="Table B "/>
  </cacheSource>
  <cacheFields count="6">
    <cacheField name="Order" numFmtId="0">
      <sharedItems count="7">
        <s v="Coleoptera"/>
        <s v="Diptera"/>
        <s v="Hemiptera"/>
        <s v="Hymenoptera"/>
        <s v="Hymenoptera (unknown)"/>
        <s v="Lepidoptera"/>
        <s v="Lepidoptera (unknown)"/>
      </sharedItems>
    </cacheField>
    <cacheField name="Family " numFmtId="0">
      <sharedItems containsBlank="1"/>
    </cacheField>
    <cacheField name="Genus" numFmtId="0">
      <sharedItems containsBlank="1"/>
    </cacheField>
    <cacheField name="Species" numFmtId="0">
      <sharedItems containsBlank="1"/>
    </cacheField>
    <cacheField name="2024" numFmtId="0">
      <sharedItems containsSemiMixedTypes="0" containsString="0" containsNumber="1" containsInteger="1" minValue="0" maxValue="302"/>
    </cacheField>
    <cacheField name="2019-2022" numFmtId="0">
      <sharedItems containsSemiMixedTypes="0" containsString="0" containsNumber="1" containsInteger="1" minValue="0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" refreshedDate="45880.44817974537" createdVersion="8" refreshedVersion="8" minRefreshableVersion="3" recordCount="110" xr:uid="{6828991E-4AD5-452A-9C24-93EBF55319CB}">
  <cacheSource type="worksheet">
    <worksheetSource ref="A1:F111" sheet="Table B "/>
  </cacheSource>
  <cacheFields count="6">
    <cacheField name="Order" numFmtId="0">
      <sharedItems count="7">
        <s v="Coleoptera"/>
        <s v="Diptera"/>
        <s v="Hemiptera"/>
        <s v="Hymenoptera"/>
        <s v="Hymenoptera (unknown)"/>
        <s v="Lepidoptera"/>
        <s v="Lepidoptera (unknown)"/>
      </sharedItems>
    </cacheField>
    <cacheField name="Family " numFmtId="0">
      <sharedItems containsBlank="1"/>
    </cacheField>
    <cacheField name="Genus" numFmtId="0">
      <sharedItems containsBlank="1"/>
    </cacheField>
    <cacheField name="Species" numFmtId="0">
      <sharedItems containsBlank="1"/>
    </cacheField>
    <cacheField name="2024" numFmtId="0">
      <sharedItems containsSemiMixedTypes="0" containsString="0" containsNumber="1" containsInteger="1" minValue="0" maxValue="302"/>
    </cacheField>
    <cacheField name="2019-2022" numFmtId="0">
      <sharedItems containsSemiMixedTypes="0" containsString="0" containsNumber="1" containsInteger="1" minValue="0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Cerambycidae"/>
    <m/>
    <m/>
    <n v="2"/>
    <n v="0"/>
  </r>
  <r>
    <x v="0"/>
    <s v="Chrysomelidae"/>
    <m/>
    <m/>
    <n v="6"/>
    <n v="0"/>
  </r>
  <r>
    <x v="0"/>
    <s v="Curculionidae"/>
    <m/>
    <m/>
    <n v="7"/>
    <n v="0"/>
  </r>
  <r>
    <x v="0"/>
    <s v="Mordellidae"/>
    <m/>
    <m/>
    <n v="16"/>
    <n v="0"/>
  </r>
  <r>
    <x v="0"/>
    <s v="Scarabaeoidea"/>
    <m/>
    <m/>
    <n v="3"/>
    <n v="0"/>
  </r>
  <r>
    <x v="0"/>
    <s v="Unknown "/>
    <m/>
    <m/>
    <n v="0"/>
    <n v="54"/>
  </r>
  <r>
    <x v="1"/>
    <s v="Bombyliidae"/>
    <m/>
    <m/>
    <n v="5"/>
    <n v="0"/>
  </r>
  <r>
    <x v="1"/>
    <s v="Calliphoridae"/>
    <m/>
    <m/>
    <n v="1"/>
    <n v="0"/>
  </r>
  <r>
    <x v="1"/>
    <s v="Cecidomyiidae"/>
    <m/>
    <m/>
    <n v="17"/>
    <n v="0"/>
  </r>
  <r>
    <x v="1"/>
    <s v="Conopidae"/>
    <m/>
    <m/>
    <n v="43"/>
    <n v="0"/>
  </r>
  <r>
    <x v="1"/>
    <s v="Culicidae"/>
    <m/>
    <m/>
    <n v="1"/>
    <n v="0"/>
  </r>
  <r>
    <x v="1"/>
    <s v="Dolichopodidae"/>
    <m/>
    <m/>
    <n v="6"/>
    <n v="0"/>
  </r>
  <r>
    <x v="1"/>
    <s v="Drosophilidae"/>
    <m/>
    <m/>
    <n v="63"/>
    <n v="0"/>
  </r>
  <r>
    <x v="1"/>
    <s v="Empididae"/>
    <m/>
    <m/>
    <n v="27"/>
    <n v="0"/>
  </r>
  <r>
    <x v="1"/>
    <s v="Muscidae"/>
    <m/>
    <m/>
    <n v="3"/>
    <n v="0"/>
  </r>
  <r>
    <x v="1"/>
    <s v="Oestroidea"/>
    <m/>
    <m/>
    <n v="61"/>
    <n v="0"/>
  </r>
  <r>
    <x v="1"/>
    <s v="Syrphidae "/>
    <m/>
    <m/>
    <n v="132"/>
    <n v="49"/>
  </r>
  <r>
    <x v="1"/>
    <s v="Tipulidae"/>
    <m/>
    <m/>
    <n v="76"/>
    <n v="0"/>
  </r>
  <r>
    <x v="1"/>
    <s v="Ulidiidae"/>
    <m/>
    <m/>
    <n v="1"/>
    <n v="0"/>
  </r>
  <r>
    <x v="1"/>
    <s v="Unknown Bristly Flies, including Tachinidae"/>
    <m/>
    <m/>
    <n v="131"/>
    <n v="0"/>
  </r>
  <r>
    <x v="1"/>
    <s v="Unknown "/>
    <m/>
    <m/>
    <n v="1"/>
    <n v="55"/>
  </r>
  <r>
    <x v="2"/>
    <s v="Aphididae"/>
    <m/>
    <m/>
    <n v="1"/>
    <n v="0"/>
  </r>
  <r>
    <x v="2"/>
    <s v="Cicadellidae"/>
    <m/>
    <m/>
    <n v="1"/>
    <n v="0"/>
  </r>
  <r>
    <x v="2"/>
    <s v="Miridae"/>
    <m/>
    <m/>
    <n v="2"/>
    <n v="0"/>
  </r>
  <r>
    <x v="2"/>
    <s v="Reduviidae"/>
    <m/>
    <m/>
    <n v="3"/>
    <n v="0"/>
  </r>
  <r>
    <x v="3"/>
    <s v="Andrenidae"/>
    <s v="Protandrena"/>
    <m/>
    <n v="2"/>
    <n v="0"/>
  </r>
  <r>
    <x v="3"/>
    <s v="Andrenidae"/>
    <s v="Andrena"/>
    <m/>
    <n v="6"/>
    <n v="0"/>
  </r>
  <r>
    <x v="3"/>
    <s v="Andrenidae"/>
    <s v="Andrena"/>
    <s v="Andrena milwaukeensis"/>
    <n v="0"/>
    <n v="3"/>
  </r>
  <r>
    <x v="3"/>
    <s v="Andrenidae"/>
    <s v="Andrena"/>
    <s v="Andrena prunorum"/>
    <n v="0"/>
    <n v="1"/>
  </r>
  <r>
    <x v="3"/>
    <s v="Andrenidae"/>
    <s v="Panurginus"/>
    <m/>
    <n v="0"/>
    <n v="1"/>
  </r>
  <r>
    <x v="3"/>
    <s v="Andrenidae"/>
    <s v="Perdita"/>
    <m/>
    <n v="0"/>
    <n v="6"/>
  </r>
  <r>
    <x v="3"/>
    <s v="Andrenidae"/>
    <s v="Pseudopanurgus"/>
    <m/>
    <n v="0"/>
    <n v="4"/>
  </r>
  <r>
    <x v="3"/>
    <s v="Apidae"/>
    <s v="Apis"/>
    <s v="Apis mellifera"/>
    <n v="280"/>
    <n v="71"/>
  </r>
  <r>
    <x v="3"/>
    <s v="Apidae"/>
    <s v="Anthophora"/>
    <s v="Anthophora abrupta"/>
    <n v="0"/>
    <n v="4"/>
  </r>
  <r>
    <x v="3"/>
    <s v="Apidae"/>
    <s v="Anthophora"/>
    <s v="Anthophora plumipes"/>
    <n v="0"/>
    <n v="1"/>
  </r>
  <r>
    <x v="3"/>
    <s v="Apidae"/>
    <s v="Anthophora"/>
    <m/>
    <n v="0"/>
    <n v="1"/>
  </r>
  <r>
    <x v="3"/>
    <s v="Apidae"/>
    <s v="Bombus"/>
    <s v="Bombus auricomus"/>
    <n v="1"/>
    <n v="0"/>
  </r>
  <r>
    <x v="3"/>
    <s v="Apidae"/>
    <s v="Bombus"/>
    <s v="Bombus affinis"/>
    <n v="15"/>
    <n v="16"/>
  </r>
  <r>
    <x v="3"/>
    <s v="Apidae"/>
    <s v="Bombus"/>
    <s v="Bombus bimaculatus"/>
    <n v="2"/>
    <n v="20"/>
  </r>
  <r>
    <x v="3"/>
    <s v="Apidae"/>
    <s v="Bombus"/>
    <s v="Bombus citrinus"/>
    <n v="0"/>
    <n v="11"/>
  </r>
  <r>
    <x v="3"/>
    <s v="Apidae"/>
    <s v="Bombus"/>
    <s v="Bombus griseocollis"/>
    <n v="3"/>
    <n v="12"/>
  </r>
  <r>
    <x v="3"/>
    <s v="Apidae"/>
    <s v="Bombus"/>
    <s v="Bombus flavidus"/>
    <n v="0"/>
    <n v="2"/>
  </r>
  <r>
    <x v="3"/>
    <s v="Apidae"/>
    <s v="Bombus"/>
    <s v="Bombus impatiens"/>
    <n v="243"/>
    <n v="41"/>
  </r>
  <r>
    <x v="3"/>
    <s v="Apidae"/>
    <s v="Bombus"/>
    <s v="Bombus pensylvanicus"/>
    <n v="0"/>
    <n v="2"/>
  </r>
  <r>
    <x v="3"/>
    <s v="Apidae"/>
    <s v="Bombus"/>
    <s v="Bombus perplexus"/>
    <n v="0"/>
    <n v="3"/>
  </r>
  <r>
    <x v="3"/>
    <s v="Apidae"/>
    <s v="Bombus"/>
    <s v="Bombus rufocinctus"/>
    <n v="0"/>
    <n v="9"/>
  </r>
  <r>
    <x v="3"/>
    <s v="Apidae"/>
    <s v="Bombus"/>
    <s v="Bombus vagans sandersoni"/>
    <n v="0"/>
    <n v="7"/>
  </r>
  <r>
    <x v="3"/>
    <s v="Apidae"/>
    <s v="Bombus"/>
    <s v="Bombus vagans"/>
    <n v="1"/>
    <n v="0"/>
  </r>
  <r>
    <x v="3"/>
    <s v="Apidae"/>
    <s v="Bombus (other)"/>
    <m/>
    <n v="15"/>
    <n v="16"/>
  </r>
  <r>
    <x v="3"/>
    <s v="Apidae"/>
    <s v="Bombus (unknown)"/>
    <m/>
    <n v="0"/>
    <n v="18"/>
  </r>
  <r>
    <x v="3"/>
    <s v="Apidae"/>
    <s v="Brachymelecta"/>
    <m/>
    <n v="0"/>
    <n v="1"/>
  </r>
  <r>
    <x v="3"/>
    <s v="Apidae"/>
    <s v="Ceratina"/>
    <m/>
    <n v="14"/>
    <n v="11"/>
  </r>
  <r>
    <x v="3"/>
    <s v="Apidae"/>
    <s v="Diadasia*"/>
    <m/>
    <n v="0"/>
    <n v="1"/>
  </r>
  <r>
    <x v="3"/>
    <s v="Apidae"/>
    <s v="Epeolus"/>
    <m/>
    <n v="0"/>
    <n v="1"/>
  </r>
  <r>
    <x v="3"/>
    <s v="Apidae"/>
    <s v="Florilegus"/>
    <m/>
    <n v="0"/>
    <n v="1"/>
  </r>
  <r>
    <x v="3"/>
    <s v="Apidae"/>
    <s v="Habropoda"/>
    <m/>
    <n v="0"/>
    <n v="3"/>
  </r>
  <r>
    <x v="3"/>
    <s v="Apidae"/>
    <s v="Melissodes"/>
    <m/>
    <n v="1"/>
    <n v="0"/>
  </r>
  <r>
    <x v="3"/>
    <s v="Apidae"/>
    <s v="Nomada"/>
    <m/>
    <n v="0"/>
    <n v="6"/>
  </r>
  <r>
    <x v="3"/>
    <s v="Apidae"/>
    <s v="Xylocopa"/>
    <m/>
    <n v="2"/>
    <n v="11"/>
  </r>
  <r>
    <x v="3"/>
    <s v="Apidae"/>
    <s v="Xylocopa"/>
    <s v="Xylocopa virginica"/>
    <n v="0"/>
    <n v="4"/>
  </r>
  <r>
    <x v="3"/>
    <s v="Apidae"/>
    <s v="Unknown"/>
    <m/>
    <n v="0"/>
    <n v="4"/>
  </r>
  <r>
    <x v="3"/>
    <s v="Apocrita (suborder)"/>
    <m/>
    <m/>
    <n v="6"/>
    <n v="0"/>
  </r>
  <r>
    <x v="3"/>
    <s v="Astatidae"/>
    <s v="Astata*"/>
    <m/>
    <n v="1"/>
    <n v="0"/>
  </r>
  <r>
    <x v="3"/>
    <s v="Bembicidae"/>
    <s v="Sphecius"/>
    <s v="Sphecius speciosus"/>
    <n v="9"/>
    <n v="0"/>
  </r>
  <r>
    <x v="3"/>
    <s v="Braconidae"/>
    <m/>
    <m/>
    <n v="2"/>
    <n v="0"/>
  </r>
  <r>
    <x v="3"/>
    <s v="Chrysididae"/>
    <m/>
    <m/>
    <n v="1"/>
    <n v="0"/>
  </r>
  <r>
    <x v="3"/>
    <s v="Colletidae"/>
    <s v="Hylaeus"/>
    <m/>
    <n v="26"/>
    <n v="20"/>
  </r>
  <r>
    <x v="3"/>
    <s v="Colletidae"/>
    <s v="Hylaeus_leptocephalus"/>
    <m/>
    <n v="0"/>
    <n v="10"/>
  </r>
  <r>
    <x v="3"/>
    <s v="Colletidae"/>
    <s v="Hylaeus_modestus"/>
    <m/>
    <n v="0"/>
    <n v="12"/>
  </r>
  <r>
    <x v="3"/>
    <s v="Eurytomidae"/>
    <s v="Eurytoma"/>
    <m/>
    <n v="1"/>
    <n v="0"/>
  </r>
  <r>
    <x v="3"/>
    <s v="Gasteruptiinae"/>
    <s v="Gasteruption"/>
    <m/>
    <n v="1"/>
    <n v="0"/>
  </r>
  <r>
    <x v="3"/>
    <s v="Halictidae"/>
    <s v="Agapostemon"/>
    <m/>
    <n v="8"/>
    <n v="0"/>
  </r>
  <r>
    <x v="3"/>
    <s v="Halictidae"/>
    <s v="Agapostemon"/>
    <s v="Agapostemon splendens"/>
    <n v="0"/>
    <n v="1"/>
  </r>
  <r>
    <x v="3"/>
    <s v="Halictidae"/>
    <s v="Augochlora"/>
    <m/>
    <n v="55"/>
    <n v="15"/>
  </r>
  <r>
    <x v="3"/>
    <s v="Halictidae"/>
    <s v="Augochlorella"/>
    <m/>
    <n v="0"/>
    <n v="9"/>
  </r>
  <r>
    <x v="3"/>
    <s v="Halictidae"/>
    <s v="Augochloropsis"/>
    <m/>
    <n v="0"/>
    <n v="11"/>
  </r>
  <r>
    <x v="3"/>
    <s v="Halictidae"/>
    <s v="Green.Sweatbee"/>
    <m/>
    <n v="8"/>
    <n v="0"/>
  </r>
  <r>
    <x v="3"/>
    <s v="Halictidae"/>
    <s v="Halictus"/>
    <m/>
    <n v="46"/>
    <n v="14"/>
  </r>
  <r>
    <x v="3"/>
    <s v="Halictidae"/>
    <s v="Halictus"/>
    <s v="Halictus ligatus"/>
    <n v="0"/>
    <n v="3"/>
  </r>
  <r>
    <x v="3"/>
    <s v="Halictidae"/>
    <s v="Halictus"/>
    <s v="Halictus rubicundus"/>
    <n v="0"/>
    <n v="9"/>
  </r>
  <r>
    <x v="3"/>
    <s v="Halictidae"/>
    <s v="Halictus"/>
    <s v="Halictus tripartitus"/>
    <n v="0"/>
    <n v="27"/>
  </r>
  <r>
    <x v="3"/>
    <s v="Halictidae"/>
    <s v="Lasioglossum"/>
    <m/>
    <n v="302"/>
    <n v="26"/>
  </r>
  <r>
    <x v="3"/>
    <s v="Halictidae"/>
    <s v="Sphecodes"/>
    <m/>
    <n v="0"/>
    <n v="4"/>
  </r>
  <r>
    <x v="3"/>
    <s v="Halictidae"/>
    <m/>
    <m/>
    <n v="5"/>
    <n v="0"/>
  </r>
  <r>
    <x v="3"/>
    <s v="Megachilidae"/>
    <s v="Anthidium"/>
    <s v="Anthidium oblongatum"/>
    <n v="0"/>
    <n v="1"/>
  </r>
  <r>
    <x v="3"/>
    <s v="Megachilidae"/>
    <s v="Anthidium"/>
    <m/>
    <n v="0"/>
    <n v="2"/>
  </r>
  <r>
    <x v="3"/>
    <s v="Megachilidae"/>
    <s v="Chelostoma"/>
    <m/>
    <n v="0"/>
    <n v="6"/>
  </r>
  <r>
    <x v="3"/>
    <s v="Megachilidae"/>
    <s v="Heriades"/>
    <m/>
    <n v="0"/>
    <n v="1"/>
  </r>
  <r>
    <x v="3"/>
    <s v="Megachilidae"/>
    <s v="Megachile"/>
    <s v="Megachile sculpturalis"/>
    <n v="0"/>
    <n v="2"/>
  </r>
  <r>
    <x v="3"/>
    <s v="Megachilidae"/>
    <s v="Megachile"/>
    <s v="Melissodes bimaculatus"/>
    <n v="0"/>
    <n v="2"/>
  </r>
  <r>
    <x v="3"/>
    <s v="Megachilidae"/>
    <s v="Megachile"/>
    <m/>
    <n v="0"/>
    <n v="1"/>
  </r>
  <r>
    <x v="3"/>
    <s v="Megachilidae"/>
    <s v="Osmia"/>
    <m/>
    <n v="0"/>
    <n v="5"/>
  </r>
  <r>
    <x v="3"/>
    <s v="Megachilidae"/>
    <s v="Stelis"/>
    <m/>
    <n v="0"/>
    <n v="4"/>
  </r>
  <r>
    <x v="3"/>
    <s v="Melittidae"/>
    <s v="Macropis"/>
    <s v="Note: not included in final count after checked by hand"/>
    <n v="0"/>
    <n v="2"/>
  </r>
  <r>
    <x v="3"/>
    <s v="Philanthidae"/>
    <s v="Cerceris"/>
    <m/>
    <n v="1"/>
    <n v="0"/>
  </r>
  <r>
    <x v="3"/>
    <s v="Scoliidae"/>
    <s v="Scolia"/>
    <m/>
    <n v="0"/>
    <n v="0"/>
  </r>
  <r>
    <x v="3"/>
    <s v="Sphecidae"/>
    <s v="Sphex"/>
    <m/>
    <n v="26"/>
    <n v="0"/>
  </r>
  <r>
    <x v="3"/>
    <s v="Vespidae"/>
    <s v="Dolichovespula"/>
    <s v="Dolichovespula maculata"/>
    <n v="5"/>
    <n v="0"/>
  </r>
  <r>
    <x v="3"/>
    <s v="Vespidae"/>
    <s v="Dolichovespula"/>
    <m/>
    <n v="172"/>
    <n v="0"/>
  </r>
  <r>
    <x v="3"/>
    <s v="Vespidae"/>
    <s v="Symmorphus"/>
    <m/>
    <n v="1"/>
    <n v="0"/>
  </r>
  <r>
    <x v="3"/>
    <s v="Vespidae"/>
    <m/>
    <m/>
    <n v="26"/>
    <n v="0"/>
  </r>
  <r>
    <x v="4"/>
    <m/>
    <m/>
    <m/>
    <n v="1"/>
    <n v="62"/>
  </r>
  <r>
    <x v="5"/>
    <s v="Hesperiidae"/>
    <s v="Epargyreus"/>
    <s v="Epargyreus clarus"/>
    <n v="8"/>
    <n v="0"/>
  </r>
  <r>
    <x v="5"/>
    <s v="Hesperiidae"/>
    <m/>
    <m/>
    <n v="1"/>
    <n v="0"/>
  </r>
  <r>
    <x v="5"/>
    <s v="Lycaenidae"/>
    <s v="Celastrina"/>
    <s v="Celastrina ladon"/>
    <n v="1"/>
    <n v="0"/>
  </r>
  <r>
    <x v="5"/>
    <s v="Nymphalidae"/>
    <s v="Libythean"/>
    <s v="Libythean carinenta"/>
    <n v="1"/>
    <n v="0"/>
  </r>
  <r>
    <x v="5"/>
    <s v="Nymphalidae"/>
    <s v="Polygonia"/>
    <s v="Polygonia comma"/>
    <n v="3"/>
    <n v="0"/>
  </r>
  <r>
    <x v="5"/>
    <s v="Nymphalidae"/>
    <s v="Vanessa"/>
    <s v="Vanessa atalanta"/>
    <n v="2"/>
    <n v="0"/>
  </r>
  <r>
    <x v="5"/>
    <s v="Pieridae"/>
    <s v="Pieris"/>
    <s v="Pieris rapae"/>
    <n v="1"/>
    <n v="0"/>
  </r>
  <r>
    <x v="6"/>
    <m/>
    <m/>
    <m/>
    <n v="1"/>
    <n v="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Cerambycidae"/>
    <m/>
    <m/>
    <n v="2"/>
    <n v="0"/>
  </r>
  <r>
    <x v="0"/>
    <s v="Chrysomelidae"/>
    <m/>
    <m/>
    <n v="6"/>
    <n v="0"/>
  </r>
  <r>
    <x v="0"/>
    <s v="Curculionidae"/>
    <m/>
    <m/>
    <n v="7"/>
    <n v="0"/>
  </r>
  <r>
    <x v="0"/>
    <s v="Mordellidae"/>
    <m/>
    <m/>
    <n v="16"/>
    <n v="0"/>
  </r>
  <r>
    <x v="0"/>
    <s v="Scarabaeoidea"/>
    <m/>
    <m/>
    <n v="3"/>
    <n v="0"/>
  </r>
  <r>
    <x v="0"/>
    <s v="Unknown "/>
    <m/>
    <m/>
    <n v="0"/>
    <n v="54"/>
  </r>
  <r>
    <x v="1"/>
    <s v="Bombyliidae"/>
    <m/>
    <m/>
    <n v="5"/>
    <n v="0"/>
  </r>
  <r>
    <x v="1"/>
    <s v="Calliphoridae"/>
    <m/>
    <m/>
    <n v="1"/>
    <n v="0"/>
  </r>
  <r>
    <x v="1"/>
    <s v="Cecidomyiidae"/>
    <m/>
    <m/>
    <n v="17"/>
    <n v="0"/>
  </r>
  <r>
    <x v="1"/>
    <s v="Conopidae"/>
    <m/>
    <m/>
    <n v="43"/>
    <n v="0"/>
  </r>
  <r>
    <x v="1"/>
    <s v="Culicidae"/>
    <m/>
    <m/>
    <n v="1"/>
    <n v="0"/>
  </r>
  <r>
    <x v="1"/>
    <s v="Dolichopodidae"/>
    <m/>
    <m/>
    <n v="6"/>
    <n v="0"/>
  </r>
  <r>
    <x v="1"/>
    <s v="Drosophilidae"/>
    <m/>
    <m/>
    <n v="63"/>
    <n v="0"/>
  </r>
  <r>
    <x v="1"/>
    <s v="Empididae"/>
    <m/>
    <m/>
    <n v="27"/>
    <n v="0"/>
  </r>
  <r>
    <x v="1"/>
    <s v="Muscidae"/>
    <m/>
    <m/>
    <n v="3"/>
    <n v="0"/>
  </r>
  <r>
    <x v="1"/>
    <s v="Oestroidea"/>
    <m/>
    <m/>
    <n v="61"/>
    <n v="0"/>
  </r>
  <r>
    <x v="1"/>
    <s v="Syrphidae "/>
    <m/>
    <m/>
    <n v="132"/>
    <n v="49"/>
  </r>
  <r>
    <x v="1"/>
    <s v="Tipulidae"/>
    <m/>
    <m/>
    <n v="76"/>
    <n v="0"/>
  </r>
  <r>
    <x v="1"/>
    <s v="Ulidiidae"/>
    <m/>
    <m/>
    <n v="1"/>
    <n v="0"/>
  </r>
  <r>
    <x v="1"/>
    <s v="Unknown Bristly Flies, including Tachinidae"/>
    <m/>
    <m/>
    <n v="131"/>
    <n v="0"/>
  </r>
  <r>
    <x v="1"/>
    <s v="Unknown "/>
    <m/>
    <m/>
    <n v="1"/>
    <n v="55"/>
  </r>
  <r>
    <x v="2"/>
    <s v="Aphididae"/>
    <m/>
    <m/>
    <n v="1"/>
    <n v="0"/>
  </r>
  <r>
    <x v="2"/>
    <s v="Cicadellidae"/>
    <m/>
    <m/>
    <n v="1"/>
    <n v="0"/>
  </r>
  <r>
    <x v="2"/>
    <s v="Miridae"/>
    <m/>
    <m/>
    <n v="2"/>
    <n v="0"/>
  </r>
  <r>
    <x v="2"/>
    <s v="Reduviidae"/>
    <m/>
    <m/>
    <n v="3"/>
    <n v="0"/>
  </r>
  <r>
    <x v="3"/>
    <s v="Andrenidae"/>
    <s v="Protandrena"/>
    <m/>
    <n v="2"/>
    <n v="0"/>
  </r>
  <r>
    <x v="3"/>
    <s v="Andrenidae"/>
    <s v="Andrena"/>
    <m/>
    <n v="6"/>
    <n v="0"/>
  </r>
  <r>
    <x v="3"/>
    <s v="Andrenidae"/>
    <s v="Andrena"/>
    <s v="Andrena milwaukeensis"/>
    <n v="0"/>
    <n v="3"/>
  </r>
  <r>
    <x v="3"/>
    <s v="Andrenidae"/>
    <s v="Andrena"/>
    <s v="Andrena prunorum"/>
    <n v="0"/>
    <n v="1"/>
  </r>
  <r>
    <x v="3"/>
    <s v="Andrenidae"/>
    <s v="Panurginus"/>
    <m/>
    <n v="0"/>
    <n v="1"/>
  </r>
  <r>
    <x v="3"/>
    <s v="Andrenidae"/>
    <s v="Perdita"/>
    <m/>
    <n v="0"/>
    <n v="6"/>
  </r>
  <r>
    <x v="3"/>
    <s v="Andrenidae"/>
    <s v="Pseudopanurgus"/>
    <m/>
    <n v="0"/>
    <n v="4"/>
  </r>
  <r>
    <x v="3"/>
    <s v="Apidae"/>
    <s v="Apis"/>
    <s v="Apis mellifera"/>
    <n v="280"/>
    <n v="71"/>
  </r>
  <r>
    <x v="3"/>
    <s v="Apidae"/>
    <s v="Anthophora"/>
    <s v="Anthophora abrupta"/>
    <n v="0"/>
    <n v="4"/>
  </r>
  <r>
    <x v="3"/>
    <s v="Apidae"/>
    <s v="Anthophora"/>
    <s v="Anthophora plumipes"/>
    <n v="0"/>
    <n v="1"/>
  </r>
  <r>
    <x v="3"/>
    <s v="Apidae"/>
    <s v="Anthophora"/>
    <m/>
    <n v="0"/>
    <n v="1"/>
  </r>
  <r>
    <x v="3"/>
    <s v="Apidae"/>
    <s v="Bombus"/>
    <s v="Bombus auricomus"/>
    <n v="1"/>
    <n v="0"/>
  </r>
  <r>
    <x v="3"/>
    <s v="Apidae"/>
    <s v="Bombus"/>
    <s v="Bombus affinis"/>
    <n v="15"/>
    <n v="16"/>
  </r>
  <r>
    <x v="3"/>
    <s v="Apidae"/>
    <s v="Bombus"/>
    <s v="Bombus bimaculatus"/>
    <n v="2"/>
    <n v="20"/>
  </r>
  <r>
    <x v="3"/>
    <s v="Apidae"/>
    <s v="Bombus"/>
    <s v="Bombus citrinus"/>
    <n v="0"/>
    <n v="11"/>
  </r>
  <r>
    <x v="3"/>
    <s v="Apidae"/>
    <s v="Bombus"/>
    <s v="Bombus griseocollis"/>
    <n v="3"/>
    <n v="12"/>
  </r>
  <r>
    <x v="3"/>
    <s v="Apidae"/>
    <s v="Bombus"/>
    <s v="Bombus flavidus"/>
    <n v="0"/>
    <n v="2"/>
  </r>
  <r>
    <x v="3"/>
    <s v="Apidae"/>
    <s v="Bombus"/>
    <s v="Bombus impatiens"/>
    <n v="243"/>
    <n v="41"/>
  </r>
  <r>
    <x v="3"/>
    <s v="Apidae"/>
    <s v="Bombus"/>
    <s v="Bombus pensylvanicus"/>
    <n v="0"/>
    <n v="2"/>
  </r>
  <r>
    <x v="3"/>
    <s v="Apidae"/>
    <s v="Bombus"/>
    <s v="Bombus perplexus"/>
    <n v="0"/>
    <n v="3"/>
  </r>
  <r>
    <x v="3"/>
    <s v="Apidae"/>
    <s v="Bombus"/>
    <s v="Bombus rufocinctus"/>
    <n v="0"/>
    <n v="9"/>
  </r>
  <r>
    <x v="3"/>
    <s v="Apidae"/>
    <s v="Bombus"/>
    <s v="Bombus vagans sandersoni"/>
    <n v="0"/>
    <n v="7"/>
  </r>
  <r>
    <x v="3"/>
    <s v="Apidae"/>
    <s v="Bombus"/>
    <s v="Bombus vagans"/>
    <n v="1"/>
    <n v="0"/>
  </r>
  <r>
    <x v="3"/>
    <s v="Apidae"/>
    <s v="Bombus (other)"/>
    <m/>
    <n v="15"/>
    <n v="16"/>
  </r>
  <r>
    <x v="3"/>
    <s v="Apidae"/>
    <s v="Bombus (unknown)"/>
    <m/>
    <n v="0"/>
    <n v="18"/>
  </r>
  <r>
    <x v="3"/>
    <s v="Apidae"/>
    <s v="Brachymelecta"/>
    <m/>
    <n v="0"/>
    <n v="1"/>
  </r>
  <r>
    <x v="3"/>
    <s v="Apidae"/>
    <s v="Ceratina"/>
    <m/>
    <n v="14"/>
    <n v="11"/>
  </r>
  <r>
    <x v="3"/>
    <s v="Apidae"/>
    <s v="Diadasia*"/>
    <m/>
    <n v="0"/>
    <n v="1"/>
  </r>
  <r>
    <x v="3"/>
    <s v="Apidae"/>
    <s v="Epeolus"/>
    <m/>
    <n v="0"/>
    <n v="1"/>
  </r>
  <r>
    <x v="3"/>
    <s v="Apidae"/>
    <s v="Florilegus"/>
    <m/>
    <n v="0"/>
    <n v="1"/>
  </r>
  <r>
    <x v="3"/>
    <s v="Apidae"/>
    <s v="Habropoda"/>
    <m/>
    <n v="0"/>
    <n v="3"/>
  </r>
  <r>
    <x v="3"/>
    <s v="Apidae"/>
    <s v="Melissodes"/>
    <m/>
    <n v="1"/>
    <n v="0"/>
  </r>
  <r>
    <x v="3"/>
    <s v="Apidae"/>
    <s v="Nomada"/>
    <m/>
    <n v="0"/>
    <n v="6"/>
  </r>
  <r>
    <x v="3"/>
    <s v="Apidae"/>
    <s v="Xylocopa"/>
    <m/>
    <n v="2"/>
    <n v="11"/>
  </r>
  <r>
    <x v="3"/>
    <s v="Apidae"/>
    <s v="Xylocopa"/>
    <s v="Xylocopa virginica"/>
    <n v="0"/>
    <n v="4"/>
  </r>
  <r>
    <x v="3"/>
    <s v="Apidae"/>
    <s v="Unknown"/>
    <m/>
    <n v="0"/>
    <n v="4"/>
  </r>
  <r>
    <x v="3"/>
    <s v="Apocrita (suborder)"/>
    <m/>
    <m/>
    <n v="6"/>
    <n v="0"/>
  </r>
  <r>
    <x v="3"/>
    <s v="Astatidae"/>
    <s v="Astata*"/>
    <m/>
    <n v="1"/>
    <n v="0"/>
  </r>
  <r>
    <x v="3"/>
    <s v="Bembicidae"/>
    <s v="Sphecius"/>
    <s v="Sphecius speciosus"/>
    <n v="9"/>
    <n v="0"/>
  </r>
  <r>
    <x v="3"/>
    <s v="Braconidae"/>
    <m/>
    <m/>
    <n v="2"/>
    <n v="0"/>
  </r>
  <r>
    <x v="3"/>
    <s v="Chrysididae"/>
    <m/>
    <m/>
    <n v="1"/>
    <n v="0"/>
  </r>
  <r>
    <x v="3"/>
    <s v="Colletidae"/>
    <s v="Hylaeus"/>
    <m/>
    <n v="26"/>
    <n v="20"/>
  </r>
  <r>
    <x v="3"/>
    <s v="Colletidae"/>
    <s v="Hylaeus_leptocephalus"/>
    <m/>
    <n v="0"/>
    <n v="10"/>
  </r>
  <r>
    <x v="3"/>
    <s v="Colletidae"/>
    <s v="Hylaeus_modestus"/>
    <m/>
    <n v="0"/>
    <n v="12"/>
  </r>
  <r>
    <x v="3"/>
    <s v="Eurytomidae"/>
    <s v="Eurytoma"/>
    <m/>
    <n v="1"/>
    <n v="0"/>
  </r>
  <r>
    <x v="3"/>
    <s v="Gasteruptiinae"/>
    <s v="Gasteruption"/>
    <m/>
    <n v="1"/>
    <n v="0"/>
  </r>
  <r>
    <x v="3"/>
    <s v="Halictidae"/>
    <s v="Agapostemon"/>
    <m/>
    <n v="8"/>
    <n v="0"/>
  </r>
  <r>
    <x v="3"/>
    <s v="Halictidae"/>
    <s v="Agapostemon"/>
    <s v="Agapostemon splendens"/>
    <n v="0"/>
    <n v="1"/>
  </r>
  <r>
    <x v="3"/>
    <s v="Halictidae"/>
    <s v="Augochlora"/>
    <m/>
    <n v="55"/>
    <n v="15"/>
  </r>
  <r>
    <x v="3"/>
    <s v="Halictidae"/>
    <s v="Augochlorella"/>
    <m/>
    <n v="0"/>
    <n v="9"/>
  </r>
  <r>
    <x v="3"/>
    <s v="Halictidae"/>
    <s v="Augochloropsis"/>
    <m/>
    <n v="0"/>
    <n v="11"/>
  </r>
  <r>
    <x v="3"/>
    <s v="Halictidae"/>
    <s v="Green.Sweatbee"/>
    <m/>
    <n v="8"/>
    <n v="0"/>
  </r>
  <r>
    <x v="3"/>
    <s v="Halictidae"/>
    <s v="Halictus"/>
    <m/>
    <n v="46"/>
    <n v="14"/>
  </r>
  <r>
    <x v="3"/>
    <s v="Halictidae"/>
    <s v="Halictus"/>
    <s v="Halictus ligatus"/>
    <n v="0"/>
    <n v="3"/>
  </r>
  <r>
    <x v="3"/>
    <s v="Halictidae"/>
    <s v="Halictus"/>
    <s v="Halictus rubicundus"/>
    <n v="0"/>
    <n v="9"/>
  </r>
  <r>
    <x v="3"/>
    <s v="Halictidae"/>
    <s v="Halictus"/>
    <s v="Halictus tripartitus"/>
    <n v="0"/>
    <n v="27"/>
  </r>
  <r>
    <x v="3"/>
    <s v="Halictidae"/>
    <s v="Lasioglossum"/>
    <m/>
    <n v="302"/>
    <n v="26"/>
  </r>
  <r>
    <x v="3"/>
    <s v="Halictidae"/>
    <s v="Sphecodes"/>
    <m/>
    <n v="0"/>
    <n v="4"/>
  </r>
  <r>
    <x v="3"/>
    <s v="Halictidae"/>
    <m/>
    <m/>
    <n v="5"/>
    <n v="0"/>
  </r>
  <r>
    <x v="3"/>
    <s v="Megachilidae"/>
    <s v="Anthidium"/>
    <s v="Anthidium oblongatum"/>
    <n v="0"/>
    <n v="1"/>
  </r>
  <r>
    <x v="3"/>
    <s v="Megachilidae"/>
    <s v="Anthidium"/>
    <m/>
    <n v="0"/>
    <n v="2"/>
  </r>
  <r>
    <x v="3"/>
    <s v="Megachilidae"/>
    <s v="Chelostoma"/>
    <m/>
    <n v="0"/>
    <n v="6"/>
  </r>
  <r>
    <x v="3"/>
    <s v="Megachilidae"/>
    <s v="Heriades"/>
    <m/>
    <n v="0"/>
    <n v="1"/>
  </r>
  <r>
    <x v="3"/>
    <s v="Megachilidae"/>
    <s v="Megachile"/>
    <s v="Megachile sculpturalis"/>
    <n v="0"/>
    <n v="2"/>
  </r>
  <r>
    <x v="3"/>
    <s v="Megachilidae"/>
    <s v="Megachile"/>
    <s v="Melissodes bimaculatus"/>
    <n v="0"/>
    <n v="2"/>
  </r>
  <r>
    <x v="3"/>
    <s v="Megachilidae"/>
    <s v="Megachile"/>
    <m/>
    <n v="0"/>
    <n v="1"/>
  </r>
  <r>
    <x v="3"/>
    <s v="Megachilidae"/>
    <s v="Osmia"/>
    <m/>
    <n v="0"/>
    <n v="5"/>
  </r>
  <r>
    <x v="3"/>
    <s v="Megachilidae"/>
    <s v="Stelis"/>
    <m/>
    <n v="0"/>
    <n v="4"/>
  </r>
  <r>
    <x v="3"/>
    <s v="Melittidae"/>
    <s v="Macropis"/>
    <s v="Note: not included in final count after checked by hand"/>
    <n v="0"/>
    <n v="2"/>
  </r>
  <r>
    <x v="3"/>
    <s v="Philanthidae"/>
    <s v="Cerceris"/>
    <m/>
    <n v="1"/>
    <n v="0"/>
  </r>
  <r>
    <x v="3"/>
    <s v="Scoliidae"/>
    <s v="Scolia"/>
    <m/>
    <n v="0"/>
    <n v="0"/>
  </r>
  <r>
    <x v="3"/>
    <s v="Sphecidae"/>
    <s v="Sphex"/>
    <m/>
    <n v="26"/>
    <n v="0"/>
  </r>
  <r>
    <x v="3"/>
    <s v="Vespidae"/>
    <s v="Dolichovespula"/>
    <s v="Dolichovespula maculata"/>
    <n v="5"/>
    <n v="0"/>
  </r>
  <r>
    <x v="3"/>
    <s v="Vespidae"/>
    <s v="Dolichovespula"/>
    <m/>
    <n v="172"/>
    <n v="0"/>
  </r>
  <r>
    <x v="3"/>
    <s v="Vespidae"/>
    <s v="Symmorphus"/>
    <m/>
    <n v="1"/>
    <n v="0"/>
  </r>
  <r>
    <x v="3"/>
    <s v="Vespidae"/>
    <m/>
    <m/>
    <n v="26"/>
    <n v="0"/>
  </r>
  <r>
    <x v="4"/>
    <m/>
    <m/>
    <m/>
    <n v="1"/>
    <n v="62"/>
  </r>
  <r>
    <x v="5"/>
    <s v="Hesperiidae"/>
    <s v="Epargyreus"/>
    <s v="Epargyreus clarus"/>
    <n v="8"/>
    <n v="0"/>
  </r>
  <r>
    <x v="5"/>
    <s v="Hesperiidae"/>
    <m/>
    <m/>
    <n v="1"/>
    <n v="0"/>
  </r>
  <r>
    <x v="5"/>
    <s v="Lycaenidae"/>
    <s v="Celastrina"/>
    <s v="Celastrina ladon"/>
    <n v="1"/>
    <n v="0"/>
  </r>
  <r>
    <x v="5"/>
    <s v="Nymphalidae"/>
    <s v="Libythean"/>
    <s v="Libythean carinenta"/>
    <n v="1"/>
    <n v="0"/>
  </r>
  <r>
    <x v="5"/>
    <s v="Nymphalidae"/>
    <s v="Polygonia"/>
    <s v="Polygonia comma"/>
    <n v="3"/>
    <n v="0"/>
  </r>
  <r>
    <x v="5"/>
    <s v="Nymphalidae"/>
    <s v="Vanessa"/>
    <s v="Vanessa atalanta"/>
    <n v="2"/>
    <n v="0"/>
  </r>
  <r>
    <x v="5"/>
    <s v="Pieridae"/>
    <s v="Pieris"/>
    <s v="Pieris rapae"/>
    <n v="1"/>
    <n v="0"/>
  </r>
  <r>
    <x v="6"/>
    <m/>
    <m/>
    <m/>
    <n v="1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9132E-AE53-4D37-89CA-9E1DB7487CF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2024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13BD7-C8F5-48B6-99F9-818B9F603F71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2019-202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A643-86B3-42F4-969B-5C1A7FC1C610}">
  <dimension ref="A4:E13"/>
  <sheetViews>
    <sheetView tabSelected="1" workbookViewId="0">
      <selection activeCell="E14" sqref="E14"/>
    </sheetView>
  </sheetViews>
  <sheetFormatPr defaultRowHeight="14.4" x14ac:dyDescent="0.3"/>
  <cols>
    <col min="1" max="2" width="17.21875" customWidth="1"/>
    <col min="3" max="3" width="16.21875" customWidth="1"/>
  </cols>
  <sheetData>
    <row r="4" spans="1:5" s="3" customFormat="1" x14ac:dyDescent="0.3">
      <c r="A4" s="3" t="s">
        <v>143</v>
      </c>
      <c r="B4" s="3" t="s">
        <v>146</v>
      </c>
      <c r="C4" s="3" t="s">
        <v>144</v>
      </c>
      <c r="D4" s="3" t="s">
        <v>147</v>
      </c>
      <c r="E4" s="3" t="s">
        <v>149</v>
      </c>
    </row>
    <row r="5" spans="1:5" x14ac:dyDescent="0.3">
      <c r="A5" t="s">
        <v>31</v>
      </c>
      <c r="B5">
        <f>62+479</f>
        <v>541</v>
      </c>
      <c r="C5">
        <v>1288</v>
      </c>
      <c r="D5">
        <f>SUM(B5:C5)</f>
        <v>1829</v>
      </c>
      <c r="E5" s="4">
        <f>D5/$D$10</f>
        <v>0.6896681749622926</v>
      </c>
    </row>
    <row r="6" spans="1:5" x14ac:dyDescent="0.3">
      <c r="A6" t="s">
        <v>11</v>
      </c>
      <c r="B6">
        <v>104</v>
      </c>
      <c r="C6">
        <v>568</v>
      </c>
      <c r="D6">
        <f>SUM(B6:C6)</f>
        <v>672</v>
      </c>
      <c r="E6" s="4">
        <f>D6/$D$10</f>
        <v>0.25339366515837103</v>
      </c>
    </row>
    <row r="7" spans="1:5" x14ac:dyDescent="0.3">
      <c r="A7" t="s">
        <v>4</v>
      </c>
      <c r="B7">
        <v>54</v>
      </c>
      <c r="C7">
        <v>34</v>
      </c>
      <c r="D7">
        <f>SUM(B7:C7)</f>
        <v>88</v>
      </c>
      <c r="E7" s="4">
        <f>D7/$D$10</f>
        <v>3.3182503770739065E-2</v>
      </c>
    </row>
    <row r="8" spans="1:5" x14ac:dyDescent="0.3">
      <c r="A8" t="s">
        <v>124</v>
      </c>
      <c r="B8">
        <v>38</v>
      </c>
      <c r="C8">
        <v>18</v>
      </c>
      <c r="D8">
        <f>SUM(B8:C8)</f>
        <v>56</v>
      </c>
      <c r="E8" s="4">
        <f>D8/$D$10</f>
        <v>2.1116138763197588E-2</v>
      </c>
    </row>
    <row r="9" spans="1:5" x14ac:dyDescent="0.3">
      <c r="A9" t="s">
        <v>26</v>
      </c>
      <c r="B9">
        <v>0</v>
      </c>
      <c r="C9">
        <v>7</v>
      </c>
      <c r="D9">
        <f>SUM(B9:C9)</f>
        <v>7</v>
      </c>
      <c r="E9" s="4">
        <f>D9/$D$10</f>
        <v>2.6395173453996985E-3</v>
      </c>
    </row>
    <row r="10" spans="1:5" s="3" customFormat="1" x14ac:dyDescent="0.3">
      <c r="A10" s="3" t="s">
        <v>145</v>
      </c>
      <c r="B10" s="3">
        <v>737</v>
      </c>
      <c r="C10" s="3">
        <v>1915</v>
      </c>
      <c r="D10" s="3">
        <f t="shared" ref="D10" si="0">SUM(B10:C10)</f>
        <v>2652</v>
      </c>
      <c r="E10" s="5">
        <f t="shared" ref="E10" si="1">D10/$D$10</f>
        <v>1</v>
      </c>
    </row>
    <row r="13" spans="1:5" x14ac:dyDescent="0.3">
      <c r="C13" t="s">
        <v>150</v>
      </c>
      <c r="D13">
        <v>31</v>
      </c>
      <c r="E13" s="4">
        <f>D13/D10</f>
        <v>1.1689291101055807E-2</v>
      </c>
    </row>
  </sheetData>
  <sortState xmlns:xlrd2="http://schemas.microsoft.com/office/spreadsheetml/2017/richdata2" ref="A5:E9">
    <sortCondition descending="1" ref="D5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27E4-A417-4B9F-B938-47FA1C1FEA4E}">
  <dimension ref="A3:C20"/>
  <sheetViews>
    <sheetView workbookViewId="0">
      <selection activeCell="A14" sqref="A14:B20"/>
    </sheetView>
  </sheetViews>
  <sheetFormatPr defaultRowHeight="14.4" x14ac:dyDescent="0.3"/>
  <cols>
    <col min="1" max="1" width="21.44140625" bestFit="1" customWidth="1"/>
    <col min="2" max="2" width="11.44140625" bestFit="1" customWidth="1"/>
  </cols>
  <sheetData>
    <row r="3" spans="1:3" x14ac:dyDescent="0.3">
      <c r="A3" s="1" t="s">
        <v>143</v>
      </c>
      <c r="B3" t="s">
        <v>144</v>
      </c>
    </row>
    <row r="4" spans="1:3" x14ac:dyDescent="0.3">
      <c r="A4" s="2" t="s">
        <v>4</v>
      </c>
      <c r="B4">
        <v>34</v>
      </c>
    </row>
    <row r="5" spans="1:3" x14ac:dyDescent="0.3">
      <c r="A5" s="2" t="s">
        <v>11</v>
      </c>
      <c r="B5">
        <v>568</v>
      </c>
    </row>
    <row r="6" spans="1:3" x14ac:dyDescent="0.3">
      <c r="A6" s="2" t="s">
        <v>26</v>
      </c>
      <c r="B6">
        <v>7</v>
      </c>
    </row>
    <row r="7" spans="1:3" x14ac:dyDescent="0.3">
      <c r="A7" s="2" t="s">
        <v>31</v>
      </c>
      <c r="B7">
        <v>1287</v>
      </c>
    </row>
    <row r="8" spans="1:3" x14ac:dyDescent="0.3">
      <c r="A8" s="2" t="s">
        <v>123</v>
      </c>
      <c r="B8">
        <v>1</v>
      </c>
    </row>
    <row r="9" spans="1:3" x14ac:dyDescent="0.3">
      <c r="A9" s="2" t="s">
        <v>124</v>
      </c>
      <c r="B9">
        <v>17</v>
      </c>
    </row>
    <row r="10" spans="1:3" x14ac:dyDescent="0.3">
      <c r="A10" s="2" t="s">
        <v>141</v>
      </c>
      <c r="B10">
        <v>1</v>
      </c>
    </row>
    <row r="11" spans="1:3" x14ac:dyDescent="0.3">
      <c r="A11" s="2" t="s">
        <v>145</v>
      </c>
      <c r="B11">
        <v>1915</v>
      </c>
    </row>
    <row r="14" spans="1:3" s="3" customFormat="1" x14ac:dyDescent="0.3">
      <c r="A14" s="3" t="s">
        <v>143</v>
      </c>
      <c r="B14" s="3" t="s">
        <v>144</v>
      </c>
      <c r="C14" s="3" t="s">
        <v>149</v>
      </c>
    </row>
    <row r="15" spans="1:3" x14ac:dyDescent="0.3">
      <c r="A15" t="s">
        <v>4</v>
      </c>
      <c r="B15">
        <v>34</v>
      </c>
      <c r="C15" s="4">
        <f>B15/$B$20</f>
        <v>1.7754569190600523E-2</v>
      </c>
    </row>
    <row r="16" spans="1:3" x14ac:dyDescent="0.3">
      <c r="A16" t="s">
        <v>11</v>
      </c>
      <c r="B16">
        <v>568</v>
      </c>
      <c r="C16" s="4">
        <f t="shared" ref="C16:C20" si="0">B16/$B$20</f>
        <v>0.29660574412532636</v>
      </c>
    </row>
    <row r="17" spans="1:3" x14ac:dyDescent="0.3">
      <c r="A17" t="s">
        <v>26</v>
      </c>
      <c r="B17">
        <v>7</v>
      </c>
      <c r="C17" s="4">
        <f t="shared" si="0"/>
        <v>3.6553524804177544E-3</v>
      </c>
    </row>
    <row r="18" spans="1:3" x14ac:dyDescent="0.3">
      <c r="A18" t="s">
        <v>31</v>
      </c>
      <c r="B18">
        <v>1288</v>
      </c>
      <c r="C18" s="4">
        <f t="shared" si="0"/>
        <v>0.67258485639686683</v>
      </c>
    </row>
    <row r="19" spans="1:3" x14ac:dyDescent="0.3">
      <c r="A19" t="s">
        <v>124</v>
      </c>
      <c r="B19">
        <v>18</v>
      </c>
      <c r="C19" s="4">
        <f t="shared" si="0"/>
        <v>9.3994778067885126E-3</v>
      </c>
    </row>
    <row r="20" spans="1:3" s="3" customFormat="1" x14ac:dyDescent="0.3">
      <c r="A20" s="3" t="s">
        <v>145</v>
      </c>
      <c r="B20" s="3">
        <v>1915</v>
      </c>
      <c r="C20" s="5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77A-DFCA-4AE4-9A07-5EBD93317927}">
  <dimension ref="A3:C19"/>
  <sheetViews>
    <sheetView workbookViewId="0">
      <selection activeCell="B13" sqref="B13"/>
    </sheetView>
  </sheetViews>
  <sheetFormatPr defaultRowHeight="14.4" x14ac:dyDescent="0.3"/>
  <cols>
    <col min="1" max="1" width="21.44140625" bestFit="1" customWidth="1"/>
    <col min="2" max="2" width="16.21875" bestFit="1" customWidth="1"/>
  </cols>
  <sheetData>
    <row r="3" spans="1:3" x14ac:dyDescent="0.3">
      <c r="A3" s="1" t="s">
        <v>143</v>
      </c>
      <c r="B3" t="s">
        <v>146</v>
      </c>
    </row>
    <row r="4" spans="1:3" x14ac:dyDescent="0.3">
      <c r="A4" s="2" t="s">
        <v>4</v>
      </c>
      <c r="B4">
        <v>54</v>
      </c>
    </row>
    <row r="5" spans="1:3" x14ac:dyDescent="0.3">
      <c r="A5" s="2" t="s">
        <v>11</v>
      </c>
      <c r="B5">
        <v>104</v>
      </c>
    </row>
    <row r="6" spans="1:3" x14ac:dyDescent="0.3">
      <c r="A6" s="2" t="s">
        <v>26</v>
      </c>
      <c r="B6">
        <v>0</v>
      </c>
    </row>
    <row r="7" spans="1:3" x14ac:dyDescent="0.3">
      <c r="A7" s="2" t="s">
        <v>31</v>
      </c>
      <c r="B7">
        <v>479</v>
      </c>
    </row>
    <row r="8" spans="1:3" x14ac:dyDescent="0.3">
      <c r="A8" s="2" t="s">
        <v>123</v>
      </c>
      <c r="B8">
        <v>62</v>
      </c>
    </row>
    <row r="9" spans="1:3" x14ac:dyDescent="0.3">
      <c r="A9" s="2" t="s">
        <v>124</v>
      </c>
      <c r="B9">
        <v>0</v>
      </c>
    </row>
    <row r="10" spans="1:3" x14ac:dyDescent="0.3">
      <c r="A10" s="2" t="s">
        <v>141</v>
      </c>
      <c r="B10">
        <v>38</v>
      </c>
    </row>
    <row r="11" spans="1:3" x14ac:dyDescent="0.3">
      <c r="A11" s="2" t="s">
        <v>145</v>
      </c>
      <c r="B11">
        <v>737</v>
      </c>
    </row>
    <row r="13" spans="1:3" x14ac:dyDescent="0.3">
      <c r="A13" t="s">
        <v>143</v>
      </c>
      <c r="B13" t="s">
        <v>146</v>
      </c>
      <c r="C13" t="s">
        <v>149</v>
      </c>
    </row>
    <row r="14" spans="1:3" x14ac:dyDescent="0.3">
      <c r="A14" t="s">
        <v>4</v>
      </c>
      <c r="B14">
        <v>54</v>
      </c>
      <c r="C14" s="4">
        <f>B14/$B$19</f>
        <v>7.3270013568521031E-2</v>
      </c>
    </row>
    <row r="15" spans="1:3" x14ac:dyDescent="0.3">
      <c r="A15" t="s">
        <v>11</v>
      </c>
      <c r="B15">
        <v>104</v>
      </c>
      <c r="C15" s="4">
        <f t="shared" ref="C15:C19" si="0">B15/$B$19</f>
        <v>0.14111261872455902</v>
      </c>
    </row>
    <row r="16" spans="1:3" x14ac:dyDescent="0.3">
      <c r="A16" t="s">
        <v>26</v>
      </c>
      <c r="B16">
        <v>0</v>
      </c>
      <c r="C16" s="4">
        <f t="shared" si="0"/>
        <v>0</v>
      </c>
    </row>
    <row r="17" spans="1:3" x14ac:dyDescent="0.3">
      <c r="A17" t="s">
        <v>31</v>
      </c>
      <c r="B17">
        <f>62+479</f>
        <v>541</v>
      </c>
      <c r="C17" s="4">
        <f t="shared" si="0"/>
        <v>0.73405698778833106</v>
      </c>
    </row>
    <row r="18" spans="1:3" x14ac:dyDescent="0.3">
      <c r="A18" t="s">
        <v>124</v>
      </c>
      <c r="B18">
        <v>38</v>
      </c>
      <c r="C18" s="4">
        <f t="shared" si="0"/>
        <v>5.1560379918588875E-2</v>
      </c>
    </row>
    <row r="19" spans="1:3" x14ac:dyDescent="0.3">
      <c r="A19" t="s">
        <v>145</v>
      </c>
      <c r="B19">
        <v>737</v>
      </c>
      <c r="C19" s="4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7909-B6E8-42C0-BC66-A2E3365ED34F}">
  <dimension ref="A1:F111"/>
  <sheetViews>
    <sheetView workbookViewId="0">
      <selection activeCell="H11" sqref="H11"/>
    </sheetView>
  </sheetViews>
  <sheetFormatPr defaultRowHeight="14.4" x14ac:dyDescent="0.3"/>
  <cols>
    <col min="1" max="1" width="21.44140625" bestFit="1" customWidth="1"/>
    <col min="4" max="4" width="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>
        <v>2024</v>
      </c>
      <c r="F1" t="s">
        <v>142</v>
      </c>
    </row>
    <row r="2" spans="1:6" x14ac:dyDescent="0.3">
      <c r="A2" t="s">
        <v>4</v>
      </c>
      <c r="B2" t="s">
        <v>5</v>
      </c>
      <c r="E2">
        <v>2</v>
      </c>
      <c r="F2">
        <v>0</v>
      </c>
    </row>
    <row r="3" spans="1:6" x14ac:dyDescent="0.3">
      <c r="A3" t="s">
        <v>4</v>
      </c>
      <c r="B3" t="s">
        <v>6</v>
      </c>
      <c r="E3">
        <v>6</v>
      </c>
      <c r="F3">
        <v>0</v>
      </c>
    </row>
    <row r="4" spans="1:6" x14ac:dyDescent="0.3">
      <c r="A4" t="s">
        <v>4</v>
      </c>
      <c r="B4" t="s">
        <v>7</v>
      </c>
      <c r="E4">
        <v>7</v>
      </c>
      <c r="F4">
        <v>0</v>
      </c>
    </row>
    <row r="5" spans="1:6" x14ac:dyDescent="0.3">
      <c r="A5" t="s">
        <v>4</v>
      </c>
      <c r="B5" t="s">
        <v>8</v>
      </c>
      <c r="E5">
        <v>16</v>
      </c>
      <c r="F5">
        <v>0</v>
      </c>
    </row>
    <row r="6" spans="1:6" x14ac:dyDescent="0.3">
      <c r="A6" t="s">
        <v>4</v>
      </c>
      <c r="B6" t="s">
        <v>9</v>
      </c>
      <c r="E6">
        <v>3</v>
      </c>
      <c r="F6">
        <v>0</v>
      </c>
    </row>
    <row r="7" spans="1:6" x14ac:dyDescent="0.3">
      <c r="A7" t="s">
        <v>4</v>
      </c>
      <c r="B7" t="s">
        <v>10</v>
      </c>
      <c r="E7">
        <v>0</v>
      </c>
      <c r="F7">
        <v>54</v>
      </c>
    </row>
    <row r="8" spans="1:6" x14ac:dyDescent="0.3">
      <c r="A8" t="s">
        <v>11</v>
      </c>
      <c r="B8" t="s">
        <v>12</v>
      </c>
      <c r="E8">
        <v>5</v>
      </c>
      <c r="F8">
        <v>0</v>
      </c>
    </row>
    <row r="9" spans="1:6" x14ac:dyDescent="0.3">
      <c r="A9" t="s">
        <v>11</v>
      </c>
      <c r="B9" t="s">
        <v>13</v>
      </c>
      <c r="E9">
        <v>1</v>
      </c>
      <c r="F9">
        <v>0</v>
      </c>
    </row>
    <row r="10" spans="1:6" x14ac:dyDescent="0.3">
      <c r="A10" t="s">
        <v>11</v>
      </c>
      <c r="B10" t="s">
        <v>14</v>
      </c>
      <c r="E10">
        <v>17</v>
      </c>
      <c r="F10">
        <v>0</v>
      </c>
    </row>
    <row r="11" spans="1:6" x14ac:dyDescent="0.3">
      <c r="A11" t="s">
        <v>11</v>
      </c>
      <c r="B11" t="s">
        <v>15</v>
      </c>
      <c r="E11">
        <v>43</v>
      </c>
      <c r="F11">
        <v>0</v>
      </c>
    </row>
    <row r="12" spans="1:6" x14ac:dyDescent="0.3">
      <c r="A12" t="s">
        <v>11</v>
      </c>
      <c r="B12" t="s">
        <v>16</v>
      </c>
      <c r="E12">
        <v>1</v>
      </c>
      <c r="F12">
        <v>0</v>
      </c>
    </row>
    <row r="13" spans="1:6" x14ac:dyDescent="0.3">
      <c r="A13" t="s">
        <v>11</v>
      </c>
      <c r="B13" t="s">
        <v>17</v>
      </c>
      <c r="E13">
        <v>6</v>
      </c>
      <c r="F13">
        <v>0</v>
      </c>
    </row>
    <row r="14" spans="1:6" x14ac:dyDescent="0.3">
      <c r="A14" t="s">
        <v>11</v>
      </c>
      <c r="B14" t="s">
        <v>18</v>
      </c>
      <c r="E14">
        <v>63</v>
      </c>
      <c r="F14">
        <v>0</v>
      </c>
    </row>
    <row r="15" spans="1:6" x14ac:dyDescent="0.3">
      <c r="A15" t="s">
        <v>11</v>
      </c>
      <c r="B15" t="s">
        <v>19</v>
      </c>
      <c r="E15">
        <v>27</v>
      </c>
      <c r="F15">
        <v>0</v>
      </c>
    </row>
    <row r="16" spans="1:6" x14ac:dyDescent="0.3">
      <c r="A16" t="s">
        <v>11</v>
      </c>
      <c r="B16" t="s">
        <v>20</v>
      </c>
      <c r="E16">
        <v>3</v>
      </c>
      <c r="F16">
        <v>0</v>
      </c>
    </row>
    <row r="17" spans="1:6" x14ac:dyDescent="0.3">
      <c r="A17" t="s">
        <v>11</v>
      </c>
      <c r="B17" t="s">
        <v>21</v>
      </c>
      <c r="E17">
        <v>61</v>
      </c>
      <c r="F17">
        <v>0</v>
      </c>
    </row>
    <row r="18" spans="1:6" x14ac:dyDescent="0.3">
      <c r="A18" t="s">
        <v>11</v>
      </c>
      <c r="B18" t="s">
        <v>22</v>
      </c>
      <c r="E18">
        <v>132</v>
      </c>
      <c r="F18">
        <v>49</v>
      </c>
    </row>
    <row r="19" spans="1:6" x14ac:dyDescent="0.3">
      <c r="A19" t="s">
        <v>11</v>
      </c>
      <c r="B19" t="s">
        <v>23</v>
      </c>
      <c r="E19">
        <v>76</v>
      </c>
      <c r="F19">
        <v>0</v>
      </c>
    </row>
    <row r="20" spans="1:6" x14ac:dyDescent="0.3">
      <c r="A20" t="s">
        <v>11</v>
      </c>
      <c r="B20" t="s">
        <v>24</v>
      </c>
      <c r="E20">
        <v>1</v>
      </c>
      <c r="F20">
        <v>0</v>
      </c>
    </row>
    <row r="21" spans="1:6" x14ac:dyDescent="0.3">
      <c r="A21" t="s">
        <v>11</v>
      </c>
      <c r="B21" t="s">
        <v>25</v>
      </c>
      <c r="E21">
        <v>131</v>
      </c>
      <c r="F21">
        <v>0</v>
      </c>
    </row>
    <row r="22" spans="1:6" x14ac:dyDescent="0.3">
      <c r="A22" t="s">
        <v>11</v>
      </c>
      <c r="B22" t="s">
        <v>10</v>
      </c>
      <c r="E22">
        <v>1</v>
      </c>
      <c r="F22">
        <v>55</v>
      </c>
    </row>
    <row r="23" spans="1:6" x14ac:dyDescent="0.3">
      <c r="A23" t="s">
        <v>26</v>
      </c>
      <c r="B23" t="s">
        <v>27</v>
      </c>
      <c r="E23">
        <v>1</v>
      </c>
      <c r="F23">
        <v>0</v>
      </c>
    </row>
    <row r="24" spans="1:6" x14ac:dyDescent="0.3">
      <c r="A24" t="s">
        <v>26</v>
      </c>
      <c r="B24" t="s">
        <v>28</v>
      </c>
      <c r="E24">
        <v>1</v>
      </c>
      <c r="F24">
        <v>0</v>
      </c>
    </row>
    <row r="25" spans="1:6" x14ac:dyDescent="0.3">
      <c r="A25" t="s">
        <v>26</v>
      </c>
      <c r="B25" t="s">
        <v>29</v>
      </c>
      <c r="E25">
        <v>2</v>
      </c>
      <c r="F25">
        <v>0</v>
      </c>
    </row>
    <row r="26" spans="1:6" x14ac:dyDescent="0.3">
      <c r="A26" t="s">
        <v>26</v>
      </c>
      <c r="B26" t="s">
        <v>30</v>
      </c>
      <c r="E26">
        <v>3</v>
      </c>
      <c r="F26">
        <v>0</v>
      </c>
    </row>
    <row r="27" spans="1:6" x14ac:dyDescent="0.3">
      <c r="A27" t="s">
        <v>31</v>
      </c>
      <c r="B27" t="s">
        <v>32</v>
      </c>
      <c r="C27" t="s">
        <v>33</v>
      </c>
      <c r="E27">
        <v>2</v>
      </c>
      <c r="F27">
        <v>0</v>
      </c>
    </row>
    <row r="28" spans="1:6" x14ac:dyDescent="0.3">
      <c r="A28" t="s">
        <v>31</v>
      </c>
      <c r="B28" t="s">
        <v>32</v>
      </c>
      <c r="C28" t="s">
        <v>34</v>
      </c>
      <c r="E28">
        <v>6</v>
      </c>
      <c r="F28">
        <v>0</v>
      </c>
    </row>
    <row r="29" spans="1:6" x14ac:dyDescent="0.3">
      <c r="A29" t="s">
        <v>31</v>
      </c>
      <c r="B29" t="s">
        <v>32</v>
      </c>
      <c r="C29" t="s">
        <v>34</v>
      </c>
      <c r="D29" t="s">
        <v>35</v>
      </c>
      <c r="E29">
        <v>0</v>
      </c>
      <c r="F29">
        <v>3</v>
      </c>
    </row>
    <row r="30" spans="1:6" x14ac:dyDescent="0.3">
      <c r="A30" t="s">
        <v>31</v>
      </c>
      <c r="B30" t="s">
        <v>32</v>
      </c>
      <c r="C30" t="s">
        <v>34</v>
      </c>
      <c r="D30" t="s">
        <v>36</v>
      </c>
      <c r="E30">
        <v>0</v>
      </c>
      <c r="F30">
        <v>1</v>
      </c>
    </row>
    <row r="31" spans="1:6" x14ac:dyDescent="0.3">
      <c r="A31" t="s">
        <v>31</v>
      </c>
      <c r="B31" t="s">
        <v>32</v>
      </c>
      <c r="C31" t="s">
        <v>37</v>
      </c>
      <c r="E31">
        <v>0</v>
      </c>
      <c r="F31">
        <v>1</v>
      </c>
    </row>
    <row r="32" spans="1:6" x14ac:dyDescent="0.3">
      <c r="A32" t="s">
        <v>31</v>
      </c>
      <c r="B32" t="s">
        <v>32</v>
      </c>
      <c r="C32" t="s">
        <v>38</v>
      </c>
      <c r="E32">
        <v>0</v>
      </c>
      <c r="F32">
        <v>6</v>
      </c>
    </row>
    <row r="33" spans="1:6" x14ac:dyDescent="0.3">
      <c r="A33" t="s">
        <v>31</v>
      </c>
      <c r="B33" t="s">
        <v>32</v>
      </c>
      <c r="C33" t="s">
        <v>39</v>
      </c>
      <c r="E33">
        <v>0</v>
      </c>
      <c r="F33">
        <v>4</v>
      </c>
    </row>
    <row r="34" spans="1:6" x14ac:dyDescent="0.3">
      <c r="A34" t="s">
        <v>31</v>
      </c>
      <c r="B34" t="s">
        <v>40</v>
      </c>
      <c r="C34" t="s">
        <v>41</v>
      </c>
      <c r="D34" t="s">
        <v>42</v>
      </c>
      <c r="E34">
        <v>280</v>
      </c>
      <c r="F34">
        <v>71</v>
      </c>
    </row>
    <row r="35" spans="1:6" x14ac:dyDescent="0.3">
      <c r="A35" t="s">
        <v>31</v>
      </c>
      <c r="B35" t="s">
        <v>40</v>
      </c>
      <c r="C35" t="s">
        <v>43</v>
      </c>
      <c r="D35" t="s">
        <v>44</v>
      </c>
      <c r="E35">
        <v>0</v>
      </c>
      <c r="F35">
        <v>4</v>
      </c>
    </row>
    <row r="36" spans="1:6" x14ac:dyDescent="0.3">
      <c r="A36" t="s">
        <v>31</v>
      </c>
      <c r="B36" t="s">
        <v>40</v>
      </c>
      <c r="C36" t="s">
        <v>43</v>
      </c>
      <c r="D36" t="s">
        <v>45</v>
      </c>
      <c r="E36">
        <v>0</v>
      </c>
      <c r="F36">
        <v>1</v>
      </c>
    </row>
    <row r="37" spans="1:6" x14ac:dyDescent="0.3">
      <c r="A37" t="s">
        <v>31</v>
      </c>
      <c r="B37" t="s">
        <v>40</v>
      </c>
      <c r="C37" t="s">
        <v>43</v>
      </c>
      <c r="E37">
        <v>0</v>
      </c>
      <c r="F37">
        <v>1</v>
      </c>
    </row>
    <row r="38" spans="1:6" x14ac:dyDescent="0.3">
      <c r="A38" t="s">
        <v>31</v>
      </c>
      <c r="B38" t="s">
        <v>40</v>
      </c>
      <c r="C38" t="s">
        <v>46</v>
      </c>
      <c r="D38" t="s">
        <v>47</v>
      </c>
      <c r="E38">
        <v>1</v>
      </c>
      <c r="F38">
        <v>0</v>
      </c>
    </row>
    <row r="39" spans="1:6" x14ac:dyDescent="0.3">
      <c r="A39" t="s">
        <v>31</v>
      </c>
      <c r="B39" t="s">
        <v>40</v>
      </c>
      <c r="C39" t="s">
        <v>46</v>
      </c>
      <c r="D39" t="s">
        <v>148</v>
      </c>
      <c r="E39">
        <v>15</v>
      </c>
      <c r="F39">
        <v>16</v>
      </c>
    </row>
    <row r="40" spans="1:6" x14ac:dyDescent="0.3">
      <c r="A40" t="s">
        <v>31</v>
      </c>
      <c r="B40" t="s">
        <v>40</v>
      </c>
      <c r="C40" t="s">
        <v>46</v>
      </c>
      <c r="D40" t="s">
        <v>48</v>
      </c>
      <c r="E40">
        <v>2</v>
      </c>
      <c r="F40">
        <v>20</v>
      </c>
    </row>
    <row r="41" spans="1:6" x14ac:dyDescent="0.3">
      <c r="A41" t="s">
        <v>31</v>
      </c>
      <c r="B41" t="s">
        <v>40</v>
      </c>
      <c r="C41" t="s">
        <v>46</v>
      </c>
      <c r="D41" t="s">
        <v>49</v>
      </c>
      <c r="E41">
        <v>0</v>
      </c>
      <c r="F41">
        <v>11</v>
      </c>
    </row>
    <row r="42" spans="1:6" x14ac:dyDescent="0.3">
      <c r="A42" t="s">
        <v>31</v>
      </c>
      <c r="B42" t="s">
        <v>40</v>
      </c>
      <c r="C42" t="s">
        <v>46</v>
      </c>
      <c r="D42" t="s">
        <v>50</v>
      </c>
      <c r="E42">
        <v>3</v>
      </c>
      <c r="F42">
        <v>12</v>
      </c>
    </row>
    <row r="43" spans="1:6" x14ac:dyDescent="0.3">
      <c r="A43" t="s">
        <v>31</v>
      </c>
      <c r="B43" t="s">
        <v>40</v>
      </c>
      <c r="C43" t="s">
        <v>46</v>
      </c>
      <c r="D43" t="s">
        <v>51</v>
      </c>
      <c r="E43">
        <v>0</v>
      </c>
      <c r="F43">
        <v>2</v>
      </c>
    </row>
    <row r="44" spans="1:6" x14ac:dyDescent="0.3">
      <c r="A44" t="s">
        <v>31</v>
      </c>
      <c r="B44" t="s">
        <v>40</v>
      </c>
      <c r="C44" t="s">
        <v>46</v>
      </c>
      <c r="D44" t="s">
        <v>52</v>
      </c>
      <c r="E44">
        <v>243</v>
      </c>
      <c r="F44">
        <v>41</v>
      </c>
    </row>
    <row r="45" spans="1:6" x14ac:dyDescent="0.3">
      <c r="A45" t="s">
        <v>31</v>
      </c>
      <c r="B45" t="s">
        <v>40</v>
      </c>
      <c r="C45" t="s">
        <v>46</v>
      </c>
      <c r="D45" t="s">
        <v>53</v>
      </c>
      <c r="E45">
        <v>0</v>
      </c>
      <c r="F45">
        <v>2</v>
      </c>
    </row>
    <row r="46" spans="1:6" x14ac:dyDescent="0.3">
      <c r="A46" t="s">
        <v>31</v>
      </c>
      <c r="B46" t="s">
        <v>40</v>
      </c>
      <c r="C46" t="s">
        <v>46</v>
      </c>
      <c r="D46" t="s">
        <v>54</v>
      </c>
      <c r="E46">
        <v>0</v>
      </c>
      <c r="F46">
        <v>3</v>
      </c>
    </row>
    <row r="47" spans="1:6" x14ac:dyDescent="0.3">
      <c r="A47" t="s">
        <v>31</v>
      </c>
      <c r="B47" t="s">
        <v>40</v>
      </c>
      <c r="C47" t="s">
        <v>46</v>
      </c>
      <c r="D47" t="s">
        <v>55</v>
      </c>
      <c r="E47">
        <v>0</v>
      </c>
      <c r="F47">
        <v>9</v>
      </c>
    </row>
    <row r="48" spans="1:6" x14ac:dyDescent="0.3">
      <c r="A48" t="s">
        <v>31</v>
      </c>
      <c r="B48" t="s">
        <v>40</v>
      </c>
      <c r="C48" t="s">
        <v>46</v>
      </c>
      <c r="D48" t="s">
        <v>56</v>
      </c>
      <c r="E48">
        <v>0</v>
      </c>
      <c r="F48">
        <v>7</v>
      </c>
    </row>
    <row r="49" spans="1:6" x14ac:dyDescent="0.3">
      <c r="A49" t="s">
        <v>31</v>
      </c>
      <c r="B49" t="s">
        <v>40</v>
      </c>
      <c r="C49" t="s">
        <v>46</v>
      </c>
      <c r="D49" t="s">
        <v>57</v>
      </c>
      <c r="E49">
        <v>1</v>
      </c>
      <c r="F49">
        <v>0</v>
      </c>
    </row>
    <row r="50" spans="1:6" x14ac:dyDescent="0.3">
      <c r="A50" t="s">
        <v>31</v>
      </c>
      <c r="B50" t="s">
        <v>40</v>
      </c>
      <c r="C50" t="s">
        <v>58</v>
      </c>
      <c r="E50">
        <v>15</v>
      </c>
      <c r="F50">
        <v>16</v>
      </c>
    </row>
    <row r="51" spans="1:6" x14ac:dyDescent="0.3">
      <c r="A51" t="s">
        <v>31</v>
      </c>
      <c r="B51" t="s">
        <v>40</v>
      </c>
      <c r="C51" t="s">
        <v>59</v>
      </c>
      <c r="E51">
        <v>0</v>
      </c>
      <c r="F51">
        <v>18</v>
      </c>
    </row>
    <row r="52" spans="1:6" x14ac:dyDescent="0.3">
      <c r="A52" t="s">
        <v>31</v>
      </c>
      <c r="B52" t="s">
        <v>40</v>
      </c>
      <c r="C52" t="s">
        <v>60</v>
      </c>
      <c r="E52">
        <v>0</v>
      </c>
      <c r="F52">
        <v>1</v>
      </c>
    </row>
    <row r="53" spans="1:6" x14ac:dyDescent="0.3">
      <c r="A53" t="s">
        <v>31</v>
      </c>
      <c r="B53" t="s">
        <v>40</v>
      </c>
      <c r="C53" t="s">
        <v>61</v>
      </c>
      <c r="E53">
        <v>14</v>
      </c>
      <c r="F53">
        <v>11</v>
      </c>
    </row>
    <row r="54" spans="1:6" x14ac:dyDescent="0.3">
      <c r="A54" t="s">
        <v>31</v>
      </c>
      <c r="B54" t="s">
        <v>40</v>
      </c>
      <c r="C54" t="s">
        <v>62</v>
      </c>
      <c r="E54">
        <v>0</v>
      </c>
      <c r="F54">
        <v>1</v>
      </c>
    </row>
    <row r="55" spans="1:6" x14ac:dyDescent="0.3">
      <c r="A55" t="s">
        <v>31</v>
      </c>
      <c r="B55" t="s">
        <v>40</v>
      </c>
      <c r="C55" t="s">
        <v>63</v>
      </c>
      <c r="E55">
        <v>0</v>
      </c>
      <c r="F55">
        <v>1</v>
      </c>
    </row>
    <row r="56" spans="1:6" x14ac:dyDescent="0.3">
      <c r="A56" t="s">
        <v>31</v>
      </c>
      <c r="B56" t="s">
        <v>40</v>
      </c>
      <c r="C56" t="s">
        <v>64</v>
      </c>
      <c r="E56">
        <v>0</v>
      </c>
      <c r="F56">
        <v>1</v>
      </c>
    </row>
    <row r="57" spans="1:6" x14ac:dyDescent="0.3">
      <c r="A57" t="s">
        <v>31</v>
      </c>
      <c r="B57" t="s">
        <v>40</v>
      </c>
      <c r="C57" t="s">
        <v>65</v>
      </c>
      <c r="E57">
        <v>0</v>
      </c>
      <c r="F57">
        <v>3</v>
      </c>
    </row>
    <row r="58" spans="1:6" x14ac:dyDescent="0.3">
      <c r="A58" t="s">
        <v>31</v>
      </c>
      <c r="B58" t="s">
        <v>40</v>
      </c>
      <c r="C58" t="s">
        <v>66</v>
      </c>
      <c r="E58">
        <v>1</v>
      </c>
      <c r="F58">
        <v>0</v>
      </c>
    </row>
    <row r="59" spans="1:6" x14ac:dyDescent="0.3">
      <c r="A59" t="s">
        <v>31</v>
      </c>
      <c r="B59" t="s">
        <v>40</v>
      </c>
      <c r="C59" t="s">
        <v>67</v>
      </c>
      <c r="E59">
        <v>0</v>
      </c>
      <c r="F59">
        <v>6</v>
      </c>
    </row>
    <row r="60" spans="1:6" x14ac:dyDescent="0.3">
      <c r="A60" t="s">
        <v>31</v>
      </c>
      <c r="B60" t="s">
        <v>40</v>
      </c>
      <c r="C60" t="s">
        <v>68</v>
      </c>
      <c r="E60">
        <v>2</v>
      </c>
      <c r="F60">
        <v>11</v>
      </c>
    </row>
    <row r="61" spans="1:6" x14ac:dyDescent="0.3">
      <c r="A61" t="s">
        <v>31</v>
      </c>
      <c r="B61" t="s">
        <v>40</v>
      </c>
      <c r="C61" t="s">
        <v>68</v>
      </c>
      <c r="D61" t="s">
        <v>69</v>
      </c>
      <c r="E61">
        <v>0</v>
      </c>
      <c r="F61">
        <v>4</v>
      </c>
    </row>
    <row r="62" spans="1:6" x14ac:dyDescent="0.3">
      <c r="A62" t="s">
        <v>31</v>
      </c>
      <c r="B62" t="s">
        <v>40</v>
      </c>
      <c r="C62" t="s">
        <v>70</v>
      </c>
      <c r="E62">
        <v>0</v>
      </c>
      <c r="F62">
        <v>4</v>
      </c>
    </row>
    <row r="63" spans="1:6" x14ac:dyDescent="0.3">
      <c r="A63" t="s">
        <v>31</v>
      </c>
      <c r="B63" t="s">
        <v>71</v>
      </c>
      <c r="E63">
        <v>6</v>
      </c>
      <c r="F63">
        <v>0</v>
      </c>
    </row>
    <row r="64" spans="1:6" x14ac:dyDescent="0.3">
      <c r="A64" t="s">
        <v>31</v>
      </c>
      <c r="B64" t="s">
        <v>72</v>
      </c>
      <c r="C64" t="s">
        <v>73</v>
      </c>
      <c r="E64">
        <v>1</v>
      </c>
      <c r="F64">
        <v>0</v>
      </c>
    </row>
    <row r="65" spans="1:6" x14ac:dyDescent="0.3">
      <c r="A65" t="s">
        <v>31</v>
      </c>
      <c r="B65" t="s">
        <v>74</v>
      </c>
      <c r="C65" t="s">
        <v>75</v>
      </c>
      <c r="D65" t="s">
        <v>76</v>
      </c>
      <c r="E65">
        <v>9</v>
      </c>
      <c r="F65">
        <v>0</v>
      </c>
    </row>
    <row r="66" spans="1:6" x14ac:dyDescent="0.3">
      <c r="A66" t="s">
        <v>31</v>
      </c>
      <c r="B66" t="s">
        <v>77</v>
      </c>
      <c r="E66">
        <v>2</v>
      </c>
      <c r="F66">
        <v>0</v>
      </c>
    </row>
    <row r="67" spans="1:6" x14ac:dyDescent="0.3">
      <c r="A67" t="s">
        <v>31</v>
      </c>
      <c r="B67" t="s">
        <v>78</v>
      </c>
      <c r="E67">
        <v>1</v>
      </c>
      <c r="F67">
        <v>0</v>
      </c>
    </row>
    <row r="68" spans="1:6" x14ac:dyDescent="0.3">
      <c r="A68" t="s">
        <v>31</v>
      </c>
      <c r="B68" t="s">
        <v>79</v>
      </c>
      <c r="C68" t="s">
        <v>80</v>
      </c>
      <c r="E68">
        <v>26</v>
      </c>
      <c r="F68">
        <v>20</v>
      </c>
    </row>
    <row r="69" spans="1:6" x14ac:dyDescent="0.3">
      <c r="A69" t="s">
        <v>31</v>
      </c>
      <c r="B69" t="s">
        <v>79</v>
      </c>
      <c r="C69" t="s">
        <v>81</v>
      </c>
      <c r="E69">
        <v>0</v>
      </c>
      <c r="F69">
        <v>10</v>
      </c>
    </row>
    <row r="70" spans="1:6" x14ac:dyDescent="0.3">
      <c r="A70" t="s">
        <v>31</v>
      </c>
      <c r="B70" t="s">
        <v>79</v>
      </c>
      <c r="C70" t="s">
        <v>82</v>
      </c>
      <c r="E70">
        <v>0</v>
      </c>
      <c r="F70">
        <v>12</v>
      </c>
    </row>
    <row r="71" spans="1:6" x14ac:dyDescent="0.3">
      <c r="A71" t="s">
        <v>31</v>
      </c>
      <c r="B71" t="s">
        <v>83</v>
      </c>
      <c r="C71" t="s">
        <v>84</v>
      </c>
      <c r="E71">
        <v>1</v>
      </c>
      <c r="F71">
        <v>0</v>
      </c>
    </row>
    <row r="72" spans="1:6" x14ac:dyDescent="0.3">
      <c r="A72" t="s">
        <v>31</v>
      </c>
      <c r="B72" t="s">
        <v>85</v>
      </c>
      <c r="C72" t="s">
        <v>86</v>
      </c>
      <c r="E72">
        <v>1</v>
      </c>
      <c r="F72">
        <v>0</v>
      </c>
    </row>
    <row r="73" spans="1:6" x14ac:dyDescent="0.3">
      <c r="A73" t="s">
        <v>31</v>
      </c>
      <c r="B73" t="s">
        <v>87</v>
      </c>
      <c r="C73" t="s">
        <v>88</v>
      </c>
      <c r="E73">
        <v>8</v>
      </c>
      <c r="F73">
        <v>0</v>
      </c>
    </row>
    <row r="74" spans="1:6" x14ac:dyDescent="0.3">
      <c r="A74" t="s">
        <v>31</v>
      </c>
      <c r="B74" t="s">
        <v>87</v>
      </c>
      <c r="C74" t="s">
        <v>88</v>
      </c>
      <c r="D74" t="s">
        <v>89</v>
      </c>
      <c r="E74">
        <v>0</v>
      </c>
      <c r="F74">
        <v>1</v>
      </c>
    </row>
    <row r="75" spans="1:6" x14ac:dyDescent="0.3">
      <c r="A75" t="s">
        <v>31</v>
      </c>
      <c r="B75" t="s">
        <v>87</v>
      </c>
      <c r="C75" t="s">
        <v>90</v>
      </c>
      <c r="E75">
        <v>55</v>
      </c>
      <c r="F75">
        <v>15</v>
      </c>
    </row>
    <row r="76" spans="1:6" x14ac:dyDescent="0.3">
      <c r="A76" t="s">
        <v>31</v>
      </c>
      <c r="B76" t="s">
        <v>87</v>
      </c>
      <c r="C76" t="s">
        <v>91</v>
      </c>
      <c r="E76">
        <v>0</v>
      </c>
      <c r="F76">
        <v>9</v>
      </c>
    </row>
    <row r="77" spans="1:6" x14ac:dyDescent="0.3">
      <c r="A77" t="s">
        <v>31</v>
      </c>
      <c r="B77" t="s">
        <v>87</v>
      </c>
      <c r="C77" t="s">
        <v>92</v>
      </c>
      <c r="E77">
        <v>0</v>
      </c>
      <c r="F77">
        <v>11</v>
      </c>
    </row>
    <row r="78" spans="1:6" x14ac:dyDescent="0.3">
      <c r="A78" t="s">
        <v>31</v>
      </c>
      <c r="B78" t="s">
        <v>87</v>
      </c>
      <c r="C78" t="s">
        <v>93</v>
      </c>
      <c r="E78">
        <v>8</v>
      </c>
      <c r="F78">
        <v>0</v>
      </c>
    </row>
    <row r="79" spans="1:6" x14ac:dyDescent="0.3">
      <c r="A79" t="s">
        <v>31</v>
      </c>
      <c r="B79" t="s">
        <v>87</v>
      </c>
      <c r="C79" t="s">
        <v>94</v>
      </c>
      <c r="E79">
        <v>46</v>
      </c>
      <c r="F79">
        <v>14</v>
      </c>
    </row>
    <row r="80" spans="1:6" x14ac:dyDescent="0.3">
      <c r="A80" t="s">
        <v>31</v>
      </c>
      <c r="B80" t="s">
        <v>87</v>
      </c>
      <c r="C80" t="s">
        <v>94</v>
      </c>
      <c r="D80" t="s">
        <v>95</v>
      </c>
      <c r="E80">
        <v>0</v>
      </c>
      <c r="F80">
        <v>3</v>
      </c>
    </row>
    <row r="81" spans="1:6" x14ac:dyDescent="0.3">
      <c r="A81" t="s">
        <v>31</v>
      </c>
      <c r="B81" t="s">
        <v>87</v>
      </c>
      <c r="C81" t="s">
        <v>94</v>
      </c>
      <c r="D81" t="s">
        <v>96</v>
      </c>
      <c r="E81">
        <v>0</v>
      </c>
      <c r="F81">
        <v>9</v>
      </c>
    </row>
    <row r="82" spans="1:6" x14ac:dyDescent="0.3">
      <c r="A82" t="s">
        <v>31</v>
      </c>
      <c r="B82" t="s">
        <v>87</v>
      </c>
      <c r="C82" t="s">
        <v>94</v>
      </c>
      <c r="D82" t="s">
        <v>97</v>
      </c>
      <c r="E82">
        <v>0</v>
      </c>
      <c r="F82">
        <v>27</v>
      </c>
    </row>
    <row r="83" spans="1:6" x14ac:dyDescent="0.3">
      <c r="A83" t="s">
        <v>31</v>
      </c>
      <c r="B83" t="s">
        <v>87</v>
      </c>
      <c r="C83" t="s">
        <v>98</v>
      </c>
      <c r="E83">
        <v>302</v>
      </c>
      <c r="F83">
        <v>26</v>
      </c>
    </row>
    <row r="84" spans="1:6" x14ac:dyDescent="0.3">
      <c r="A84" t="s">
        <v>31</v>
      </c>
      <c r="B84" t="s">
        <v>87</v>
      </c>
      <c r="C84" t="s">
        <v>99</v>
      </c>
      <c r="E84">
        <v>0</v>
      </c>
      <c r="F84">
        <v>4</v>
      </c>
    </row>
    <row r="85" spans="1:6" x14ac:dyDescent="0.3">
      <c r="A85" t="s">
        <v>31</v>
      </c>
      <c r="B85" t="s">
        <v>87</v>
      </c>
      <c r="E85">
        <v>5</v>
      </c>
      <c r="F85">
        <v>0</v>
      </c>
    </row>
    <row r="86" spans="1:6" x14ac:dyDescent="0.3">
      <c r="A86" t="s">
        <v>31</v>
      </c>
      <c r="B86" t="s">
        <v>100</v>
      </c>
      <c r="C86" t="s">
        <v>101</v>
      </c>
      <c r="D86" t="s">
        <v>102</v>
      </c>
      <c r="E86">
        <v>0</v>
      </c>
      <c r="F86">
        <v>1</v>
      </c>
    </row>
    <row r="87" spans="1:6" x14ac:dyDescent="0.3">
      <c r="A87" t="s">
        <v>31</v>
      </c>
      <c r="B87" t="s">
        <v>100</v>
      </c>
      <c r="C87" t="s">
        <v>101</v>
      </c>
      <c r="E87">
        <v>0</v>
      </c>
      <c r="F87">
        <v>2</v>
      </c>
    </row>
    <row r="88" spans="1:6" x14ac:dyDescent="0.3">
      <c r="A88" t="s">
        <v>31</v>
      </c>
      <c r="B88" t="s">
        <v>100</v>
      </c>
      <c r="C88" t="s">
        <v>103</v>
      </c>
      <c r="E88">
        <v>0</v>
      </c>
      <c r="F88">
        <v>6</v>
      </c>
    </row>
    <row r="89" spans="1:6" x14ac:dyDescent="0.3">
      <c r="A89" t="s">
        <v>31</v>
      </c>
      <c r="B89" t="s">
        <v>100</v>
      </c>
      <c r="C89" t="s">
        <v>104</v>
      </c>
      <c r="E89">
        <v>0</v>
      </c>
      <c r="F89">
        <v>1</v>
      </c>
    </row>
    <row r="90" spans="1:6" x14ac:dyDescent="0.3">
      <c r="A90" t="s">
        <v>31</v>
      </c>
      <c r="B90" t="s">
        <v>100</v>
      </c>
      <c r="C90" t="s">
        <v>105</v>
      </c>
      <c r="D90" t="s">
        <v>106</v>
      </c>
      <c r="E90">
        <v>0</v>
      </c>
      <c r="F90">
        <v>2</v>
      </c>
    </row>
    <row r="91" spans="1:6" x14ac:dyDescent="0.3">
      <c r="A91" t="s">
        <v>31</v>
      </c>
      <c r="B91" t="s">
        <v>100</v>
      </c>
      <c r="C91" t="s">
        <v>105</v>
      </c>
      <c r="D91" t="s">
        <v>107</v>
      </c>
      <c r="E91">
        <v>0</v>
      </c>
      <c r="F91">
        <v>2</v>
      </c>
    </row>
    <row r="92" spans="1:6" x14ac:dyDescent="0.3">
      <c r="A92" t="s">
        <v>31</v>
      </c>
      <c r="B92" t="s">
        <v>100</v>
      </c>
      <c r="C92" t="s">
        <v>105</v>
      </c>
      <c r="E92">
        <v>0</v>
      </c>
      <c r="F92">
        <v>1</v>
      </c>
    </row>
    <row r="93" spans="1:6" x14ac:dyDescent="0.3">
      <c r="A93" t="s">
        <v>31</v>
      </c>
      <c r="B93" t="s">
        <v>100</v>
      </c>
      <c r="C93" t="s">
        <v>108</v>
      </c>
      <c r="E93">
        <v>0</v>
      </c>
      <c r="F93">
        <v>5</v>
      </c>
    </row>
    <row r="94" spans="1:6" x14ac:dyDescent="0.3">
      <c r="A94" t="s">
        <v>31</v>
      </c>
      <c r="B94" t="s">
        <v>100</v>
      </c>
      <c r="C94" t="s">
        <v>109</v>
      </c>
      <c r="E94">
        <v>0</v>
      </c>
      <c r="F94">
        <v>4</v>
      </c>
    </row>
    <row r="95" spans="1:6" x14ac:dyDescent="0.3">
      <c r="A95" t="s">
        <v>31</v>
      </c>
      <c r="B95" t="s">
        <v>110</v>
      </c>
      <c r="C95" t="s">
        <v>111</v>
      </c>
      <c r="D95" t="s">
        <v>112</v>
      </c>
      <c r="E95">
        <v>0</v>
      </c>
      <c r="F95">
        <v>2</v>
      </c>
    </row>
    <row r="96" spans="1:6" x14ac:dyDescent="0.3">
      <c r="A96" t="s">
        <v>31</v>
      </c>
      <c r="B96" t="s">
        <v>113</v>
      </c>
      <c r="C96" t="s">
        <v>114</v>
      </c>
      <c r="E96">
        <v>1</v>
      </c>
      <c r="F96">
        <v>0</v>
      </c>
    </row>
    <row r="97" spans="1:6" x14ac:dyDescent="0.3">
      <c r="A97" t="s">
        <v>31</v>
      </c>
      <c r="B97" t="s">
        <v>115</v>
      </c>
      <c r="C97" t="s">
        <v>116</v>
      </c>
      <c r="E97">
        <v>0</v>
      </c>
      <c r="F97">
        <v>0</v>
      </c>
    </row>
    <row r="98" spans="1:6" x14ac:dyDescent="0.3">
      <c r="A98" t="s">
        <v>31</v>
      </c>
      <c r="B98" t="s">
        <v>117</v>
      </c>
      <c r="C98" t="s">
        <v>118</v>
      </c>
      <c r="E98">
        <v>26</v>
      </c>
      <c r="F98">
        <v>0</v>
      </c>
    </row>
    <row r="99" spans="1:6" x14ac:dyDescent="0.3">
      <c r="A99" t="s">
        <v>31</v>
      </c>
      <c r="B99" t="s">
        <v>119</v>
      </c>
      <c r="C99" t="s">
        <v>120</v>
      </c>
      <c r="D99" t="s">
        <v>121</v>
      </c>
      <c r="E99">
        <v>5</v>
      </c>
      <c r="F99">
        <v>0</v>
      </c>
    </row>
    <row r="100" spans="1:6" x14ac:dyDescent="0.3">
      <c r="A100" t="s">
        <v>31</v>
      </c>
      <c r="B100" t="s">
        <v>119</v>
      </c>
      <c r="C100" t="s">
        <v>120</v>
      </c>
      <c r="E100">
        <v>172</v>
      </c>
      <c r="F100">
        <v>0</v>
      </c>
    </row>
    <row r="101" spans="1:6" x14ac:dyDescent="0.3">
      <c r="A101" t="s">
        <v>31</v>
      </c>
      <c r="B101" t="s">
        <v>119</v>
      </c>
      <c r="C101" t="s">
        <v>122</v>
      </c>
      <c r="E101">
        <v>1</v>
      </c>
      <c r="F101">
        <v>0</v>
      </c>
    </row>
    <row r="102" spans="1:6" x14ac:dyDescent="0.3">
      <c r="A102" t="s">
        <v>31</v>
      </c>
      <c r="B102" t="s">
        <v>119</v>
      </c>
      <c r="E102">
        <v>26</v>
      </c>
      <c r="F102">
        <v>0</v>
      </c>
    </row>
    <row r="103" spans="1:6" x14ac:dyDescent="0.3">
      <c r="A103" t="s">
        <v>123</v>
      </c>
      <c r="E103">
        <v>1</v>
      </c>
      <c r="F103">
        <v>62</v>
      </c>
    </row>
    <row r="104" spans="1:6" x14ac:dyDescent="0.3">
      <c r="A104" t="s">
        <v>124</v>
      </c>
      <c r="B104" t="s">
        <v>125</v>
      </c>
      <c r="C104" t="s">
        <v>126</v>
      </c>
      <c r="D104" t="s">
        <v>127</v>
      </c>
      <c r="E104">
        <v>8</v>
      </c>
      <c r="F104">
        <v>0</v>
      </c>
    </row>
    <row r="105" spans="1:6" x14ac:dyDescent="0.3">
      <c r="A105" t="s">
        <v>124</v>
      </c>
      <c r="B105" t="s">
        <v>125</v>
      </c>
      <c r="E105">
        <v>1</v>
      </c>
      <c r="F105">
        <v>0</v>
      </c>
    </row>
    <row r="106" spans="1:6" x14ac:dyDescent="0.3">
      <c r="A106" t="s">
        <v>124</v>
      </c>
      <c r="B106" t="s">
        <v>128</v>
      </c>
      <c r="C106" t="s">
        <v>129</v>
      </c>
      <c r="D106" t="s">
        <v>130</v>
      </c>
      <c r="E106">
        <v>1</v>
      </c>
      <c r="F106">
        <v>0</v>
      </c>
    </row>
    <row r="107" spans="1:6" x14ac:dyDescent="0.3">
      <c r="A107" t="s">
        <v>124</v>
      </c>
      <c r="B107" t="s">
        <v>131</v>
      </c>
      <c r="C107" t="s">
        <v>132</v>
      </c>
      <c r="D107" t="s">
        <v>133</v>
      </c>
      <c r="E107">
        <v>1</v>
      </c>
      <c r="F107">
        <v>0</v>
      </c>
    </row>
    <row r="108" spans="1:6" x14ac:dyDescent="0.3">
      <c r="A108" t="s">
        <v>124</v>
      </c>
      <c r="B108" t="s">
        <v>131</v>
      </c>
      <c r="C108" t="s">
        <v>134</v>
      </c>
      <c r="D108" t="s">
        <v>135</v>
      </c>
      <c r="E108">
        <v>3</v>
      </c>
      <c r="F108">
        <v>0</v>
      </c>
    </row>
    <row r="109" spans="1:6" x14ac:dyDescent="0.3">
      <c r="A109" t="s">
        <v>124</v>
      </c>
      <c r="B109" t="s">
        <v>131</v>
      </c>
      <c r="C109" t="s">
        <v>136</v>
      </c>
      <c r="D109" t="s">
        <v>137</v>
      </c>
      <c r="E109">
        <v>2</v>
      </c>
      <c r="F109">
        <v>0</v>
      </c>
    </row>
    <row r="110" spans="1:6" x14ac:dyDescent="0.3">
      <c r="A110" t="s">
        <v>124</v>
      </c>
      <c r="B110" t="s">
        <v>138</v>
      </c>
      <c r="C110" t="s">
        <v>139</v>
      </c>
      <c r="D110" t="s">
        <v>140</v>
      </c>
      <c r="E110">
        <v>1</v>
      </c>
      <c r="F110">
        <v>0</v>
      </c>
    </row>
    <row r="111" spans="1:6" x14ac:dyDescent="0.3">
      <c r="A111" t="s">
        <v>141</v>
      </c>
      <c r="E111">
        <v>1</v>
      </c>
      <c r="F11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years</vt:lpstr>
      <vt:lpstr>2024 Pivot</vt:lpstr>
      <vt:lpstr>2019-2022 pivot</vt:lpstr>
      <vt:lpstr>Table 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2025-08-11T15:16:11Z</dcterms:created>
  <dcterms:modified xsi:type="dcterms:W3CDTF">2025-08-16T18:24:32Z</dcterms:modified>
</cp:coreProperties>
</file>