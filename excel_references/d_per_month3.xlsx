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2024 Semester 1\Jude Ogden\Hydrangea_code\backup data\"/>
    </mc:Choice>
  </mc:AlternateContent>
  <xr:revisionPtr revIDLastSave="0" documentId="13_ncr:9_{56A71A4B-E306-467E-82B3-0003E17BB6CA}" xr6:coauthVersionLast="47" xr6:coauthVersionMax="47" xr10:uidLastSave="{00000000-0000-0000-0000-000000000000}"/>
  <bookViews>
    <workbookView xWindow="3690" yWindow="1300" windowWidth="17060" windowHeight="9250" xr2:uid="{3FB4EC86-C07A-4AC8-9192-05C878E5D6F6}"/>
  </bookViews>
  <sheets>
    <sheet name="d_per_month2" sheetId="1" r:id="rId1"/>
    <sheet name="VlookUp" sheetId="2" r:id="rId2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2" i="1"/>
</calcChain>
</file>

<file path=xl/sharedStrings.xml><?xml version="1.0" encoding="utf-8"?>
<sst xmlns="http://schemas.openxmlformats.org/spreadsheetml/2006/main" count="692" uniqueCount="103">
  <si>
    <t>Trademark.Cultivar</t>
  </si>
  <si>
    <t>Month</t>
  </si>
  <si>
    <t>species1</t>
  </si>
  <si>
    <t>days</t>
  </si>
  <si>
    <t>Color</t>
  </si>
  <si>
    <t>EYB_Inflorescence.Type</t>
  </si>
  <si>
    <t>Baby Lace</t>
  </si>
  <si>
    <t>August</t>
  </si>
  <si>
    <t>Apis_mellifera</t>
  </si>
  <si>
    <t>White</t>
  </si>
  <si>
    <t>Open</t>
  </si>
  <si>
    <t>September</t>
  </si>
  <si>
    <t>October</t>
  </si>
  <si>
    <t>Bombus_impatiens</t>
  </si>
  <si>
    <t>Brussels Lace</t>
  </si>
  <si>
    <t>Lepidoptera</t>
  </si>
  <si>
    <t>Dharuma</t>
  </si>
  <si>
    <t>July</t>
  </si>
  <si>
    <t>Diptera</t>
  </si>
  <si>
    <t>Fire &amp; Ice</t>
  </si>
  <si>
    <t>Wasp</t>
  </si>
  <si>
    <t>Pink-white</t>
  </si>
  <si>
    <t>Floribunda</t>
  </si>
  <si>
    <t>Syrphidae</t>
  </si>
  <si>
    <t>Great Star</t>
  </si>
  <si>
    <t>Green Spire</t>
  </si>
  <si>
    <t>Green-white</t>
  </si>
  <si>
    <t>Honey Comb</t>
  </si>
  <si>
    <t>Kyushu</t>
  </si>
  <si>
    <t>Little Quick Fire</t>
  </si>
  <si>
    <t>Pink</t>
  </si>
  <si>
    <t>Pink Diamond</t>
  </si>
  <si>
    <t>Quick Fire</t>
  </si>
  <si>
    <t>Coleoptera</t>
  </si>
  <si>
    <t>Strawberry Sundae</t>
  </si>
  <si>
    <t>Daimond Rogue</t>
  </si>
  <si>
    <t>Half-open</t>
  </si>
  <si>
    <t>Mega Pearl</t>
  </si>
  <si>
    <t>Phantom</t>
  </si>
  <si>
    <t>Pinky Winky</t>
  </si>
  <si>
    <t>Ruby</t>
  </si>
  <si>
    <t>Tickled Pink</t>
  </si>
  <si>
    <t>White Diamonds</t>
  </si>
  <si>
    <t>Big Ben</t>
  </si>
  <si>
    <t>Dense</t>
  </si>
  <si>
    <t>Dolly</t>
  </si>
  <si>
    <t>Fire Light</t>
  </si>
  <si>
    <t>Agapostemon</t>
  </si>
  <si>
    <t>Mega Mindy</t>
  </si>
  <si>
    <t>Pink Lady</t>
  </si>
  <si>
    <t>Silver Dollar</t>
  </si>
  <si>
    <t>Sweet Summer</t>
  </si>
  <si>
    <t>Vanilla Strawberry</t>
  </si>
  <si>
    <t>Andrena_milwaukeensis</t>
  </si>
  <si>
    <t>Very dense</t>
  </si>
  <si>
    <t>Limelight</t>
  </si>
  <si>
    <t>Bombus_bimaculatus</t>
  </si>
  <si>
    <t>Little Lamb</t>
  </si>
  <si>
    <t>Bombus_citrinus</t>
  </si>
  <si>
    <t>Little Lime</t>
  </si>
  <si>
    <t>Pillow Talk</t>
  </si>
  <si>
    <t>Polar Ball</t>
  </si>
  <si>
    <t>Strawberry Shake</t>
  </si>
  <si>
    <t>Cultivar</t>
  </si>
  <si>
    <t>Species</t>
  </si>
  <si>
    <t>Flower Type</t>
  </si>
  <si>
    <t>Inflorescence Type</t>
  </si>
  <si>
    <t>Hydrangea paniculata</t>
  </si>
  <si>
    <t>Mop-like panicle</t>
  </si>
  <si>
    <t>Lacy panicle</t>
  </si>
  <si>
    <t>Candy Apple</t>
  </si>
  <si>
    <t>Unique</t>
  </si>
  <si>
    <t>Zinfin Doll</t>
  </si>
  <si>
    <t>Bobo</t>
  </si>
  <si>
    <t>Limelight Prime</t>
  </si>
  <si>
    <t>Quick Fire Fabulous</t>
  </si>
  <si>
    <t>Little Lime Punch</t>
  </si>
  <si>
    <t>Early Evolution</t>
  </si>
  <si>
    <t>Berry White</t>
  </si>
  <si>
    <t>White Moth</t>
  </si>
  <si>
    <t>Late</t>
  </si>
  <si>
    <t>Puffer Fish</t>
  </si>
  <si>
    <t>Invincibelle Spirit II</t>
  </si>
  <si>
    <t>Hydrangea arborescens</t>
  </si>
  <si>
    <t>Mop</t>
  </si>
  <si>
    <t>Bounty</t>
  </si>
  <si>
    <t>Hayes Starburst</t>
  </si>
  <si>
    <t>Annabelle</t>
  </si>
  <si>
    <t>Riven Lace</t>
  </si>
  <si>
    <t>Lacy</t>
  </si>
  <si>
    <t>Invincibelle Wee White</t>
  </si>
  <si>
    <t>Ryan Gainey</t>
  </si>
  <si>
    <t>INCREDIBALL</t>
  </si>
  <si>
    <t>Seaside Serenade Bar Harbor</t>
  </si>
  <si>
    <t>Invincibelle Mini Mauvette</t>
  </si>
  <si>
    <t>Silver Leaf</t>
  </si>
  <si>
    <t>LIME RICKEY</t>
  </si>
  <si>
    <t>Haas Halo</t>
  </si>
  <si>
    <t>BELLA ANNA</t>
  </si>
  <si>
    <t>Pink Pincushion</t>
  </si>
  <si>
    <t>Incrediball Blush</t>
  </si>
  <si>
    <t>Invincibelle Ruby</t>
  </si>
  <si>
    <t>WHITE DOME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</si>
</sst>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07B1-61AD-4A86-9D59-6ED65D8DB410}">
  <dimension ref="A1:H86"/>
  <sheetViews>
    <sheetView tabSelected="1" workbookViewId="0">
      <selection activeCell="I4" sqref="I4"/>
    </sheetView>
  </sheetViews>
  <sheetFormatPr defaultRowHeight="14.5" x14ac:dyDescent="0.35"/>
  <sheetData>
    <row r="1" spans="1:8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65</v>
      </c>
    </row>
    <row r="2" spans="1:8" x14ac:dyDescent="0.3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  <c r="G2" t="s">
        <v>10</v>
      </c>
      <c r="H2" t="str">
        <f>VLOOKUP($B2,VlookUp!$A$2:$D$65,3,0)</f>
        <v>Lacy panicle</v>
      </c>
    </row>
    <row r="3" spans="1:8" x14ac:dyDescent="0.35">
      <c r="A3">
        <v>2</v>
      </c>
      <c r="B3" t="s">
        <v>6</v>
      </c>
      <c r="C3" t="s">
        <v>11</v>
      </c>
      <c r="D3" t="s">
        <v>8</v>
      </c>
      <c r="E3">
        <v>8</v>
      </c>
      <c r="F3" t="s">
        <v>9</v>
      </c>
      <c r="G3" t="s">
        <v>10</v>
      </c>
      <c r="H3" t="str">
        <f>VLOOKUP($B3,VlookUp!$A$2:$D$65,3,0)</f>
        <v>Lacy panicle</v>
      </c>
    </row>
    <row r="4" spans="1:8" x14ac:dyDescent="0.35">
      <c r="A4">
        <v>3</v>
      </c>
      <c r="B4" t="s">
        <v>6</v>
      </c>
      <c r="C4" t="s">
        <v>12</v>
      </c>
      <c r="D4" t="s">
        <v>13</v>
      </c>
      <c r="E4">
        <v>1</v>
      </c>
      <c r="F4" t="s">
        <v>9</v>
      </c>
      <c r="G4" t="s">
        <v>10</v>
      </c>
      <c r="H4" t="str">
        <f>VLOOKUP($B4,VlookUp!$A$2:$D$65,3,0)</f>
        <v>Lacy panicle</v>
      </c>
    </row>
    <row r="5" spans="1:8" x14ac:dyDescent="0.35">
      <c r="A5">
        <v>4</v>
      </c>
      <c r="B5" t="s">
        <v>14</v>
      </c>
      <c r="C5" t="s">
        <v>7</v>
      </c>
      <c r="D5" t="s">
        <v>8</v>
      </c>
      <c r="E5">
        <v>11</v>
      </c>
      <c r="F5" t="s">
        <v>9</v>
      </c>
      <c r="G5" t="s">
        <v>10</v>
      </c>
      <c r="H5" t="str">
        <f>VLOOKUP($B5,VlookUp!$A$2:$D$65,3,0)</f>
        <v>Lacy panicle</v>
      </c>
    </row>
    <row r="6" spans="1:8" x14ac:dyDescent="0.35">
      <c r="A6">
        <v>5</v>
      </c>
      <c r="B6" t="s">
        <v>14</v>
      </c>
      <c r="C6" t="s">
        <v>11</v>
      </c>
      <c r="D6" t="s">
        <v>8</v>
      </c>
      <c r="E6">
        <v>6</v>
      </c>
      <c r="F6" t="s">
        <v>9</v>
      </c>
      <c r="G6" t="s">
        <v>10</v>
      </c>
      <c r="H6" t="str">
        <f>VLOOKUP($B6,VlookUp!$A$2:$D$65,3,0)</f>
        <v>Lacy panicle</v>
      </c>
    </row>
    <row r="7" spans="1:8" x14ac:dyDescent="0.35">
      <c r="A7">
        <v>6</v>
      </c>
      <c r="B7" t="s">
        <v>14</v>
      </c>
      <c r="C7" t="s">
        <v>12</v>
      </c>
      <c r="D7" t="s">
        <v>15</v>
      </c>
      <c r="E7">
        <v>2</v>
      </c>
      <c r="F7" t="s">
        <v>9</v>
      </c>
      <c r="G7" t="s">
        <v>10</v>
      </c>
      <c r="H7" t="str">
        <f>VLOOKUP($B7,VlookUp!$A$2:$D$65,3,0)</f>
        <v>Lacy panicle</v>
      </c>
    </row>
    <row r="8" spans="1:8" x14ac:dyDescent="0.35">
      <c r="A8">
        <v>7</v>
      </c>
      <c r="B8" t="s">
        <v>16</v>
      </c>
      <c r="C8" t="s">
        <v>17</v>
      </c>
      <c r="D8" t="s">
        <v>18</v>
      </c>
      <c r="E8">
        <v>11</v>
      </c>
      <c r="F8" t="s">
        <v>9</v>
      </c>
      <c r="G8" t="s">
        <v>10</v>
      </c>
      <c r="H8" t="str">
        <f>VLOOKUP($B8,VlookUp!$A$2:$D$65,3,0)</f>
        <v>Lacy panicle</v>
      </c>
    </row>
    <row r="9" spans="1:8" x14ac:dyDescent="0.35">
      <c r="A9">
        <v>8</v>
      </c>
      <c r="B9" t="s">
        <v>16</v>
      </c>
      <c r="C9" t="s">
        <v>7</v>
      </c>
      <c r="D9" t="s">
        <v>8</v>
      </c>
      <c r="E9">
        <v>1</v>
      </c>
      <c r="F9" t="s">
        <v>9</v>
      </c>
      <c r="G9" t="s">
        <v>10</v>
      </c>
      <c r="H9" t="str">
        <f>VLOOKUP($B9,VlookUp!$A$2:$D$65,3,0)</f>
        <v>Lacy panicle</v>
      </c>
    </row>
    <row r="10" spans="1:8" x14ac:dyDescent="0.35">
      <c r="A10">
        <v>9</v>
      </c>
      <c r="B10" t="s">
        <v>19</v>
      </c>
      <c r="C10" t="s">
        <v>17</v>
      </c>
      <c r="D10" t="s">
        <v>20</v>
      </c>
      <c r="E10">
        <v>6</v>
      </c>
      <c r="F10" t="s">
        <v>21</v>
      </c>
      <c r="G10" t="s">
        <v>10</v>
      </c>
      <c r="H10" t="str">
        <f>VLOOKUP($B10,VlookUp!$A$2:$D$65,3,0)</f>
        <v>Lacy panicle</v>
      </c>
    </row>
    <row r="11" spans="1:8" x14ac:dyDescent="0.35">
      <c r="A11">
        <v>10</v>
      </c>
      <c r="B11" t="s">
        <v>19</v>
      </c>
      <c r="C11" t="s">
        <v>7</v>
      </c>
      <c r="D11" t="s">
        <v>8</v>
      </c>
      <c r="E11">
        <v>2</v>
      </c>
      <c r="F11" t="s">
        <v>21</v>
      </c>
      <c r="G11" t="s">
        <v>10</v>
      </c>
      <c r="H11" t="str">
        <f>VLOOKUP($B11,VlookUp!$A$2:$D$65,3,0)</f>
        <v>Lacy panicle</v>
      </c>
    </row>
    <row r="12" spans="1:8" x14ac:dyDescent="0.35">
      <c r="A12">
        <v>11</v>
      </c>
      <c r="B12" t="s">
        <v>22</v>
      </c>
      <c r="C12" t="s">
        <v>7</v>
      </c>
      <c r="D12" t="s">
        <v>8</v>
      </c>
      <c r="E12">
        <v>8</v>
      </c>
      <c r="F12" t="s">
        <v>9</v>
      </c>
      <c r="G12" t="s">
        <v>10</v>
      </c>
      <c r="H12" t="str">
        <f>VLOOKUP($B12,VlookUp!$A$2:$D$65,3,0)</f>
        <v>Lacy panicle</v>
      </c>
    </row>
    <row r="13" spans="1:8" x14ac:dyDescent="0.35">
      <c r="A13">
        <v>12</v>
      </c>
      <c r="B13" t="s">
        <v>22</v>
      </c>
      <c r="C13" t="s">
        <v>11</v>
      </c>
      <c r="D13" t="s">
        <v>23</v>
      </c>
      <c r="E13">
        <v>8</v>
      </c>
      <c r="F13" t="s">
        <v>9</v>
      </c>
      <c r="G13" t="s">
        <v>10</v>
      </c>
      <c r="H13" t="str">
        <f>VLOOKUP($B13,VlookUp!$A$2:$D$65,3,0)</f>
        <v>Lacy panicle</v>
      </c>
    </row>
    <row r="14" spans="1:8" x14ac:dyDescent="0.35">
      <c r="A14">
        <v>13</v>
      </c>
      <c r="B14" t="s">
        <v>22</v>
      </c>
      <c r="C14" t="s">
        <v>12</v>
      </c>
      <c r="D14" t="s">
        <v>8</v>
      </c>
      <c r="E14">
        <v>3</v>
      </c>
      <c r="F14" t="s">
        <v>9</v>
      </c>
      <c r="G14" t="s">
        <v>10</v>
      </c>
      <c r="H14" t="str">
        <f>VLOOKUP($B14,VlookUp!$A$2:$D$65,3,0)</f>
        <v>Lacy panicle</v>
      </c>
    </row>
    <row r="15" spans="1:8" x14ac:dyDescent="0.35">
      <c r="A15">
        <v>14</v>
      </c>
      <c r="B15" t="s">
        <v>24</v>
      </c>
      <c r="C15" t="s">
        <v>12</v>
      </c>
      <c r="D15" t="s">
        <v>23</v>
      </c>
      <c r="E15">
        <v>5</v>
      </c>
      <c r="F15" t="s">
        <v>9</v>
      </c>
      <c r="G15" t="s">
        <v>10</v>
      </c>
      <c r="H15" t="str">
        <f>VLOOKUP($B15,VlookUp!$A$2:$D$65,3,0)</f>
        <v>Lacy panicle</v>
      </c>
    </row>
    <row r="16" spans="1:8" x14ac:dyDescent="0.35">
      <c r="A16">
        <v>15</v>
      </c>
      <c r="B16" t="s">
        <v>25</v>
      </c>
      <c r="C16" t="s">
        <v>7</v>
      </c>
      <c r="D16" t="s">
        <v>8</v>
      </c>
      <c r="E16">
        <v>10</v>
      </c>
      <c r="F16" t="s">
        <v>26</v>
      </c>
      <c r="G16" t="s">
        <v>10</v>
      </c>
      <c r="H16" t="str">
        <f>VLOOKUP($B16,VlookUp!$A$2:$D$65,3,0)</f>
        <v>Lacy panicle</v>
      </c>
    </row>
    <row r="17" spans="1:8" x14ac:dyDescent="0.35">
      <c r="A17">
        <v>16</v>
      </c>
      <c r="B17" t="s">
        <v>25</v>
      </c>
      <c r="C17" t="s">
        <v>11</v>
      </c>
      <c r="D17" t="s">
        <v>8</v>
      </c>
      <c r="E17">
        <v>10</v>
      </c>
      <c r="F17" t="s">
        <v>26</v>
      </c>
      <c r="G17" t="s">
        <v>10</v>
      </c>
      <c r="H17" t="str">
        <f>VLOOKUP($B17,VlookUp!$A$2:$D$65,3,0)</f>
        <v>Lacy panicle</v>
      </c>
    </row>
    <row r="18" spans="1:8" x14ac:dyDescent="0.35">
      <c r="A18">
        <v>17</v>
      </c>
      <c r="B18" t="s">
        <v>25</v>
      </c>
      <c r="C18" t="s">
        <v>12</v>
      </c>
      <c r="D18" t="s">
        <v>20</v>
      </c>
      <c r="E18">
        <v>3</v>
      </c>
      <c r="F18" t="s">
        <v>26</v>
      </c>
      <c r="G18" t="s">
        <v>10</v>
      </c>
      <c r="H18" t="str">
        <f>VLOOKUP($B18,VlookUp!$A$2:$D$65,3,0)</f>
        <v>Lacy panicle</v>
      </c>
    </row>
    <row r="19" spans="1:8" x14ac:dyDescent="0.35">
      <c r="A19">
        <v>18</v>
      </c>
      <c r="B19" t="s">
        <v>27</v>
      </c>
      <c r="C19" t="s">
        <v>7</v>
      </c>
      <c r="D19" t="s">
        <v>8</v>
      </c>
      <c r="E19">
        <v>12</v>
      </c>
      <c r="F19" t="s">
        <v>9</v>
      </c>
      <c r="G19" t="s">
        <v>10</v>
      </c>
      <c r="H19" t="str">
        <f>VLOOKUP($B19,VlookUp!$A$2:$D$65,3,0)</f>
        <v>Lacy panicle</v>
      </c>
    </row>
    <row r="20" spans="1:8" x14ac:dyDescent="0.35">
      <c r="A20">
        <v>19</v>
      </c>
      <c r="B20" t="s">
        <v>27</v>
      </c>
      <c r="C20" t="s">
        <v>11</v>
      </c>
      <c r="D20" t="s">
        <v>13</v>
      </c>
      <c r="E20">
        <v>3</v>
      </c>
      <c r="F20" t="s">
        <v>9</v>
      </c>
      <c r="G20" t="s">
        <v>10</v>
      </c>
      <c r="H20" t="str">
        <f>VLOOKUP($B20,VlookUp!$A$2:$D$65,3,0)</f>
        <v>Lacy panicle</v>
      </c>
    </row>
    <row r="21" spans="1:8" x14ac:dyDescent="0.35">
      <c r="A21">
        <v>20</v>
      </c>
      <c r="B21" t="s">
        <v>27</v>
      </c>
      <c r="C21" t="s">
        <v>12</v>
      </c>
      <c r="D21" t="s">
        <v>13</v>
      </c>
      <c r="E21">
        <v>1</v>
      </c>
      <c r="F21" t="s">
        <v>9</v>
      </c>
      <c r="G21" t="s">
        <v>10</v>
      </c>
      <c r="H21" t="str">
        <f>VLOOKUP($B21,VlookUp!$A$2:$D$65,3,0)</f>
        <v>Lacy panicle</v>
      </c>
    </row>
    <row r="22" spans="1:8" x14ac:dyDescent="0.35">
      <c r="A22">
        <v>21</v>
      </c>
      <c r="B22" t="s">
        <v>28</v>
      </c>
      <c r="C22" t="s">
        <v>7</v>
      </c>
      <c r="D22" t="s">
        <v>8</v>
      </c>
      <c r="E22">
        <v>5</v>
      </c>
      <c r="F22" t="s">
        <v>9</v>
      </c>
      <c r="G22" t="s">
        <v>10</v>
      </c>
      <c r="H22" t="str">
        <f>VLOOKUP($B22,VlookUp!$A$2:$D$65,3,0)</f>
        <v>Lacy panicle</v>
      </c>
    </row>
    <row r="23" spans="1:8" x14ac:dyDescent="0.35">
      <c r="A23">
        <v>22</v>
      </c>
      <c r="B23" t="s">
        <v>28</v>
      </c>
      <c r="C23" t="s">
        <v>11</v>
      </c>
      <c r="D23" t="s">
        <v>8</v>
      </c>
      <c r="E23">
        <v>9</v>
      </c>
      <c r="F23" t="s">
        <v>9</v>
      </c>
      <c r="G23" t="s">
        <v>10</v>
      </c>
      <c r="H23" t="str">
        <f>VLOOKUP($B23,VlookUp!$A$2:$D$65,3,0)</f>
        <v>Lacy panicle</v>
      </c>
    </row>
    <row r="24" spans="1:8" x14ac:dyDescent="0.35">
      <c r="A24">
        <v>23</v>
      </c>
      <c r="B24" t="s">
        <v>28</v>
      </c>
      <c r="C24" t="s">
        <v>12</v>
      </c>
      <c r="D24" t="s">
        <v>8</v>
      </c>
      <c r="E24">
        <v>5</v>
      </c>
      <c r="F24" t="s">
        <v>9</v>
      </c>
      <c r="G24" t="s">
        <v>10</v>
      </c>
      <c r="H24" t="str">
        <f>VLOOKUP($B24,VlookUp!$A$2:$D$65,3,0)</f>
        <v>Lacy panicle</v>
      </c>
    </row>
    <row r="25" spans="1:8" x14ac:dyDescent="0.35">
      <c r="A25">
        <v>24</v>
      </c>
      <c r="B25" t="s">
        <v>29</v>
      </c>
      <c r="C25" t="s">
        <v>17</v>
      </c>
      <c r="D25" t="s">
        <v>18</v>
      </c>
      <c r="E25">
        <v>2</v>
      </c>
      <c r="F25" t="s">
        <v>30</v>
      </c>
      <c r="G25" t="s">
        <v>10</v>
      </c>
      <c r="H25" t="str">
        <f>VLOOKUP($B25,VlookUp!$A$2:$D$65,3,0)</f>
        <v>Lacy panicle</v>
      </c>
    </row>
    <row r="26" spans="1:8" x14ac:dyDescent="0.35">
      <c r="A26">
        <v>25</v>
      </c>
      <c r="B26" t="s">
        <v>29</v>
      </c>
      <c r="C26" t="s">
        <v>7</v>
      </c>
      <c r="D26" t="s">
        <v>8</v>
      </c>
      <c r="E26">
        <v>5</v>
      </c>
      <c r="F26" t="s">
        <v>30</v>
      </c>
      <c r="G26" t="s">
        <v>10</v>
      </c>
      <c r="H26" t="str">
        <f>VLOOKUP($B26,VlookUp!$A$2:$D$65,3,0)</f>
        <v>Lacy panicle</v>
      </c>
    </row>
    <row r="27" spans="1:8" x14ac:dyDescent="0.35">
      <c r="A27">
        <v>26</v>
      </c>
      <c r="B27" t="s">
        <v>29</v>
      </c>
      <c r="C27" t="s">
        <v>11</v>
      </c>
      <c r="D27" t="s">
        <v>23</v>
      </c>
      <c r="E27">
        <v>3</v>
      </c>
      <c r="F27" t="s">
        <v>30</v>
      </c>
      <c r="G27" t="s">
        <v>10</v>
      </c>
      <c r="H27" t="str">
        <f>VLOOKUP($B27,VlookUp!$A$2:$D$65,3,0)</f>
        <v>Lacy panicle</v>
      </c>
    </row>
    <row r="28" spans="1:8" x14ac:dyDescent="0.35">
      <c r="A28">
        <v>27</v>
      </c>
      <c r="B28" t="s">
        <v>29</v>
      </c>
      <c r="C28" t="s">
        <v>12</v>
      </c>
      <c r="D28" t="s">
        <v>23</v>
      </c>
      <c r="E28">
        <v>2</v>
      </c>
      <c r="F28" t="s">
        <v>30</v>
      </c>
      <c r="G28" t="s">
        <v>10</v>
      </c>
      <c r="H28" t="str">
        <f>VLOOKUP($B28,VlookUp!$A$2:$D$65,3,0)</f>
        <v>Lacy panicle</v>
      </c>
    </row>
    <row r="29" spans="1:8" x14ac:dyDescent="0.35">
      <c r="A29">
        <v>28</v>
      </c>
      <c r="B29" t="s">
        <v>31</v>
      </c>
      <c r="C29" t="s">
        <v>7</v>
      </c>
      <c r="D29" t="s">
        <v>8</v>
      </c>
      <c r="E29">
        <v>12</v>
      </c>
      <c r="F29" t="s">
        <v>30</v>
      </c>
      <c r="G29" t="s">
        <v>10</v>
      </c>
      <c r="H29" t="str">
        <f>VLOOKUP($B29,VlookUp!$A$2:$D$65,3,0)</f>
        <v>Lacy panicle</v>
      </c>
    </row>
    <row r="30" spans="1:8" x14ac:dyDescent="0.35">
      <c r="A30">
        <v>29</v>
      </c>
      <c r="B30" t="s">
        <v>31</v>
      </c>
      <c r="C30" t="s">
        <v>11</v>
      </c>
      <c r="D30" t="s">
        <v>8</v>
      </c>
      <c r="E30">
        <v>4</v>
      </c>
      <c r="F30" t="s">
        <v>30</v>
      </c>
      <c r="G30" t="s">
        <v>10</v>
      </c>
      <c r="H30" t="str">
        <f>VLOOKUP($B30,VlookUp!$A$2:$D$65,3,0)</f>
        <v>Lacy panicle</v>
      </c>
    </row>
    <row r="31" spans="1:8" x14ac:dyDescent="0.35">
      <c r="A31">
        <v>30</v>
      </c>
      <c r="B31" t="s">
        <v>32</v>
      </c>
      <c r="C31" t="s">
        <v>17</v>
      </c>
      <c r="D31" t="s">
        <v>33</v>
      </c>
      <c r="E31">
        <v>11</v>
      </c>
      <c r="F31" t="s">
        <v>30</v>
      </c>
      <c r="G31" t="s">
        <v>10</v>
      </c>
      <c r="H31" t="str">
        <f>VLOOKUP($B31,VlookUp!$A$2:$D$65,3,0)</f>
        <v>Lacy panicle</v>
      </c>
    </row>
    <row r="32" spans="1:8" x14ac:dyDescent="0.35">
      <c r="A32">
        <v>31</v>
      </c>
      <c r="B32" t="s">
        <v>32</v>
      </c>
      <c r="C32" t="s">
        <v>7</v>
      </c>
      <c r="D32" t="s">
        <v>20</v>
      </c>
      <c r="E32">
        <v>11</v>
      </c>
      <c r="F32" t="s">
        <v>30</v>
      </c>
      <c r="G32" t="s">
        <v>10</v>
      </c>
      <c r="H32" t="str">
        <f>VLOOKUP($B32,VlookUp!$A$2:$D$65,3,0)</f>
        <v>Lacy panicle</v>
      </c>
    </row>
    <row r="33" spans="1:8" x14ac:dyDescent="0.35">
      <c r="A33">
        <v>32</v>
      </c>
      <c r="B33" t="s">
        <v>32</v>
      </c>
      <c r="C33" t="s">
        <v>11</v>
      </c>
      <c r="D33" t="s">
        <v>8</v>
      </c>
      <c r="E33">
        <v>7</v>
      </c>
      <c r="F33" t="s">
        <v>30</v>
      </c>
      <c r="G33" t="s">
        <v>10</v>
      </c>
      <c r="H33" t="str">
        <f>VLOOKUP($B33,VlookUp!$A$2:$D$65,3,0)</f>
        <v>Lacy panicle</v>
      </c>
    </row>
    <row r="34" spans="1:8" x14ac:dyDescent="0.35">
      <c r="A34">
        <v>33</v>
      </c>
      <c r="B34" t="s">
        <v>32</v>
      </c>
      <c r="C34" t="s">
        <v>12</v>
      </c>
      <c r="D34" t="s">
        <v>23</v>
      </c>
      <c r="E34">
        <v>4</v>
      </c>
      <c r="F34" t="s">
        <v>30</v>
      </c>
      <c r="G34" t="s">
        <v>10</v>
      </c>
      <c r="H34" t="str">
        <f>VLOOKUP($B34,VlookUp!$A$2:$D$65,3,0)</f>
        <v>Lacy panicle</v>
      </c>
    </row>
    <row r="35" spans="1:8" x14ac:dyDescent="0.35">
      <c r="A35">
        <v>34</v>
      </c>
      <c r="B35" t="s">
        <v>34</v>
      </c>
      <c r="C35" t="s">
        <v>7</v>
      </c>
      <c r="D35" t="s">
        <v>15</v>
      </c>
      <c r="E35">
        <v>1</v>
      </c>
      <c r="F35" t="s">
        <v>21</v>
      </c>
      <c r="G35" t="s">
        <v>10</v>
      </c>
      <c r="H35" t="str">
        <f>VLOOKUP($B35,VlookUp!$A$2:$D$65,3,0)</f>
        <v>Mop-like panicle</v>
      </c>
    </row>
    <row r="36" spans="1:8" x14ac:dyDescent="0.35">
      <c r="A36">
        <v>35</v>
      </c>
      <c r="B36" t="s">
        <v>35</v>
      </c>
      <c r="C36" t="s">
        <v>17</v>
      </c>
      <c r="D36" t="s">
        <v>33</v>
      </c>
      <c r="E36">
        <v>4</v>
      </c>
      <c r="F36" t="s">
        <v>21</v>
      </c>
      <c r="G36" t="s">
        <v>36</v>
      </c>
      <c r="H36" t="str">
        <f>VLOOKUP($B36,VlookUp!$A$2:$D$65,3,0)</f>
        <v>Mop-like panicle</v>
      </c>
    </row>
    <row r="37" spans="1:8" x14ac:dyDescent="0.35">
      <c r="A37">
        <v>36</v>
      </c>
      <c r="B37" t="s">
        <v>35</v>
      </c>
      <c r="C37" t="s">
        <v>7</v>
      </c>
      <c r="D37" t="s">
        <v>8</v>
      </c>
      <c r="E37">
        <v>2</v>
      </c>
      <c r="F37" t="s">
        <v>21</v>
      </c>
      <c r="G37" t="s">
        <v>36</v>
      </c>
      <c r="H37" t="str">
        <f>VLOOKUP($B37,VlookUp!$A$2:$D$65,3,0)</f>
        <v>Mop-like panicle</v>
      </c>
    </row>
    <row r="38" spans="1:8" x14ac:dyDescent="0.35">
      <c r="A38">
        <v>37</v>
      </c>
      <c r="B38" t="s">
        <v>35</v>
      </c>
      <c r="C38" t="s">
        <v>12</v>
      </c>
      <c r="D38" t="s">
        <v>8</v>
      </c>
      <c r="E38">
        <v>1</v>
      </c>
      <c r="F38" t="s">
        <v>21</v>
      </c>
      <c r="G38" t="s">
        <v>36</v>
      </c>
      <c r="H38" t="str">
        <f>VLOOKUP($B38,VlookUp!$A$2:$D$65,3,0)</f>
        <v>Mop-like panicle</v>
      </c>
    </row>
    <row r="39" spans="1:8" x14ac:dyDescent="0.35">
      <c r="A39">
        <v>38</v>
      </c>
      <c r="B39" t="s">
        <v>37</v>
      </c>
      <c r="C39" t="s">
        <v>11</v>
      </c>
      <c r="D39" t="s">
        <v>8</v>
      </c>
      <c r="E39">
        <v>3</v>
      </c>
      <c r="F39" t="s">
        <v>21</v>
      </c>
      <c r="G39" t="s">
        <v>36</v>
      </c>
      <c r="H39" t="str">
        <f>VLOOKUP($B39,VlookUp!$A$2:$D$65,3,0)</f>
        <v>Mop-like panicle</v>
      </c>
    </row>
    <row r="40" spans="1:8" x14ac:dyDescent="0.35">
      <c r="A40">
        <v>39</v>
      </c>
      <c r="B40" t="s">
        <v>38</v>
      </c>
      <c r="C40" t="s">
        <v>7</v>
      </c>
      <c r="D40" t="s">
        <v>8</v>
      </c>
      <c r="E40">
        <v>6</v>
      </c>
      <c r="F40" t="s">
        <v>9</v>
      </c>
      <c r="G40" t="s">
        <v>36</v>
      </c>
      <c r="H40" t="str">
        <f>VLOOKUP($B40,VlookUp!$A$2:$D$65,3,0)</f>
        <v>Mop-like panicle</v>
      </c>
    </row>
    <row r="41" spans="1:8" x14ac:dyDescent="0.35">
      <c r="A41">
        <v>40</v>
      </c>
      <c r="B41" t="s">
        <v>39</v>
      </c>
      <c r="C41" t="s">
        <v>7</v>
      </c>
      <c r="D41" t="s">
        <v>8</v>
      </c>
      <c r="E41">
        <v>11</v>
      </c>
      <c r="F41" t="s">
        <v>21</v>
      </c>
      <c r="G41" t="s">
        <v>36</v>
      </c>
      <c r="H41" t="str">
        <f>VLOOKUP($B41,VlookUp!$A$2:$D$65,3,0)</f>
        <v>Lacy panicle</v>
      </c>
    </row>
    <row r="42" spans="1:8" x14ac:dyDescent="0.35">
      <c r="A42">
        <v>41</v>
      </c>
      <c r="B42" t="s">
        <v>39</v>
      </c>
      <c r="C42" t="s">
        <v>11</v>
      </c>
      <c r="D42" t="s">
        <v>8</v>
      </c>
      <c r="E42">
        <v>11</v>
      </c>
      <c r="F42" t="s">
        <v>21</v>
      </c>
      <c r="G42" t="s">
        <v>36</v>
      </c>
      <c r="H42" t="str">
        <f>VLOOKUP($B42,VlookUp!$A$2:$D$65,3,0)</f>
        <v>Lacy panicle</v>
      </c>
    </row>
    <row r="43" spans="1:8" x14ac:dyDescent="0.35">
      <c r="A43">
        <v>42</v>
      </c>
      <c r="B43" t="s">
        <v>39</v>
      </c>
      <c r="C43" t="s">
        <v>12</v>
      </c>
      <c r="D43" t="s">
        <v>23</v>
      </c>
      <c r="E43">
        <v>3</v>
      </c>
      <c r="F43" t="s">
        <v>21</v>
      </c>
      <c r="G43" t="s">
        <v>36</v>
      </c>
      <c r="H43" t="str">
        <f>VLOOKUP($B43,VlookUp!$A$2:$D$65,3,0)</f>
        <v>Lacy panicle</v>
      </c>
    </row>
    <row r="44" spans="1:8" x14ac:dyDescent="0.35">
      <c r="A44">
        <v>43</v>
      </c>
      <c r="B44" t="s">
        <v>40</v>
      </c>
      <c r="C44" t="s">
        <v>7</v>
      </c>
      <c r="D44" t="s">
        <v>13</v>
      </c>
      <c r="E44">
        <v>4</v>
      </c>
      <c r="F44" t="s">
        <v>30</v>
      </c>
      <c r="G44" t="s">
        <v>36</v>
      </c>
      <c r="H44" t="str">
        <f>VLOOKUP($B44,VlookUp!$A$2:$D$65,3,0)</f>
        <v>Mop-like panicle</v>
      </c>
    </row>
    <row r="45" spans="1:8" x14ac:dyDescent="0.35">
      <c r="A45">
        <v>44</v>
      </c>
      <c r="B45" t="s">
        <v>40</v>
      </c>
      <c r="C45" t="s">
        <v>11</v>
      </c>
      <c r="D45" t="s">
        <v>8</v>
      </c>
      <c r="E45">
        <v>5</v>
      </c>
      <c r="F45" t="s">
        <v>30</v>
      </c>
      <c r="G45" t="s">
        <v>36</v>
      </c>
      <c r="H45" t="str">
        <f>VLOOKUP($B45,VlookUp!$A$2:$D$65,3,0)</f>
        <v>Mop-like panicle</v>
      </c>
    </row>
    <row r="46" spans="1:8" x14ac:dyDescent="0.35">
      <c r="A46">
        <v>45</v>
      </c>
      <c r="B46" t="s">
        <v>40</v>
      </c>
      <c r="C46" t="s">
        <v>12</v>
      </c>
      <c r="D46" t="s">
        <v>8</v>
      </c>
      <c r="E46">
        <v>2</v>
      </c>
      <c r="F46" t="s">
        <v>30</v>
      </c>
      <c r="G46" t="s">
        <v>36</v>
      </c>
      <c r="H46" t="str">
        <f>VLOOKUP($B46,VlookUp!$A$2:$D$65,3,0)</f>
        <v>Mop-like panicle</v>
      </c>
    </row>
    <row r="47" spans="1:8" x14ac:dyDescent="0.35">
      <c r="A47">
        <v>46</v>
      </c>
      <c r="B47" t="s">
        <v>41</v>
      </c>
      <c r="C47" t="s">
        <v>7</v>
      </c>
      <c r="D47" t="s">
        <v>8</v>
      </c>
      <c r="E47">
        <v>3</v>
      </c>
      <c r="F47" t="s">
        <v>21</v>
      </c>
      <c r="G47" t="s">
        <v>36</v>
      </c>
      <c r="H47" t="str">
        <f>VLOOKUP($B47,VlookUp!$A$2:$D$65,3,0)</f>
        <v>Lacy panicle</v>
      </c>
    </row>
    <row r="48" spans="1:8" x14ac:dyDescent="0.35">
      <c r="A48">
        <v>47</v>
      </c>
      <c r="B48" t="s">
        <v>41</v>
      </c>
      <c r="C48" t="s">
        <v>11</v>
      </c>
      <c r="D48" t="s">
        <v>18</v>
      </c>
      <c r="E48">
        <v>1</v>
      </c>
      <c r="F48" t="s">
        <v>21</v>
      </c>
      <c r="G48" t="s">
        <v>36</v>
      </c>
      <c r="H48" t="str">
        <f>VLOOKUP($B48,VlookUp!$A$2:$D$65,3,0)</f>
        <v>Lacy panicle</v>
      </c>
    </row>
    <row r="49" spans="1:8" x14ac:dyDescent="0.35">
      <c r="A49">
        <v>48</v>
      </c>
      <c r="B49" t="s">
        <v>42</v>
      </c>
      <c r="C49" t="s">
        <v>17</v>
      </c>
      <c r="D49" t="s">
        <v>8</v>
      </c>
      <c r="E49">
        <v>2</v>
      </c>
      <c r="F49" t="s">
        <v>9</v>
      </c>
      <c r="G49" t="s">
        <v>36</v>
      </c>
      <c r="H49" t="str">
        <f>VLOOKUP($B49,VlookUp!$A$2:$D$65,3,0)</f>
        <v>Mop-like panicle</v>
      </c>
    </row>
    <row r="50" spans="1:8" x14ac:dyDescent="0.35">
      <c r="A50">
        <v>49</v>
      </c>
      <c r="B50" t="s">
        <v>42</v>
      </c>
      <c r="C50" t="s">
        <v>7</v>
      </c>
      <c r="D50" t="s">
        <v>8</v>
      </c>
      <c r="E50">
        <v>1</v>
      </c>
      <c r="F50" t="s">
        <v>9</v>
      </c>
      <c r="G50" t="s">
        <v>36</v>
      </c>
      <c r="H50" t="str">
        <f>VLOOKUP($B50,VlookUp!$A$2:$D$65,3,0)</f>
        <v>Mop-like panicle</v>
      </c>
    </row>
    <row r="51" spans="1:8" x14ac:dyDescent="0.35">
      <c r="A51">
        <v>50</v>
      </c>
      <c r="B51" t="s">
        <v>42</v>
      </c>
      <c r="C51" t="s">
        <v>11</v>
      </c>
      <c r="D51" t="s">
        <v>8</v>
      </c>
      <c r="E51">
        <v>1</v>
      </c>
      <c r="F51" t="s">
        <v>9</v>
      </c>
      <c r="G51" t="s">
        <v>36</v>
      </c>
      <c r="H51" t="str">
        <f>VLOOKUP($B51,VlookUp!$A$2:$D$65,3,0)</f>
        <v>Mop-like panicle</v>
      </c>
    </row>
    <row r="52" spans="1:8" x14ac:dyDescent="0.35">
      <c r="A52">
        <v>51</v>
      </c>
      <c r="B52" t="s">
        <v>43</v>
      </c>
      <c r="C52" t="s">
        <v>7</v>
      </c>
      <c r="D52" t="s">
        <v>8</v>
      </c>
      <c r="E52">
        <v>1</v>
      </c>
      <c r="F52" t="s">
        <v>9</v>
      </c>
      <c r="G52" t="s">
        <v>44</v>
      </c>
      <c r="H52" t="str">
        <f>VLOOKUP($B52,VlookUp!$A$2:$D$65,3,0)</f>
        <v>Lacy panicle</v>
      </c>
    </row>
    <row r="53" spans="1:8" x14ac:dyDescent="0.35">
      <c r="A53">
        <v>52</v>
      </c>
      <c r="B53" t="s">
        <v>43</v>
      </c>
      <c r="C53" t="s">
        <v>11</v>
      </c>
      <c r="D53" t="s">
        <v>8</v>
      </c>
      <c r="E53">
        <v>12</v>
      </c>
      <c r="F53" t="s">
        <v>9</v>
      </c>
      <c r="G53" t="s">
        <v>44</v>
      </c>
      <c r="H53" t="str">
        <f>VLOOKUP($B53,VlookUp!$A$2:$D$65,3,0)</f>
        <v>Lacy panicle</v>
      </c>
    </row>
    <row r="54" spans="1:8" x14ac:dyDescent="0.35">
      <c r="A54">
        <v>53</v>
      </c>
      <c r="B54" t="s">
        <v>43</v>
      </c>
      <c r="C54" t="s">
        <v>12</v>
      </c>
      <c r="D54" t="s">
        <v>8</v>
      </c>
      <c r="E54">
        <v>9</v>
      </c>
      <c r="F54" t="s">
        <v>9</v>
      </c>
      <c r="G54" t="s">
        <v>44</v>
      </c>
      <c r="H54" t="str">
        <f>VLOOKUP($B54,VlookUp!$A$2:$D$65,3,0)</f>
        <v>Lacy panicle</v>
      </c>
    </row>
    <row r="55" spans="1:8" x14ac:dyDescent="0.35">
      <c r="A55">
        <v>54</v>
      </c>
      <c r="B55" t="s">
        <v>45</v>
      </c>
      <c r="C55" t="s">
        <v>17</v>
      </c>
      <c r="D55" t="s">
        <v>15</v>
      </c>
      <c r="E55">
        <v>1</v>
      </c>
      <c r="F55" t="s">
        <v>9</v>
      </c>
      <c r="G55" t="s">
        <v>44</v>
      </c>
      <c r="H55" t="str">
        <f>VLOOKUP($B55,VlookUp!$A$2:$D$65,3,0)</f>
        <v>Lacy panicle</v>
      </c>
    </row>
    <row r="56" spans="1:8" x14ac:dyDescent="0.35">
      <c r="A56">
        <v>55</v>
      </c>
      <c r="B56" t="s">
        <v>45</v>
      </c>
      <c r="C56" t="s">
        <v>7</v>
      </c>
      <c r="D56" t="s">
        <v>8</v>
      </c>
      <c r="E56">
        <v>3</v>
      </c>
      <c r="F56" t="s">
        <v>9</v>
      </c>
      <c r="G56" t="s">
        <v>44</v>
      </c>
      <c r="H56" t="str">
        <f>VLOOKUP($B56,VlookUp!$A$2:$D$65,3,0)</f>
        <v>Lacy panicle</v>
      </c>
    </row>
    <row r="57" spans="1:8" x14ac:dyDescent="0.35">
      <c r="A57">
        <v>56</v>
      </c>
      <c r="B57" t="s">
        <v>45</v>
      </c>
      <c r="C57" t="s">
        <v>11</v>
      </c>
      <c r="D57" t="s">
        <v>8</v>
      </c>
      <c r="E57">
        <v>3</v>
      </c>
      <c r="F57" t="s">
        <v>9</v>
      </c>
      <c r="G57" t="s">
        <v>44</v>
      </c>
      <c r="H57" t="str">
        <f>VLOOKUP($B57,VlookUp!$A$2:$D$65,3,0)</f>
        <v>Lacy panicle</v>
      </c>
    </row>
    <row r="58" spans="1:8" x14ac:dyDescent="0.35">
      <c r="A58">
        <v>57</v>
      </c>
      <c r="B58" t="s">
        <v>46</v>
      </c>
      <c r="C58" t="s">
        <v>7</v>
      </c>
      <c r="D58" t="s">
        <v>33</v>
      </c>
      <c r="E58">
        <v>1</v>
      </c>
      <c r="F58" t="s">
        <v>30</v>
      </c>
      <c r="G58" t="s">
        <v>44</v>
      </c>
      <c r="H58" t="str">
        <f>VLOOKUP($B58,VlookUp!$A$2:$D$65,3,0)</f>
        <v>Mop-like panicle</v>
      </c>
    </row>
    <row r="59" spans="1:8" x14ac:dyDescent="0.35">
      <c r="A59">
        <v>58</v>
      </c>
      <c r="B59" t="s">
        <v>46</v>
      </c>
      <c r="C59" t="s">
        <v>11</v>
      </c>
      <c r="D59" t="s">
        <v>8</v>
      </c>
      <c r="E59">
        <v>2</v>
      </c>
      <c r="F59" t="s">
        <v>30</v>
      </c>
      <c r="G59" t="s">
        <v>44</v>
      </c>
      <c r="H59" t="str">
        <f>VLOOKUP($B59,VlookUp!$A$2:$D$65,3,0)</f>
        <v>Mop-like panicle</v>
      </c>
    </row>
    <row r="60" spans="1:8" x14ac:dyDescent="0.35">
      <c r="A60">
        <v>59</v>
      </c>
      <c r="B60" t="s">
        <v>46</v>
      </c>
      <c r="C60" t="s">
        <v>12</v>
      </c>
      <c r="D60" t="s">
        <v>47</v>
      </c>
      <c r="E60">
        <v>1</v>
      </c>
      <c r="F60" t="s">
        <v>30</v>
      </c>
      <c r="G60" t="s">
        <v>44</v>
      </c>
      <c r="H60" t="str">
        <f>VLOOKUP($B60,VlookUp!$A$2:$D$65,3,0)</f>
        <v>Mop-like panicle</v>
      </c>
    </row>
    <row r="61" spans="1:8" x14ac:dyDescent="0.35">
      <c r="A61">
        <v>60</v>
      </c>
      <c r="B61" t="s">
        <v>48</v>
      </c>
      <c r="C61" t="s">
        <v>7</v>
      </c>
      <c r="D61" t="s">
        <v>8</v>
      </c>
      <c r="E61">
        <v>5</v>
      </c>
      <c r="F61" t="s">
        <v>30</v>
      </c>
      <c r="G61" t="s">
        <v>44</v>
      </c>
      <c r="H61" t="str">
        <f>VLOOKUP($B61,VlookUp!$A$2:$D$65,3,0)</f>
        <v>Lacy panicle</v>
      </c>
    </row>
    <row r="62" spans="1:8" x14ac:dyDescent="0.35">
      <c r="A62">
        <v>61</v>
      </c>
      <c r="B62" t="s">
        <v>48</v>
      </c>
      <c r="C62" t="s">
        <v>11</v>
      </c>
      <c r="D62" t="s">
        <v>13</v>
      </c>
      <c r="E62">
        <v>1</v>
      </c>
      <c r="F62" t="s">
        <v>30</v>
      </c>
      <c r="G62" t="s">
        <v>44</v>
      </c>
      <c r="H62" t="str">
        <f>VLOOKUP($B62,VlookUp!$A$2:$D$65,3,0)</f>
        <v>Lacy panicle</v>
      </c>
    </row>
    <row r="63" spans="1:8" x14ac:dyDescent="0.35">
      <c r="A63">
        <v>62</v>
      </c>
      <c r="B63" t="s">
        <v>37</v>
      </c>
      <c r="C63" t="s">
        <v>7</v>
      </c>
      <c r="D63" t="s">
        <v>8</v>
      </c>
      <c r="E63">
        <v>10</v>
      </c>
      <c r="F63" t="s">
        <v>21</v>
      </c>
      <c r="G63" t="s">
        <v>44</v>
      </c>
      <c r="H63" t="str">
        <f>VLOOKUP($B63,VlookUp!$A$2:$D$65,3,0)</f>
        <v>Mop-like panicle</v>
      </c>
    </row>
    <row r="64" spans="1:8" x14ac:dyDescent="0.35">
      <c r="A64">
        <v>63</v>
      </c>
      <c r="B64" t="s">
        <v>37</v>
      </c>
      <c r="C64" t="s">
        <v>12</v>
      </c>
      <c r="D64" t="s">
        <v>8</v>
      </c>
      <c r="E64">
        <v>1</v>
      </c>
      <c r="F64" t="s">
        <v>21</v>
      </c>
      <c r="G64" t="s">
        <v>44</v>
      </c>
      <c r="H64" t="str">
        <f>VLOOKUP($B64,VlookUp!$A$2:$D$65,3,0)</f>
        <v>Mop-like panicle</v>
      </c>
    </row>
    <row r="65" spans="1:8" x14ac:dyDescent="0.35">
      <c r="A65">
        <v>64</v>
      </c>
      <c r="B65" t="s">
        <v>38</v>
      </c>
      <c r="C65" t="s">
        <v>11</v>
      </c>
      <c r="D65" t="s">
        <v>13</v>
      </c>
      <c r="E65">
        <v>2</v>
      </c>
      <c r="F65" t="s">
        <v>9</v>
      </c>
      <c r="G65" t="s">
        <v>44</v>
      </c>
      <c r="H65" t="str">
        <f>VLOOKUP($B65,VlookUp!$A$2:$D$65,3,0)</f>
        <v>Mop-like panicle</v>
      </c>
    </row>
    <row r="66" spans="1:8" x14ac:dyDescent="0.35">
      <c r="A66">
        <v>65</v>
      </c>
      <c r="B66" t="s">
        <v>49</v>
      </c>
      <c r="C66" t="s">
        <v>7</v>
      </c>
      <c r="D66" t="s">
        <v>20</v>
      </c>
      <c r="E66">
        <v>1</v>
      </c>
      <c r="F66" t="s">
        <v>21</v>
      </c>
      <c r="G66" t="s">
        <v>44</v>
      </c>
      <c r="H66" t="str">
        <f>VLOOKUP($B66,VlookUp!$A$2:$D$65,3,0)</f>
        <v>Mop-like panicle</v>
      </c>
    </row>
    <row r="67" spans="1:8" x14ac:dyDescent="0.35">
      <c r="A67">
        <v>66</v>
      </c>
      <c r="B67" t="s">
        <v>50</v>
      </c>
      <c r="C67" t="s">
        <v>7</v>
      </c>
      <c r="D67" t="s">
        <v>13</v>
      </c>
      <c r="E67">
        <v>2</v>
      </c>
      <c r="F67" t="s">
        <v>9</v>
      </c>
      <c r="G67" t="s">
        <v>44</v>
      </c>
      <c r="H67" t="str">
        <f>VLOOKUP($B67,VlookUp!$A$2:$D$65,3,0)</f>
        <v>Mop-like panicle</v>
      </c>
    </row>
    <row r="68" spans="1:8" x14ac:dyDescent="0.35">
      <c r="A68">
        <v>67</v>
      </c>
      <c r="B68" t="s">
        <v>34</v>
      </c>
      <c r="C68" t="s">
        <v>17</v>
      </c>
      <c r="D68" t="s">
        <v>20</v>
      </c>
      <c r="E68">
        <v>1</v>
      </c>
      <c r="F68" t="s">
        <v>21</v>
      </c>
      <c r="G68" t="s">
        <v>44</v>
      </c>
      <c r="H68" t="str">
        <f>VLOOKUP($B68,VlookUp!$A$2:$D$65,3,0)</f>
        <v>Mop-like panicle</v>
      </c>
    </row>
    <row r="69" spans="1:8" x14ac:dyDescent="0.35">
      <c r="A69">
        <v>68</v>
      </c>
      <c r="B69" t="s">
        <v>51</v>
      </c>
      <c r="C69" t="s">
        <v>7</v>
      </c>
      <c r="D69" t="s">
        <v>8</v>
      </c>
      <c r="E69">
        <v>5</v>
      </c>
      <c r="F69" t="s">
        <v>9</v>
      </c>
      <c r="G69" t="s">
        <v>44</v>
      </c>
      <c r="H69" t="str">
        <f>VLOOKUP($B69,VlookUp!$A$2:$D$65,3,0)</f>
        <v>Mop-like panicle</v>
      </c>
    </row>
    <row r="70" spans="1:8" x14ac:dyDescent="0.35">
      <c r="A70">
        <v>69</v>
      </c>
      <c r="B70" t="s">
        <v>51</v>
      </c>
      <c r="C70" t="s">
        <v>11</v>
      </c>
      <c r="D70" t="s">
        <v>8</v>
      </c>
      <c r="E70">
        <v>2</v>
      </c>
      <c r="F70" t="s">
        <v>9</v>
      </c>
      <c r="G70" t="s">
        <v>44</v>
      </c>
      <c r="H70" t="str">
        <f>VLOOKUP($B70,VlookUp!$A$2:$D$65,3,0)</f>
        <v>Mop-like panicle</v>
      </c>
    </row>
    <row r="71" spans="1:8" x14ac:dyDescent="0.35">
      <c r="A71">
        <v>70</v>
      </c>
      <c r="B71" t="s">
        <v>51</v>
      </c>
      <c r="C71" t="s">
        <v>12</v>
      </c>
      <c r="D71" t="s">
        <v>13</v>
      </c>
      <c r="E71">
        <v>1</v>
      </c>
      <c r="F71" t="s">
        <v>9</v>
      </c>
      <c r="G71" t="s">
        <v>44</v>
      </c>
      <c r="H71" t="str">
        <f>VLOOKUP($B71,VlookUp!$A$2:$D$65,3,0)</f>
        <v>Mop-like panicle</v>
      </c>
    </row>
    <row r="72" spans="1:8" x14ac:dyDescent="0.35">
      <c r="A72">
        <v>71</v>
      </c>
      <c r="B72" t="s">
        <v>52</v>
      </c>
      <c r="C72" t="s">
        <v>7</v>
      </c>
      <c r="D72" t="s">
        <v>13</v>
      </c>
      <c r="E72">
        <v>4</v>
      </c>
      <c r="F72" t="s">
        <v>21</v>
      </c>
      <c r="G72" t="s">
        <v>44</v>
      </c>
      <c r="H72" t="str">
        <f>VLOOKUP($B72,VlookUp!$A$2:$D$65,3,0)</f>
        <v>Mop-like panicle</v>
      </c>
    </row>
    <row r="73" spans="1:8" x14ac:dyDescent="0.35">
      <c r="A73">
        <v>72</v>
      </c>
      <c r="B73" t="s">
        <v>52</v>
      </c>
      <c r="C73" t="s">
        <v>11</v>
      </c>
      <c r="D73" t="s">
        <v>53</v>
      </c>
      <c r="E73">
        <v>1</v>
      </c>
      <c r="F73" t="s">
        <v>21</v>
      </c>
      <c r="G73" t="s">
        <v>44</v>
      </c>
      <c r="H73" t="str">
        <f>VLOOKUP($B73,VlookUp!$A$2:$D$65,3,0)</f>
        <v>Mop-like panicle</v>
      </c>
    </row>
    <row r="74" spans="1:8" x14ac:dyDescent="0.35">
      <c r="A74">
        <v>73</v>
      </c>
      <c r="B74" t="s">
        <v>24</v>
      </c>
      <c r="C74" t="s">
        <v>7</v>
      </c>
      <c r="D74" t="s">
        <v>20</v>
      </c>
      <c r="E74">
        <v>6</v>
      </c>
      <c r="F74" t="s">
        <v>9</v>
      </c>
      <c r="G74" t="s">
        <v>54</v>
      </c>
      <c r="H74" t="str">
        <f>VLOOKUP($B74,VlookUp!$A$2:$D$65,3,0)</f>
        <v>Lacy panicle</v>
      </c>
    </row>
    <row r="75" spans="1:8" x14ac:dyDescent="0.35">
      <c r="A75">
        <v>74</v>
      </c>
      <c r="B75" t="s">
        <v>24</v>
      </c>
      <c r="C75" t="s">
        <v>11</v>
      </c>
      <c r="D75" t="s">
        <v>8</v>
      </c>
      <c r="E75">
        <v>9</v>
      </c>
      <c r="F75" t="s">
        <v>9</v>
      </c>
      <c r="G75" t="s">
        <v>54</v>
      </c>
      <c r="H75" t="str">
        <f>VLOOKUP($B75,VlookUp!$A$2:$D$65,3,0)</f>
        <v>Lacy panicle</v>
      </c>
    </row>
    <row r="76" spans="1:8" x14ac:dyDescent="0.35">
      <c r="A76">
        <v>75</v>
      </c>
      <c r="B76" t="s">
        <v>55</v>
      </c>
      <c r="C76" t="s">
        <v>7</v>
      </c>
      <c r="D76" t="s">
        <v>13</v>
      </c>
      <c r="E76">
        <v>4</v>
      </c>
      <c r="F76" t="s">
        <v>26</v>
      </c>
      <c r="G76" t="s">
        <v>54</v>
      </c>
      <c r="H76" t="str">
        <f>VLOOKUP($B76,VlookUp!$A$2:$D$65,3,0)</f>
        <v>Mop-like panicle</v>
      </c>
    </row>
    <row r="77" spans="1:8" x14ac:dyDescent="0.35">
      <c r="A77">
        <v>76</v>
      </c>
      <c r="B77" t="s">
        <v>55</v>
      </c>
      <c r="C77" t="s">
        <v>11</v>
      </c>
      <c r="D77" t="s">
        <v>56</v>
      </c>
      <c r="E77">
        <v>1</v>
      </c>
      <c r="F77" t="s">
        <v>26</v>
      </c>
      <c r="G77" t="s">
        <v>54</v>
      </c>
      <c r="H77" t="str">
        <f>VLOOKUP($B77,VlookUp!$A$2:$D$65,3,0)</f>
        <v>Mop-like panicle</v>
      </c>
    </row>
    <row r="78" spans="1:8" x14ac:dyDescent="0.35">
      <c r="A78">
        <v>77</v>
      </c>
      <c r="B78" t="s">
        <v>57</v>
      </c>
      <c r="C78" t="s">
        <v>7</v>
      </c>
      <c r="D78" t="s">
        <v>13</v>
      </c>
      <c r="E78">
        <v>4</v>
      </c>
      <c r="F78" t="s">
        <v>9</v>
      </c>
      <c r="G78" t="s">
        <v>54</v>
      </c>
      <c r="H78" t="str">
        <f>VLOOKUP($B78,VlookUp!$A$2:$D$65,3,0)</f>
        <v>Mop-like panicle</v>
      </c>
    </row>
    <row r="79" spans="1:8" x14ac:dyDescent="0.35">
      <c r="A79">
        <v>78</v>
      </c>
      <c r="B79" t="s">
        <v>57</v>
      </c>
      <c r="C79" t="s">
        <v>11</v>
      </c>
      <c r="D79" t="s">
        <v>20</v>
      </c>
      <c r="E79">
        <v>1</v>
      </c>
      <c r="F79" t="s">
        <v>9</v>
      </c>
      <c r="G79" t="s">
        <v>54</v>
      </c>
      <c r="H79" t="str">
        <f>VLOOKUP($B79,VlookUp!$A$2:$D$65,3,0)</f>
        <v>Mop-like panicle</v>
      </c>
    </row>
    <row r="80" spans="1:8" x14ac:dyDescent="0.35">
      <c r="A80">
        <v>79</v>
      </c>
      <c r="B80" t="s">
        <v>57</v>
      </c>
      <c r="C80" t="s">
        <v>12</v>
      </c>
      <c r="D80" t="s">
        <v>58</v>
      </c>
      <c r="E80">
        <v>1</v>
      </c>
      <c r="F80" t="s">
        <v>9</v>
      </c>
      <c r="G80" t="s">
        <v>54</v>
      </c>
      <c r="H80" t="str">
        <f>VLOOKUP($B80,VlookUp!$A$2:$D$65,3,0)</f>
        <v>Mop-like panicle</v>
      </c>
    </row>
    <row r="81" spans="1:8" x14ac:dyDescent="0.35">
      <c r="A81">
        <v>80</v>
      </c>
      <c r="B81" t="s">
        <v>59</v>
      </c>
      <c r="C81" t="s">
        <v>7</v>
      </c>
      <c r="D81" t="s">
        <v>15</v>
      </c>
      <c r="E81">
        <v>1</v>
      </c>
      <c r="F81" t="s">
        <v>26</v>
      </c>
      <c r="G81" t="s">
        <v>54</v>
      </c>
      <c r="H81" t="str">
        <f>VLOOKUP($B81,VlookUp!$A$2:$D$65,3,0)</f>
        <v>Mop-like panicle</v>
      </c>
    </row>
    <row r="82" spans="1:8" x14ac:dyDescent="0.35">
      <c r="A82">
        <v>81</v>
      </c>
      <c r="B82" t="s">
        <v>60</v>
      </c>
      <c r="C82" t="s">
        <v>7</v>
      </c>
      <c r="D82" t="s">
        <v>18</v>
      </c>
      <c r="E82">
        <v>1</v>
      </c>
      <c r="F82" t="s">
        <v>21</v>
      </c>
      <c r="G82" t="s">
        <v>54</v>
      </c>
      <c r="H82" t="str">
        <f>VLOOKUP($B82,VlookUp!$A$2:$D$65,3,0)</f>
        <v>Mop-like panicle</v>
      </c>
    </row>
    <row r="83" spans="1:8" x14ac:dyDescent="0.35">
      <c r="A83">
        <v>82</v>
      </c>
      <c r="B83" t="s">
        <v>60</v>
      </c>
      <c r="C83" t="s">
        <v>12</v>
      </c>
      <c r="D83" t="s">
        <v>33</v>
      </c>
      <c r="E83">
        <v>1</v>
      </c>
      <c r="F83" t="s">
        <v>21</v>
      </c>
      <c r="G83" t="s">
        <v>54</v>
      </c>
      <c r="H83" t="str">
        <f>VLOOKUP($B83,VlookUp!$A$2:$D$65,3,0)</f>
        <v>Mop-like panicle</v>
      </c>
    </row>
    <row r="84" spans="1:8" x14ac:dyDescent="0.35">
      <c r="A84">
        <v>83</v>
      </c>
      <c r="B84" t="s">
        <v>61</v>
      </c>
      <c r="C84" t="s">
        <v>7</v>
      </c>
      <c r="D84" t="s">
        <v>8</v>
      </c>
      <c r="E84">
        <v>4</v>
      </c>
      <c r="F84" t="s">
        <v>9</v>
      </c>
      <c r="G84" t="s">
        <v>54</v>
      </c>
      <c r="H84" t="str">
        <f>VLOOKUP($B84,VlookUp!$A$2:$D$65,3,0)</f>
        <v>Mop-like panicle</v>
      </c>
    </row>
    <row r="85" spans="1:8" x14ac:dyDescent="0.35">
      <c r="A85">
        <v>84</v>
      </c>
      <c r="B85" t="s">
        <v>61</v>
      </c>
      <c r="C85" t="s">
        <v>11</v>
      </c>
      <c r="D85" t="s">
        <v>8</v>
      </c>
      <c r="E85">
        <v>3</v>
      </c>
      <c r="F85" t="s">
        <v>9</v>
      </c>
      <c r="G85" t="s">
        <v>54</v>
      </c>
      <c r="H85" t="str">
        <f>VLOOKUP($B85,VlookUp!$A$2:$D$65,3,0)</f>
        <v>Mop-like panicle</v>
      </c>
    </row>
    <row r="86" spans="1:8" x14ac:dyDescent="0.35">
      <c r="A86">
        <v>85</v>
      </c>
      <c r="B86" t="s">
        <v>62</v>
      </c>
      <c r="C86" t="s">
        <v>17</v>
      </c>
      <c r="D86" t="s">
        <v>18</v>
      </c>
      <c r="E86">
        <v>1</v>
      </c>
      <c r="F86" t="s">
        <v>21</v>
      </c>
      <c r="G86" t="s">
        <v>54</v>
      </c>
      <c r="H86" t="str">
        <f>VLOOKUP($B86,VlookUp!$A$2:$D$65,3,0)</f>
        <v>Mop-like panicle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3F4B-8825-4ED6-B473-5774C6009DE6}">
  <dimension ref="A1:D65"/>
  <sheetViews>
    <sheetView workbookViewId="0">
      <selection activeCell="A3" sqref="A3"/>
    </sheetView>
  </sheetViews>
  <sheetFormatPr defaultRowHeight="14.5" x14ac:dyDescent="0.35"/>
  <cols>
    <col min="1" max="1" width="25.36328125" bestFit="1" customWidth="1"/>
  </cols>
  <sheetData>
    <row r="1" spans="1:4" x14ac:dyDescent="0.35">
      <c r="A1" t="s">
        <v>63</v>
      </c>
      <c r="B1" t="s">
        <v>64</v>
      </c>
      <c r="C1" t="s">
        <v>65</v>
      </c>
      <c r="D1" t="s">
        <v>66</v>
      </c>
    </row>
    <row r="2" spans="1:4" x14ac:dyDescent="0.35">
      <c r="A2" t="s">
        <v>62</v>
      </c>
      <c r="B2" t="s">
        <v>67</v>
      </c>
      <c r="C2" t="s">
        <v>68</v>
      </c>
      <c r="D2" t="s">
        <v>54</v>
      </c>
    </row>
    <row r="3" spans="1:4" x14ac:dyDescent="0.35">
      <c r="A3" t="s">
        <v>6</v>
      </c>
      <c r="B3" t="s">
        <v>67</v>
      </c>
      <c r="C3" t="s">
        <v>69</v>
      </c>
      <c r="D3" t="s">
        <v>10</v>
      </c>
    </row>
    <row r="4" spans="1:4" x14ac:dyDescent="0.35">
      <c r="A4" t="s">
        <v>51</v>
      </c>
      <c r="B4" t="s">
        <v>67</v>
      </c>
      <c r="C4" t="s">
        <v>68</v>
      </c>
      <c r="D4" t="s">
        <v>44</v>
      </c>
    </row>
    <row r="5" spans="1:4" x14ac:dyDescent="0.35">
      <c r="A5" t="s">
        <v>42</v>
      </c>
      <c r="B5" t="s">
        <v>67</v>
      </c>
      <c r="C5" t="s">
        <v>68</v>
      </c>
      <c r="D5" t="s">
        <v>36</v>
      </c>
    </row>
    <row r="6" spans="1:4" x14ac:dyDescent="0.35">
      <c r="A6" t="s">
        <v>32</v>
      </c>
      <c r="B6" t="s">
        <v>67</v>
      </c>
      <c r="C6" t="s">
        <v>69</v>
      </c>
      <c r="D6" t="s">
        <v>10</v>
      </c>
    </row>
    <row r="7" spans="1:4" x14ac:dyDescent="0.35">
      <c r="A7" t="s">
        <v>27</v>
      </c>
      <c r="B7" t="s">
        <v>67</v>
      </c>
      <c r="C7" t="s">
        <v>69</v>
      </c>
      <c r="D7" t="s">
        <v>10</v>
      </c>
    </row>
    <row r="8" spans="1:4" x14ac:dyDescent="0.35">
      <c r="A8" t="s">
        <v>41</v>
      </c>
      <c r="B8" t="s">
        <v>67</v>
      </c>
      <c r="C8" t="s">
        <v>69</v>
      </c>
      <c r="D8" t="s">
        <v>36</v>
      </c>
    </row>
    <row r="9" spans="1:4" x14ac:dyDescent="0.35">
      <c r="A9" t="s">
        <v>37</v>
      </c>
      <c r="B9" t="s">
        <v>67</v>
      </c>
      <c r="C9" t="s">
        <v>68</v>
      </c>
      <c r="D9" t="s">
        <v>44</v>
      </c>
    </row>
    <row r="10" spans="1:4" x14ac:dyDescent="0.35">
      <c r="A10" t="s">
        <v>19</v>
      </c>
      <c r="B10" t="s">
        <v>67</v>
      </c>
      <c r="C10" t="s">
        <v>69</v>
      </c>
      <c r="D10" t="s">
        <v>10</v>
      </c>
    </row>
    <row r="11" spans="1:4" x14ac:dyDescent="0.35">
      <c r="A11" t="s">
        <v>39</v>
      </c>
      <c r="B11" t="s">
        <v>67</v>
      </c>
      <c r="C11" t="s">
        <v>69</v>
      </c>
      <c r="D11" t="s">
        <v>36</v>
      </c>
    </row>
    <row r="12" spans="1:4" x14ac:dyDescent="0.35">
      <c r="A12" t="s">
        <v>16</v>
      </c>
      <c r="B12" t="s">
        <v>67</v>
      </c>
      <c r="C12" t="s">
        <v>69</v>
      </c>
      <c r="D12" t="s">
        <v>10</v>
      </c>
    </row>
    <row r="13" spans="1:4" x14ac:dyDescent="0.35">
      <c r="A13" t="s">
        <v>70</v>
      </c>
      <c r="B13" t="s">
        <v>67</v>
      </c>
      <c r="C13" t="s">
        <v>68</v>
      </c>
      <c r="D13" t="s">
        <v>44</v>
      </c>
    </row>
    <row r="14" spans="1:4" x14ac:dyDescent="0.35">
      <c r="A14" t="s">
        <v>57</v>
      </c>
      <c r="B14" t="s">
        <v>67</v>
      </c>
      <c r="C14" t="s">
        <v>68</v>
      </c>
      <c r="D14" t="s">
        <v>54</v>
      </c>
    </row>
    <row r="15" spans="1:4" x14ac:dyDescent="0.35">
      <c r="A15" t="s">
        <v>38</v>
      </c>
      <c r="B15" t="s">
        <v>67</v>
      </c>
      <c r="C15" t="s">
        <v>68</v>
      </c>
      <c r="D15" t="s">
        <v>36</v>
      </c>
    </row>
    <row r="16" spans="1:4" x14ac:dyDescent="0.35">
      <c r="A16" t="s">
        <v>59</v>
      </c>
      <c r="B16" t="s">
        <v>67</v>
      </c>
      <c r="C16" t="s">
        <v>68</v>
      </c>
      <c r="D16" t="s">
        <v>54</v>
      </c>
    </row>
    <row r="17" spans="1:4" x14ac:dyDescent="0.35">
      <c r="A17" t="s">
        <v>71</v>
      </c>
      <c r="B17" t="s">
        <v>67</v>
      </c>
      <c r="C17" t="s">
        <v>69</v>
      </c>
      <c r="D17" t="s">
        <v>36</v>
      </c>
    </row>
    <row r="18" spans="1:4" x14ac:dyDescent="0.35">
      <c r="A18" t="s">
        <v>50</v>
      </c>
      <c r="B18" t="s">
        <v>67</v>
      </c>
      <c r="C18" t="s">
        <v>68</v>
      </c>
      <c r="D18" t="s">
        <v>44</v>
      </c>
    </row>
    <row r="19" spans="1:4" x14ac:dyDescent="0.35">
      <c r="A19" t="s">
        <v>49</v>
      </c>
      <c r="B19" t="s">
        <v>67</v>
      </c>
      <c r="C19" t="s">
        <v>68</v>
      </c>
      <c r="D19" t="s">
        <v>44</v>
      </c>
    </row>
    <row r="20" spans="1:4" x14ac:dyDescent="0.35">
      <c r="A20" t="s">
        <v>34</v>
      </c>
      <c r="B20" t="s">
        <v>67</v>
      </c>
      <c r="C20" t="s">
        <v>68</v>
      </c>
      <c r="D20" t="s">
        <v>10</v>
      </c>
    </row>
    <row r="21" spans="1:4" x14ac:dyDescent="0.35">
      <c r="A21" t="s">
        <v>52</v>
      </c>
      <c r="B21" t="s">
        <v>67</v>
      </c>
      <c r="C21" t="s">
        <v>68</v>
      </c>
      <c r="D21" t="s">
        <v>44</v>
      </c>
    </row>
    <row r="22" spans="1:4" x14ac:dyDescent="0.35">
      <c r="A22" t="s">
        <v>48</v>
      </c>
      <c r="B22" t="s">
        <v>67</v>
      </c>
      <c r="C22" t="s">
        <v>69</v>
      </c>
      <c r="D22" t="s">
        <v>44</v>
      </c>
    </row>
    <row r="23" spans="1:4" x14ac:dyDescent="0.35">
      <c r="A23" t="s">
        <v>72</v>
      </c>
      <c r="B23" t="s">
        <v>67</v>
      </c>
      <c r="C23" t="s">
        <v>68</v>
      </c>
      <c r="D23" t="s">
        <v>36</v>
      </c>
    </row>
    <row r="24" spans="1:4" x14ac:dyDescent="0.35">
      <c r="A24" t="s">
        <v>45</v>
      </c>
      <c r="B24" t="s">
        <v>67</v>
      </c>
      <c r="C24" t="s">
        <v>69</v>
      </c>
      <c r="D24" t="s">
        <v>44</v>
      </c>
    </row>
    <row r="25" spans="1:4" x14ac:dyDescent="0.35">
      <c r="A25" t="s">
        <v>55</v>
      </c>
      <c r="B25" t="s">
        <v>67</v>
      </c>
      <c r="C25" t="s">
        <v>68</v>
      </c>
      <c r="D25" t="s">
        <v>54</v>
      </c>
    </row>
    <row r="26" spans="1:4" x14ac:dyDescent="0.35">
      <c r="A26" t="s">
        <v>43</v>
      </c>
      <c r="B26" t="s">
        <v>67</v>
      </c>
      <c r="C26" t="s">
        <v>69</v>
      </c>
      <c r="D26" t="s">
        <v>44</v>
      </c>
    </row>
    <row r="27" spans="1:4" x14ac:dyDescent="0.35">
      <c r="A27" t="s">
        <v>29</v>
      </c>
      <c r="B27" t="s">
        <v>67</v>
      </c>
      <c r="C27" t="s">
        <v>69</v>
      </c>
      <c r="D27" t="s">
        <v>10</v>
      </c>
    </row>
    <row r="28" spans="1:4" x14ac:dyDescent="0.35">
      <c r="A28" t="s">
        <v>73</v>
      </c>
      <c r="B28" t="s">
        <v>67</v>
      </c>
      <c r="C28" t="s">
        <v>68</v>
      </c>
      <c r="D28" t="s">
        <v>36</v>
      </c>
    </row>
    <row r="29" spans="1:4" x14ac:dyDescent="0.35">
      <c r="A29" t="s">
        <v>24</v>
      </c>
      <c r="B29" t="s">
        <v>67</v>
      </c>
      <c r="C29" t="s">
        <v>69</v>
      </c>
      <c r="D29" t="s">
        <v>54</v>
      </c>
    </row>
    <row r="30" spans="1:4" x14ac:dyDescent="0.35">
      <c r="A30" t="s">
        <v>74</v>
      </c>
      <c r="B30" t="s">
        <v>67</v>
      </c>
      <c r="C30" t="s">
        <v>68</v>
      </c>
      <c r="D30" t="s">
        <v>36</v>
      </c>
    </row>
    <row r="31" spans="1:4" x14ac:dyDescent="0.35">
      <c r="A31" t="s">
        <v>75</v>
      </c>
      <c r="B31" t="s">
        <v>67</v>
      </c>
      <c r="C31" t="s">
        <v>68</v>
      </c>
      <c r="D31" t="s">
        <v>44</v>
      </c>
    </row>
    <row r="32" spans="1:4" x14ac:dyDescent="0.35">
      <c r="A32" t="s">
        <v>76</v>
      </c>
      <c r="B32" t="s">
        <v>67</v>
      </c>
      <c r="C32" t="s">
        <v>68</v>
      </c>
      <c r="D32" t="s">
        <v>36</v>
      </c>
    </row>
    <row r="33" spans="1:4" x14ac:dyDescent="0.35">
      <c r="A33" t="s">
        <v>77</v>
      </c>
      <c r="B33" t="s">
        <v>67</v>
      </c>
      <c r="C33" t="s">
        <v>69</v>
      </c>
      <c r="D33" t="s">
        <v>44</v>
      </c>
    </row>
    <row r="34" spans="1:4" x14ac:dyDescent="0.35">
      <c r="A34" t="s">
        <v>78</v>
      </c>
      <c r="B34" t="s">
        <v>67</v>
      </c>
      <c r="C34" t="s">
        <v>68</v>
      </c>
      <c r="D34" t="s">
        <v>36</v>
      </c>
    </row>
    <row r="35" spans="1:4" x14ac:dyDescent="0.35">
      <c r="A35" t="s">
        <v>40</v>
      </c>
      <c r="B35" t="s">
        <v>67</v>
      </c>
      <c r="C35" t="s">
        <v>68</v>
      </c>
      <c r="D35" t="s">
        <v>36</v>
      </c>
    </row>
    <row r="36" spans="1:4" x14ac:dyDescent="0.35">
      <c r="A36" t="s">
        <v>60</v>
      </c>
      <c r="B36" t="s">
        <v>67</v>
      </c>
      <c r="C36" t="s">
        <v>68</v>
      </c>
      <c r="D36" t="s">
        <v>54</v>
      </c>
    </row>
    <row r="37" spans="1:4" x14ac:dyDescent="0.35">
      <c r="A37" t="s">
        <v>46</v>
      </c>
      <c r="B37" t="s">
        <v>67</v>
      </c>
      <c r="C37" t="s">
        <v>68</v>
      </c>
      <c r="D37" t="s">
        <v>44</v>
      </c>
    </row>
    <row r="38" spans="1:4" x14ac:dyDescent="0.35">
      <c r="A38" t="s">
        <v>61</v>
      </c>
      <c r="B38" t="s">
        <v>67</v>
      </c>
      <c r="C38" t="s">
        <v>68</v>
      </c>
      <c r="D38" t="s">
        <v>54</v>
      </c>
    </row>
    <row r="39" spans="1:4" x14ac:dyDescent="0.35">
      <c r="A39" t="s">
        <v>22</v>
      </c>
      <c r="B39" t="s">
        <v>67</v>
      </c>
      <c r="C39" t="s">
        <v>69</v>
      </c>
      <c r="D39" t="s">
        <v>10</v>
      </c>
    </row>
    <row r="40" spans="1:4" x14ac:dyDescent="0.35">
      <c r="A40" t="s">
        <v>31</v>
      </c>
      <c r="B40" t="s">
        <v>67</v>
      </c>
      <c r="C40" t="s">
        <v>69</v>
      </c>
      <c r="D40" t="s">
        <v>36</v>
      </c>
    </row>
    <row r="41" spans="1:4" x14ac:dyDescent="0.35">
      <c r="A41" t="s">
        <v>14</v>
      </c>
      <c r="B41" t="s">
        <v>67</v>
      </c>
      <c r="C41" t="s">
        <v>69</v>
      </c>
      <c r="D41" t="s">
        <v>10</v>
      </c>
    </row>
    <row r="42" spans="1:4" x14ac:dyDescent="0.35">
      <c r="A42" t="s">
        <v>79</v>
      </c>
      <c r="B42" t="s">
        <v>67</v>
      </c>
      <c r="C42" t="s">
        <v>69</v>
      </c>
      <c r="D42" t="s">
        <v>36</v>
      </c>
    </row>
    <row r="43" spans="1:4" x14ac:dyDescent="0.35">
      <c r="A43" t="s">
        <v>35</v>
      </c>
      <c r="B43" t="s">
        <v>67</v>
      </c>
      <c r="C43" t="s">
        <v>68</v>
      </c>
      <c r="D43" t="s">
        <v>36</v>
      </c>
    </row>
    <row r="44" spans="1:4" x14ac:dyDescent="0.35">
      <c r="A44" t="s">
        <v>28</v>
      </c>
      <c r="B44" t="s">
        <v>67</v>
      </c>
      <c r="C44" t="s">
        <v>69</v>
      </c>
      <c r="D44" t="s">
        <v>10</v>
      </c>
    </row>
    <row r="45" spans="1:4" x14ac:dyDescent="0.35">
      <c r="A45" t="s">
        <v>80</v>
      </c>
      <c r="B45" t="s">
        <v>67</v>
      </c>
      <c r="C45" t="s">
        <v>69</v>
      </c>
      <c r="D45" t="s">
        <v>10</v>
      </c>
    </row>
    <row r="46" spans="1:4" x14ac:dyDescent="0.35">
      <c r="A46" t="s">
        <v>25</v>
      </c>
      <c r="B46" t="s">
        <v>67</v>
      </c>
      <c r="C46" t="s">
        <v>69</v>
      </c>
      <c r="D46" t="s">
        <v>10</v>
      </c>
    </row>
    <row r="47" spans="1:4" x14ac:dyDescent="0.35">
      <c r="A47" t="s">
        <v>81</v>
      </c>
      <c r="B47" t="s">
        <v>67</v>
      </c>
      <c r="C47" t="s">
        <v>68</v>
      </c>
      <c r="D47" t="s">
        <v>36</v>
      </c>
    </row>
    <row r="48" spans="1:4" x14ac:dyDescent="0.35">
      <c r="A48" t="s">
        <v>82</v>
      </c>
      <c r="B48" t="s">
        <v>83</v>
      </c>
      <c r="C48" t="s">
        <v>84</v>
      </c>
      <c r="D48" t="s">
        <v>44</v>
      </c>
    </row>
    <row r="49" spans="1:4" x14ac:dyDescent="0.35">
      <c r="A49" t="s">
        <v>85</v>
      </c>
      <c r="B49" t="s">
        <v>83</v>
      </c>
      <c r="C49" t="s">
        <v>84</v>
      </c>
      <c r="D49" t="s">
        <v>36</v>
      </c>
    </row>
    <row r="50" spans="1:4" x14ac:dyDescent="0.35">
      <c r="A50" t="s">
        <v>86</v>
      </c>
      <c r="B50" t="s">
        <v>83</v>
      </c>
      <c r="C50" t="s">
        <v>84</v>
      </c>
      <c r="D50" t="s">
        <v>54</v>
      </c>
    </row>
    <row r="51" spans="1:4" x14ac:dyDescent="0.35">
      <c r="A51" t="s">
        <v>87</v>
      </c>
      <c r="B51" t="s">
        <v>83</v>
      </c>
      <c r="C51" t="s">
        <v>84</v>
      </c>
      <c r="D51" t="s">
        <v>44</v>
      </c>
    </row>
    <row r="52" spans="1:4" x14ac:dyDescent="0.35">
      <c r="A52" t="s">
        <v>88</v>
      </c>
      <c r="B52" t="s">
        <v>83</v>
      </c>
      <c r="C52" t="s">
        <v>89</v>
      </c>
      <c r="D52" t="s">
        <v>36</v>
      </c>
    </row>
    <row r="53" spans="1:4" x14ac:dyDescent="0.35">
      <c r="A53" t="s">
        <v>90</v>
      </c>
      <c r="B53" t="s">
        <v>83</v>
      </c>
      <c r="C53" t="s">
        <v>84</v>
      </c>
      <c r="D53" t="s">
        <v>44</v>
      </c>
    </row>
    <row r="54" spans="1:4" x14ac:dyDescent="0.35">
      <c r="A54" t="s">
        <v>91</v>
      </c>
      <c r="B54" t="s">
        <v>83</v>
      </c>
      <c r="C54" t="s">
        <v>84</v>
      </c>
      <c r="D54" t="s">
        <v>44</v>
      </c>
    </row>
    <row r="55" spans="1:4" x14ac:dyDescent="0.35">
      <c r="A55" t="s">
        <v>92</v>
      </c>
      <c r="B55" t="s">
        <v>83</v>
      </c>
      <c r="C55" t="s">
        <v>84</v>
      </c>
      <c r="D55" t="s">
        <v>44</v>
      </c>
    </row>
    <row r="56" spans="1:4" x14ac:dyDescent="0.35">
      <c r="A56" t="s">
        <v>93</v>
      </c>
      <c r="B56" t="s">
        <v>83</v>
      </c>
      <c r="C56" t="s">
        <v>84</v>
      </c>
      <c r="D56" t="s">
        <v>44</v>
      </c>
    </row>
    <row r="57" spans="1:4" x14ac:dyDescent="0.35">
      <c r="A57" t="s">
        <v>94</v>
      </c>
      <c r="B57" t="s">
        <v>83</v>
      </c>
      <c r="C57" t="s">
        <v>84</v>
      </c>
      <c r="D57" t="s">
        <v>44</v>
      </c>
    </row>
    <row r="58" spans="1:4" x14ac:dyDescent="0.35">
      <c r="A58" t="s">
        <v>95</v>
      </c>
      <c r="B58" t="s">
        <v>83</v>
      </c>
      <c r="C58" t="s">
        <v>89</v>
      </c>
      <c r="D58" t="s">
        <v>10</v>
      </c>
    </row>
    <row r="59" spans="1:4" x14ac:dyDescent="0.35">
      <c r="A59" t="s">
        <v>96</v>
      </c>
      <c r="B59" t="s">
        <v>83</v>
      </c>
      <c r="C59" t="s">
        <v>84</v>
      </c>
      <c r="D59" t="s">
        <v>36</v>
      </c>
    </row>
    <row r="60" spans="1:4" x14ac:dyDescent="0.35">
      <c r="A60" t="s">
        <v>97</v>
      </c>
      <c r="B60" t="s">
        <v>83</v>
      </c>
      <c r="C60" t="s">
        <v>89</v>
      </c>
      <c r="D60" t="s">
        <v>10</v>
      </c>
    </row>
    <row r="61" spans="1:4" x14ac:dyDescent="0.35">
      <c r="A61" t="s">
        <v>98</v>
      </c>
      <c r="B61" t="s">
        <v>83</v>
      </c>
      <c r="C61" t="s">
        <v>84</v>
      </c>
      <c r="D61" t="s">
        <v>36</v>
      </c>
    </row>
    <row r="62" spans="1:4" x14ac:dyDescent="0.35">
      <c r="A62" t="s">
        <v>99</v>
      </c>
      <c r="B62" t="s">
        <v>83</v>
      </c>
      <c r="C62" t="s">
        <v>89</v>
      </c>
      <c r="D62" t="s">
        <v>36</v>
      </c>
    </row>
    <row r="63" spans="1:4" x14ac:dyDescent="0.35">
      <c r="A63" t="s">
        <v>100</v>
      </c>
      <c r="B63" t="s">
        <v>83</v>
      </c>
      <c r="C63" t="s">
        <v>84</v>
      </c>
      <c r="D63" t="s">
        <v>44</v>
      </c>
    </row>
    <row r="64" spans="1:4" x14ac:dyDescent="0.35">
      <c r="A64" t="s">
        <v>101</v>
      </c>
      <c r="B64" t="s">
        <v>83</v>
      </c>
      <c r="C64" t="s">
        <v>84</v>
      </c>
      <c r="D64" t="s">
        <v>54</v>
      </c>
    </row>
    <row r="65" spans="1:4" x14ac:dyDescent="0.35">
      <c r="A65" t="s">
        <v>102</v>
      </c>
      <c r="B65" t="s">
        <v>83</v>
      </c>
      <c r="C65" t="s">
        <v>89</v>
      </c>
      <c r="D6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d_per_month2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Elizabeth Braatz</cp:lastModifiedBy>
  <dcterms:created xsi:type="dcterms:W3CDTF">2024-12-24T00:34:11Z</dcterms:created>
  <dcterms:modified xsi:type="dcterms:W3CDTF">2024-12-24T01:36:39Z</dcterms:modified>
</cp:coreProperties>
</file>