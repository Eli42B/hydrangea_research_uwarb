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1_{38847CB8-4150-49E1-A3FF-17DCE2492EB5}" xr6:coauthVersionLast="47" xr6:coauthVersionMax="47" xr10:uidLastSave="{00000000-0000-0000-0000-000000000000}"/>
  <bookViews>
    <workbookView xWindow="-110" yWindow="-110" windowWidth="19420" windowHeight="10420" activeTab="4" xr2:uid="{DC738BD0-9AD4-40C9-A080-E78D7AE40529}"/>
  </bookViews>
  <sheets>
    <sheet name="DAgg4" sheetId="4" r:id="rId1"/>
    <sheet name="VLookUp" sheetId="3" r:id="rId2"/>
    <sheet name="PivotTableCount" sheetId="2" r:id="rId3"/>
    <sheet name="RawData" sheetId="1" r:id="rId4"/>
    <sheet name="SpecAccum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5" l="1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6" i="5"/>
  <c r="C7" i="5"/>
  <c r="C8" i="5"/>
  <c r="C9" i="5"/>
  <c r="C10" i="5"/>
  <c r="C11" i="5"/>
  <c r="C12" i="5"/>
  <c r="C13" i="5"/>
  <c r="C14" i="5"/>
  <c r="C15" i="5"/>
  <c r="C4" i="5"/>
  <c r="C5" i="5"/>
  <c r="C3" i="5"/>
  <c r="C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C50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1" i="4"/>
  <c r="C52" i="4"/>
  <c r="C53" i="4"/>
  <c r="C54" i="4"/>
  <c r="C55" i="4"/>
  <c r="C56" i="4"/>
  <c r="C57" i="4"/>
  <c r="C58" i="4"/>
  <c r="C59" i="4"/>
  <c r="C60" i="4"/>
  <c r="E2" i="4"/>
  <c r="D2" i="4"/>
  <c r="C2" i="4"/>
</calcChain>
</file>

<file path=xl/sharedStrings.xml><?xml version="1.0" encoding="utf-8"?>
<sst xmlns="http://schemas.openxmlformats.org/spreadsheetml/2006/main" count="3005" uniqueCount="347">
  <si>
    <t>Date</t>
  </si>
  <si>
    <t>Month</t>
  </si>
  <si>
    <t>Tag.Number</t>
  </si>
  <si>
    <t>Collector</t>
  </si>
  <si>
    <t xml:space="preserve">Cultivar </t>
  </si>
  <si>
    <t>Species</t>
  </si>
  <si>
    <t>AscensionNumber</t>
  </si>
  <si>
    <t>Inflorescence.Type</t>
  </si>
  <si>
    <t>False.Sepals</t>
  </si>
  <si>
    <t>Flower.Type</t>
  </si>
  <si>
    <t>PaniclesPerTransect</t>
  </si>
  <si>
    <t>TotalPaniclesA</t>
  </si>
  <si>
    <t>AvgInflorescencesPerPanicle</t>
  </si>
  <si>
    <t>transects_per_plant</t>
  </si>
  <si>
    <t>TotalPaniclesB</t>
  </si>
  <si>
    <t>TotalInflorescences_A</t>
  </si>
  <si>
    <t>TotalInflorescences_B</t>
  </si>
  <si>
    <t>TotalInflorescences_AB</t>
  </si>
  <si>
    <t>Start.Time</t>
  </si>
  <si>
    <t>End.Time</t>
  </si>
  <si>
    <t>Rain</t>
  </si>
  <si>
    <t>Wind</t>
  </si>
  <si>
    <t>Cloud</t>
  </si>
  <si>
    <t>TempF</t>
  </si>
  <si>
    <t>InsectRichness</t>
  </si>
  <si>
    <t>Araneae</t>
  </si>
  <si>
    <t>Chauliognathus</t>
  </si>
  <si>
    <t>Cerambycidae</t>
  </si>
  <si>
    <t>Chrysomelidae</t>
  </si>
  <si>
    <t>Curculionidae</t>
  </si>
  <si>
    <t>Mordellidae</t>
  </si>
  <si>
    <t>Scarabaeoidea</t>
  </si>
  <si>
    <t>Diptera</t>
  </si>
  <si>
    <t>Bombyliidae</t>
  </si>
  <si>
    <t>Calliphoridae</t>
  </si>
  <si>
    <t>Conopidae</t>
  </si>
  <si>
    <t>Cecidomyiidae</t>
  </si>
  <si>
    <t>Culicidae</t>
  </si>
  <si>
    <t>Dolichopodidae</t>
  </si>
  <si>
    <t>Drosophilidae</t>
  </si>
  <si>
    <t>Empididae</t>
  </si>
  <si>
    <t>Muscidae</t>
  </si>
  <si>
    <t>Oestroidea</t>
  </si>
  <si>
    <t>Syrphidae_total</t>
  </si>
  <si>
    <t>Unknown_Bristly_Flies</t>
  </si>
  <si>
    <t>Tipulidae</t>
  </si>
  <si>
    <t>Ulidiidae</t>
  </si>
  <si>
    <t>Hemiptera</t>
  </si>
  <si>
    <t>Aphididae</t>
  </si>
  <si>
    <t>Cicadellidae</t>
  </si>
  <si>
    <t>Miridae</t>
  </si>
  <si>
    <t>Reduviidae</t>
  </si>
  <si>
    <t>Hymenoptera</t>
  </si>
  <si>
    <t>Xylocopa</t>
  </si>
  <si>
    <t>Andrenidae</t>
  </si>
  <si>
    <t>Protandrena</t>
  </si>
  <si>
    <t>Apis.mellifera</t>
  </si>
  <si>
    <t>Melissodes</t>
  </si>
  <si>
    <t>Cerceris</t>
  </si>
  <si>
    <t>Astata</t>
  </si>
  <si>
    <t>Chrysididae</t>
  </si>
  <si>
    <t>Hylaeus</t>
  </si>
  <si>
    <t>Halictidae</t>
  </si>
  <si>
    <t>Agapostemon</t>
  </si>
  <si>
    <t>Augochlora</t>
  </si>
  <si>
    <t>Green.Sweatbee</t>
  </si>
  <si>
    <t>Halictus</t>
  </si>
  <si>
    <t>Lasioglossum</t>
  </si>
  <si>
    <t>Bombus affinis</t>
  </si>
  <si>
    <t>Bombus auricomus</t>
  </si>
  <si>
    <t>Bombus impatiens</t>
  </si>
  <si>
    <t>Bombus bimaculatus</t>
  </si>
  <si>
    <t>Bombus griseocollis</t>
  </si>
  <si>
    <t>Bombus vagans</t>
  </si>
  <si>
    <t>Symmorphus</t>
  </si>
  <si>
    <t>Eurytoma</t>
  </si>
  <si>
    <t>Braconidae</t>
  </si>
  <si>
    <t>Apocrita</t>
  </si>
  <si>
    <t>Scolia</t>
  </si>
  <si>
    <t>Sphecius speciosus</t>
  </si>
  <si>
    <t>Sphex</t>
  </si>
  <si>
    <t>Vespidae</t>
  </si>
  <si>
    <t>Dolichovespula.maculata</t>
  </si>
  <si>
    <t>Dolichovespula</t>
  </si>
  <si>
    <t>Lepidoptera</t>
  </si>
  <si>
    <t>Hesperiidae</t>
  </si>
  <si>
    <t>Celastrina ladon</t>
  </si>
  <si>
    <t>Epargyreus clarus</t>
  </si>
  <si>
    <t>Libythean carinenta</t>
  </si>
  <si>
    <t>Pieris rapae</t>
  </si>
  <si>
    <t>Polygonia comma</t>
  </si>
  <si>
    <t>Vanessa atalanta</t>
  </si>
  <si>
    <t>Notes</t>
  </si>
  <si>
    <t>Jul</t>
  </si>
  <si>
    <t>11A</t>
  </si>
  <si>
    <t>E. Braatz</t>
  </si>
  <si>
    <t>Dharuma</t>
  </si>
  <si>
    <t>Hydrangea paniculata</t>
  </si>
  <si>
    <t>Open</t>
  </si>
  <si>
    <t>Lacy panicle</t>
  </si>
  <si>
    <t>NA</t>
  </si>
  <si>
    <t>11E</t>
  </si>
  <si>
    <t>Seaside Serenade Bar</t>
  </si>
  <si>
    <t>Hydrangea arborescens</t>
  </si>
  <si>
    <t>19008B</t>
  </si>
  <si>
    <t>Dense</t>
  </si>
  <si>
    <t>Mop</t>
  </si>
  <si>
    <t>1A</t>
  </si>
  <si>
    <t>Strawberry Shake</t>
  </si>
  <si>
    <t>18031B</t>
  </si>
  <si>
    <t>Very dense</t>
  </si>
  <si>
    <t>Mop-like panicle</t>
  </si>
  <si>
    <t>4A</t>
  </si>
  <si>
    <t>White Diamonds</t>
  </si>
  <si>
    <t>Half-open</t>
  </si>
  <si>
    <t>5A</t>
  </si>
  <si>
    <t>Quick Fire</t>
  </si>
  <si>
    <t>8A</t>
  </si>
  <si>
    <t>Mega Pearl</t>
  </si>
  <si>
    <t>9A</t>
  </si>
  <si>
    <t>Fire &amp; Ice</t>
  </si>
  <si>
    <t>12F</t>
  </si>
  <si>
    <t>White Dome</t>
  </si>
  <si>
    <t>Lacy</t>
  </si>
  <si>
    <t>10C</t>
  </si>
  <si>
    <t>Fire Light</t>
  </si>
  <si>
    <t>10D</t>
  </si>
  <si>
    <t>Daimond Rogue</t>
  </si>
  <si>
    <t>11C</t>
  </si>
  <si>
    <t>Little Quick Fire</t>
  </si>
  <si>
    <t>13C</t>
  </si>
  <si>
    <t>18008B</t>
  </si>
  <si>
    <t>14C</t>
  </si>
  <si>
    <t>18008A</t>
  </si>
  <si>
    <t>16C</t>
  </si>
  <si>
    <t>Goldenrod soldier beetles</t>
  </si>
  <si>
    <t>18D</t>
  </si>
  <si>
    <t>Bobo</t>
  </si>
  <si>
    <t>12031B</t>
  </si>
  <si>
    <t>2C</t>
  </si>
  <si>
    <t>Pinky Winky</t>
  </si>
  <si>
    <t>2F</t>
  </si>
  <si>
    <t>Silver Leaf</t>
  </si>
  <si>
    <t>Unknown</t>
  </si>
  <si>
    <t>Syrphid fly escaped</t>
  </si>
  <si>
    <t>4C</t>
  </si>
  <si>
    <t>Little Lamb</t>
  </si>
  <si>
    <t>4F</t>
  </si>
  <si>
    <t>Haas Halo</t>
  </si>
  <si>
    <t>5F</t>
  </si>
  <si>
    <t>Bella Anna</t>
  </si>
  <si>
    <t>8C</t>
  </si>
  <si>
    <t>18031A</t>
  </si>
  <si>
    <t>Syrphid</t>
  </si>
  <si>
    <t>9F</t>
  </si>
  <si>
    <t>Incrediball</t>
  </si>
  <si>
    <t>11D</t>
  </si>
  <si>
    <t>Kyushu</t>
  </si>
  <si>
    <t>19D</t>
  </si>
  <si>
    <t>Puffer Fish</t>
  </si>
  <si>
    <t>2023-030</t>
  </si>
  <si>
    <t>2 Golden digger waps</t>
  </si>
  <si>
    <t>20D</t>
  </si>
  <si>
    <t>Early Evolution</t>
  </si>
  <si>
    <t>2023-026A</t>
  </si>
  <si>
    <t>5B</t>
  </si>
  <si>
    <t>6D</t>
  </si>
  <si>
    <t>Strawberry Sundae</t>
  </si>
  <si>
    <t>10E</t>
  </si>
  <si>
    <t>G. Meneses</t>
  </si>
  <si>
    <t>3E</t>
  </si>
  <si>
    <t>Bounty</t>
  </si>
  <si>
    <t>4E</t>
  </si>
  <si>
    <t>Hayes Starburst</t>
  </si>
  <si>
    <t>5E</t>
  </si>
  <si>
    <t>Annabelle</t>
  </si>
  <si>
    <t>6E</t>
  </si>
  <si>
    <t>Riven Lace</t>
  </si>
  <si>
    <t>B8</t>
  </si>
  <si>
    <t>10B</t>
  </si>
  <si>
    <t>Pink Lady</t>
  </si>
  <si>
    <t>12A</t>
  </si>
  <si>
    <t>Candy Apple</t>
  </si>
  <si>
    <t>13B</t>
  </si>
  <si>
    <t>19B</t>
  </si>
  <si>
    <t>3A</t>
  </si>
  <si>
    <t>Sweet Summer</t>
  </si>
  <si>
    <t>6A</t>
  </si>
  <si>
    <t>Honey Comb</t>
  </si>
  <si>
    <t>6B</t>
  </si>
  <si>
    <t>9E</t>
  </si>
  <si>
    <t>12C</t>
  </si>
  <si>
    <t>Polar Ball</t>
  </si>
  <si>
    <t>1 Golden digger wasp</t>
  </si>
  <si>
    <t>16B</t>
  </si>
  <si>
    <t>Dolly</t>
  </si>
  <si>
    <t>Forgot to enter</t>
  </si>
  <si>
    <t>1C</t>
  </si>
  <si>
    <t>Ruby</t>
  </si>
  <si>
    <t>22B</t>
  </si>
  <si>
    <t>Limelight Prime</t>
  </si>
  <si>
    <t>23B</t>
  </si>
  <si>
    <t>Quick Fire Fabulous</t>
  </si>
  <si>
    <t>No tag</t>
  </si>
  <si>
    <t>Lots of bracts</t>
  </si>
  <si>
    <t>24B</t>
  </si>
  <si>
    <t>Little Lime Punch</t>
  </si>
  <si>
    <t>26B</t>
  </si>
  <si>
    <t>Berry White</t>
  </si>
  <si>
    <t>27B</t>
  </si>
  <si>
    <t>20012B</t>
  </si>
  <si>
    <t>Weird bracts; tree</t>
  </si>
  <si>
    <t>3D</t>
  </si>
  <si>
    <t>Vanilla Strawberry</t>
  </si>
  <si>
    <t>Shaded</t>
  </si>
  <si>
    <t>9B</t>
  </si>
  <si>
    <t>Silver Dollar</t>
  </si>
  <si>
    <t>Very light sprinkle--sunny, but rained a bit</t>
  </si>
  <si>
    <t>2 Agapostemon</t>
  </si>
  <si>
    <t>9C</t>
  </si>
  <si>
    <t>Pillow Talk</t>
  </si>
  <si>
    <t>11F</t>
  </si>
  <si>
    <t>Invincibelle</t>
  </si>
  <si>
    <t>7/3 to 7/17 are missing a lot of pannicle data because I forgot</t>
  </si>
  <si>
    <t>2A</t>
  </si>
  <si>
    <t>Baby Lace</t>
  </si>
  <si>
    <t>Aug</t>
  </si>
  <si>
    <t>10A</t>
  </si>
  <si>
    <t>11B</t>
  </si>
  <si>
    <t>15B</t>
  </si>
  <si>
    <t>Zinfin Doll</t>
  </si>
  <si>
    <t>21B</t>
  </si>
  <si>
    <t>E.Braatz</t>
  </si>
  <si>
    <t>Great Star</t>
  </si>
  <si>
    <t>2B</t>
  </si>
  <si>
    <t>Phantom</t>
  </si>
  <si>
    <t>Ended sampling early because vacuum battery died</t>
  </si>
  <si>
    <t>3B</t>
  </si>
  <si>
    <t>Little Lime</t>
  </si>
  <si>
    <t>Many bracts and few flowers</t>
  </si>
  <si>
    <t>Not blooming--only buds and bracts</t>
  </si>
  <si>
    <t>7A</t>
  </si>
  <si>
    <t>Tickled Pink</t>
  </si>
  <si>
    <t>8B</t>
  </si>
  <si>
    <t>feels about to rain</t>
  </si>
  <si>
    <t>J. Goldsby</t>
  </si>
  <si>
    <t>1D</t>
  </si>
  <si>
    <t>Floribunda</t>
  </si>
  <si>
    <t>87273-0</t>
  </si>
  <si>
    <t>2D</t>
  </si>
  <si>
    <t>4D</t>
  </si>
  <si>
    <t>Also 1 moth/butterfly</t>
  </si>
  <si>
    <t>12D</t>
  </si>
  <si>
    <t>15D</t>
  </si>
  <si>
    <t>16D</t>
  </si>
  <si>
    <t>Green Spire</t>
  </si>
  <si>
    <t>Also 1 butterfly/moth (same color as 11D)</t>
  </si>
  <si>
    <t>17D</t>
  </si>
  <si>
    <t>21D</t>
  </si>
  <si>
    <t>20012A</t>
  </si>
  <si>
    <t>6F</t>
  </si>
  <si>
    <t>Invincibelle Spirit</t>
  </si>
  <si>
    <t>7D</t>
  </si>
  <si>
    <t>Pink Diamond</t>
  </si>
  <si>
    <t>8D</t>
  </si>
  <si>
    <t>Limelight</t>
  </si>
  <si>
    <t>5D</t>
  </si>
  <si>
    <t>Brussels Lace</t>
  </si>
  <si>
    <t>Mostly done blooming--only 2 blooms left</t>
  </si>
  <si>
    <t>5 petal common</t>
  </si>
  <si>
    <t>2 unknown skippers</t>
  </si>
  <si>
    <t>Only tops of panicles blooming, very small</t>
  </si>
  <si>
    <t>2 hummingbirds outside survey</t>
  </si>
  <si>
    <t>13D</t>
  </si>
  <si>
    <t>1 unknown skipper</t>
  </si>
  <si>
    <t>1 unknown moth</t>
  </si>
  <si>
    <t>Some flowers with double bracts</t>
  </si>
  <si>
    <t>Many blooms past</t>
  </si>
  <si>
    <t>E. Braatz + J. Goldsby</t>
  </si>
  <si>
    <t>1 rusty patched bumble bee seen outside of sampling time (10:45am)</t>
  </si>
  <si>
    <t>extra sepals</t>
  </si>
  <si>
    <t>Not many open flowers and colder day so fewer bugs, especially fewer small bugs</t>
  </si>
  <si>
    <t>Not many open flowers</t>
  </si>
  <si>
    <t>7E</t>
  </si>
  <si>
    <t>Invincibelle Wee White</t>
  </si>
  <si>
    <t>No bugs and shaded</t>
  </si>
  <si>
    <t>10F</t>
  </si>
  <si>
    <t>Brown butterfly (painted lady?)</t>
  </si>
  <si>
    <t>Sweatfly</t>
  </si>
  <si>
    <t>3F</t>
  </si>
  <si>
    <t>Lime Rickey</t>
  </si>
  <si>
    <t>8F</t>
  </si>
  <si>
    <t>Pink Pincushion</t>
  </si>
  <si>
    <t>5 flies</t>
  </si>
  <si>
    <t>E8</t>
  </si>
  <si>
    <t>No bugs</t>
  </si>
  <si>
    <t>25B</t>
  </si>
  <si>
    <t>2023-026B</t>
  </si>
  <si>
    <t>No bugs and done blooming?</t>
  </si>
  <si>
    <t>12E</t>
  </si>
  <si>
    <t>Invincibelle Mini Mauvette</t>
  </si>
  <si>
    <t>1E and 2E</t>
  </si>
  <si>
    <t>8E</t>
  </si>
  <si>
    <t>Ryan Gainey</t>
  </si>
  <si>
    <t>No bugs and almost done blooming</t>
  </si>
  <si>
    <t>12B</t>
  </si>
  <si>
    <t>Lots of bracts/false sepals, zero panicles listed deliberately</t>
  </si>
  <si>
    <t>17B</t>
  </si>
  <si>
    <t>Lots of bracts and no bugs</t>
  </si>
  <si>
    <t>20B</t>
  </si>
  <si>
    <t>Only bracts and no flowers open</t>
  </si>
  <si>
    <t>Almost all done blooming</t>
  </si>
  <si>
    <t>No bugs and mostly done blooming</t>
  </si>
  <si>
    <t>No bugs and nearly done blooming 8/8/24</t>
  </si>
  <si>
    <t>No pollinators seen</t>
  </si>
  <si>
    <t>Saw some flies but failed to catch</t>
  </si>
  <si>
    <t>Past bloom but still noticed a couple flies on levaes/fruit</t>
  </si>
  <si>
    <t>No pollinators seen, past bloom</t>
  </si>
  <si>
    <t>No data taken since past bloom but still noticed a couple flies on levaes/fruit</t>
  </si>
  <si>
    <t>7F</t>
  </si>
  <si>
    <t>18B</t>
  </si>
  <si>
    <t>Big Ben</t>
  </si>
  <si>
    <t>1 hummingbird outside of survey window</t>
  </si>
  <si>
    <t>Heat advisory going on</t>
  </si>
  <si>
    <t>Row Labels</t>
  </si>
  <si>
    <t>#N/A</t>
  </si>
  <si>
    <t>Grand Total</t>
  </si>
  <si>
    <t>Count of InsectRichness</t>
  </si>
  <si>
    <t>Cultivar</t>
  </si>
  <si>
    <t>Flower Type</t>
  </si>
  <si>
    <t>Inflorescence Type</t>
  </si>
  <si>
    <t>Unique</t>
  </si>
  <si>
    <t>Mega Mindy</t>
  </si>
  <si>
    <t>White Moth</t>
  </si>
  <si>
    <t>Late</t>
  </si>
  <si>
    <t>Invincibelle Spirit II</t>
  </si>
  <si>
    <t>INCREDIBALL</t>
  </si>
  <si>
    <t>Seaside Serenade Bar Harbor</t>
  </si>
  <si>
    <t>LIME RICKEY</t>
  </si>
  <si>
    <t>BELLA ANNA</t>
  </si>
  <si>
    <t>Incrediball Blush</t>
  </si>
  <si>
    <t>Invincibelle Ruby</t>
  </si>
  <si>
    <t>WHITE DOME</t>
  </si>
  <si>
    <t>Insect Richness</t>
  </si>
  <si>
    <t>NumSurveys</t>
  </si>
  <si>
    <t>NewSpp</t>
  </si>
  <si>
    <t>CumulativeSpp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</si>
</sst>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18" fillId="34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0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5649.515096643518" createdVersion="8" refreshedVersion="8" minRefreshableVersion="3" recordCount="287" xr:uid="{820EC9FA-4877-4636-B83E-D27CB364F23C}">
  <cacheSource type="worksheet">
    <worksheetSource ref="B1:CP288" sheet="RawData"/>
  </cacheSource>
  <cacheFields count="93">
    <cacheField name="Date" numFmtId="0">
      <sharedItems containsSemiMixedTypes="0" containsString="0" containsNumber="1" containsInteger="1" minValue="45476" maxValue="45533"/>
    </cacheField>
    <cacheField name="Month" numFmtId="0">
      <sharedItems/>
    </cacheField>
    <cacheField name="Tag.Number" numFmtId="0">
      <sharedItems/>
    </cacheField>
    <cacheField name="Collector" numFmtId="0">
      <sharedItems containsBlank="1"/>
    </cacheField>
    <cacheField name="Cultivar " numFmtId="0">
      <sharedItems count="60">
        <s v="Dharuma"/>
        <s v="Seaside Serenade Bar"/>
        <s v="Strawberry Shake"/>
        <s v="White Diamonds"/>
        <s v="Quick Fire"/>
        <s v="Mega Pearl"/>
        <s v="Fire &amp; Ice"/>
        <s v="White Dome"/>
        <s v="Fire Light"/>
        <s v="Daimond Rogue"/>
        <s v="Little Quick Fire"/>
        <s v="Bobo"/>
        <s v="Pinky Winky"/>
        <s v="Silver Leaf"/>
        <s v="Little Lamb"/>
        <s v="Haas Halo"/>
        <s v="Bella Anna"/>
        <s v="Incrediball"/>
        <s v="Kyushu"/>
        <s v="Puffer Fish"/>
        <s v="Early Evolution"/>
        <s v="Strawberry Sundae"/>
        <s v="Bounty"/>
        <s v="Hayes Starburst"/>
        <s v="Annabelle"/>
        <s v="Riven Lace"/>
        <e v="#N/A"/>
        <s v="Pink Lady"/>
        <s v="Candy Apple"/>
        <s v="Sweet Summer"/>
        <s v="Honey Comb"/>
        <s v="Polar Ball"/>
        <s v="Dolly"/>
        <s v="Ruby"/>
        <s v="Limelight Prime"/>
        <s v="Quick Fire Fabulous"/>
        <s v="Little Lime Punch"/>
        <s v="Berry White"/>
        <s v="Vanilla Strawberry"/>
        <s v="Silver Dollar"/>
        <s v="Pillow Talk"/>
        <s v="Invincibelle"/>
        <s v="Baby Lace"/>
        <s v="Zinfin Doll"/>
        <s v="Great Star"/>
        <s v="Phantom"/>
        <s v="Little Lime"/>
        <s v="Tickled Pink"/>
        <s v="Floribunda"/>
        <s v="Green Spire"/>
        <s v="Invincibelle Spirit"/>
        <s v="Pink Diamond"/>
        <s v="Limelight"/>
        <s v="Brussels Lace"/>
        <s v="Invincibelle Wee White"/>
        <s v="Lime Rickey"/>
        <s v="Pink Pincushion"/>
        <s v="Invincibelle Mini Mauvette"/>
        <s v="Ryan Gainey"/>
        <s v="Big Ben"/>
      </sharedItems>
    </cacheField>
    <cacheField name="Species" numFmtId="0">
      <sharedItems count="3">
        <s v="Hydrangea paniculata"/>
        <s v="Hydrangea arborescens"/>
        <e v="#N/A"/>
      </sharedItems>
    </cacheField>
    <cacheField name="AscensionNumber" numFmtId="0">
      <sharedItems containsMixedTypes="1" containsNumber="1" containsInteger="1" minValue="1004" maxValue="98053"/>
    </cacheField>
    <cacheField name="Inflorescence.Type" numFmtId="0">
      <sharedItems count="5">
        <s v="Open"/>
        <s v="Dense"/>
        <s v="Very dense"/>
        <s v="Half-open"/>
        <e v="#N/A"/>
      </sharedItems>
    </cacheField>
    <cacheField name="False.Sepals" numFmtId="0">
      <sharedItems containsMixedTypes="1" containsNumber="1" containsInteger="1" minValue="3" maxValue="8"/>
    </cacheField>
    <cacheField name="Flower.Type" numFmtId="0">
      <sharedItems count="5">
        <s v="Lacy panicle"/>
        <s v="Mop"/>
        <s v="Mop-like panicle"/>
        <s v="Lacy"/>
        <e v="#N/A"/>
      </sharedItems>
    </cacheField>
    <cacheField name="PaniclesPerTransect" numFmtId="0">
      <sharedItems containsBlank="1" containsMixedTypes="1" containsNumber="1" minValue="0" maxValue="33"/>
    </cacheField>
    <cacheField name="TotalPaniclesA" numFmtId="0">
      <sharedItems containsMixedTypes="1" containsNumber="1" containsInteger="1" minValue="1" maxValue="318"/>
    </cacheField>
    <cacheField name="AvgInflorescencesPerPanicle" numFmtId="0">
      <sharedItems containsMixedTypes="1" containsNumber="1" minValue="0" maxValue="1248"/>
    </cacheField>
    <cacheField name="transects_per_plant" numFmtId="0">
      <sharedItems containsMixedTypes="1" containsNumber="1" minValue="0" maxValue="44.668942919999999"/>
    </cacheField>
    <cacheField name="TotalPaniclesB" numFmtId="0">
      <sharedItems containsBlank="1" containsMixedTypes="1" containsNumber="1" minValue="0" maxValue="504.08446279999998"/>
    </cacheField>
    <cacheField name="TotalInflorescences_A" numFmtId="0">
      <sharedItems containsBlank="1" containsMixedTypes="1" containsNumber="1" minValue="0" maxValue="22837"/>
    </cacheField>
    <cacheField name="TotalInflorescences_B" numFmtId="0">
      <sharedItems containsBlank="1" containsMixedTypes="1" containsNumber="1" minValue="0" maxValue="121160.7936"/>
    </cacheField>
    <cacheField name="TotalInflorescences_AB" numFmtId="0">
      <sharedItems containsBlank="1" containsMixedTypes="1" containsNumber="1" minValue="0" maxValue="121160.7936"/>
    </cacheField>
    <cacheField name="Start.Time" numFmtId="0">
      <sharedItems containsMixedTypes="1" containsNumber="1" minValue="0.13888888899999999" maxValue="0.78819444400000005"/>
    </cacheField>
    <cacheField name="End.Time" numFmtId="0">
      <sharedItems containsMixedTypes="1" containsNumber="1" minValue="0.114583333" maxValue="0.79166666699999999"/>
    </cacheField>
    <cacheField name="Rain" numFmtId="0">
      <sharedItems containsMixedTypes="1" containsNumber="1" containsInteger="1" minValue="0" maxValue="1"/>
    </cacheField>
    <cacheField name="Wind" numFmtId="0">
      <sharedItems containsMixedTypes="1" containsNumber="1" containsInteger="1" minValue="0" maxValue="23"/>
    </cacheField>
    <cacheField name="Cloud" numFmtId="0">
      <sharedItems containsMixedTypes="1" containsNumber="1" containsInteger="1" minValue="0" maxValue="100"/>
    </cacheField>
    <cacheField name="TempF" numFmtId="0">
      <sharedItems containsMixedTypes="1" containsNumber="1" containsInteger="1" minValue="60" maxValue="91"/>
    </cacheField>
    <cacheField name="InsectRichness" numFmtId="0">
      <sharedItems containsSemiMixedTypes="0" containsString="0" containsNumber="1" containsInteger="1" minValue="0" maxValue="12" count="13">
        <n v="5"/>
        <n v="2"/>
        <n v="6"/>
        <n v="7"/>
        <n v="1"/>
        <n v="9"/>
        <n v="4"/>
        <n v="3"/>
        <n v="8"/>
        <n v="12"/>
        <n v="10"/>
        <n v="11"/>
        <n v="0"/>
      </sharedItems>
    </cacheField>
    <cacheField name="Araneae" numFmtId="0">
      <sharedItems containsSemiMixedTypes="0" containsString="0" containsNumber="1" containsInteger="1" minValue="0" maxValue="1"/>
    </cacheField>
    <cacheField name="Chauliognathus" numFmtId="0">
      <sharedItems containsSemiMixedTypes="0" containsString="0" containsNumber="1" containsInteger="1" minValue="0" maxValue="1"/>
    </cacheField>
    <cacheField name="Cerambycidae" numFmtId="0">
      <sharedItems containsSemiMixedTypes="0" containsString="0" containsNumber="1" containsInteger="1" minValue="0" maxValue="1"/>
    </cacheField>
    <cacheField name="Chrysomelidae" numFmtId="0">
      <sharedItems containsSemiMixedTypes="0" containsString="0" containsNumber="1" containsInteger="1" minValue="0" maxValue="1"/>
    </cacheField>
    <cacheField name="Curculionidae" numFmtId="0">
      <sharedItems containsSemiMixedTypes="0" containsString="0" containsNumber="1" containsInteger="1" minValue="0" maxValue="1"/>
    </cacheField>
    <cacheField name="Mordellidae" numFmtId="0">
      <sharedItems containsSemiMixedTypes="0" containsString="0" containsNumber="1" containsInteger="1" minValue="0" maxValue="1"/>
    </cacheField>
    <cacheField name="Scarabaeoidea" numFmtId="0">
      <sharedItems containsSemiMixedTypes="0" containsString="0" containsNumber="1" containsInteger="1" minValue="0" maxValue="1"/>
    </cacheField>
    <cacheField name="Diptera" numFmtId="0">
      <sharedItems containsSemiMixedTypes="0" containsString="0" containsNumber="1" containsInteger="1" minValue="0" maxValue="1"/>
    </cacheField>
    <cacheField name="Bombyliidae" numFmtId="0">
      <sharedItems containsSemiMixedTypes="0" containsString="0" containsNumber="1" containsInteger="1" minValue="0" maxValue="1"/>
    </cacheField>
    <cacheField name="Calliphoridae" numFmtId="0">
      <sharedItems containsSemiMixedTypes="0" containsString="0" containsNumber="1" containsInteger="1" minValue="0" maxValue="1"/>
    </cacheField>
    <cacheField name="Conopidae" numFmtId="0">
      <sharedItems containsSemiMixedTypes="0" containsString="0" containsNumber="1" containsInteger="1" minValue="0" maxValue="1"/>
    </cacheField>
    <cacheField name="Cecidomyiidae" numFmtId="0">
      <sharedItems containsSemiMixedTypes="0" containsString="0" containsNumber="1" containsInteger="1" minValue="0" maxValue="1"/>
    </cacheField>
    <cacheField name="Culicidae" numFmtId="0">
      <sharedItems containsSemiMixedTypes="0" containsString="0" containsNumber="1" containsInteger="1" minValue="0" maxValue="1"/>
    </cacheField>
    <cacheField name="Dolichopodidae" numFmtId="0">
      <sharedItems containsSemiMixedTypes="0" containsString="0" containsNumber="1" containsInteger="1" minValue="0" maxValue="1"/>
    </cacheField>
    <cacheField name="Drosophilidae" numFmtId="0">
      <sharedItems containsSemiMixedTypes="0" containsString="0" containsNumber="1" containsInteger="1" minValue="0" maxValue="1"/>
    </cacheField>
    <cacheField name="Empididae" numFmtId="0">
      <sharedItems containsSemiMixedTypes="0" containsString="0" containsNumber="1" containsInteger="1" minValue="0" maxValue="1"/>
    </cacheField>
    <cacheField name="Muscidae" numFmtId="0">
      <sharedItems containsSemiMixedTypes="0" containsString="0" containsNumber="1" containsInteger="1" minValue="0" maxValue="1"/>
    </cacheField>
    <cacheField name="Oestroidea" numFmtId="0">
      <sharedItems containsSemiMixedTypes="0" containsString="0" containsNumber="1" containsInteger="1" minValue="0" maxValue="1"/>
    </cacheField>
    <cacheField name="Syrphidae_total" numFmtId="0">
      <sharedItems containsSemiMixedTypes="0" containsString="0" containsNumber="1" containsInteger="1" minValue="0" maxValue="1"/>
    </cacheField>
    <cacheField name="Unknown_Bristly_Flies" numFmtId="0">
      <sharedItems containsSemiMixedTypes="0" containsString="0" containsNumber="1" containsInteger="1" minValue="0" maxValue="1"/>
    </cacheField>
    <cacheField name="Tipulidae" numFmtId="0">
      <sharedItems containsSemiMixedTypes="0" containsString="0" containsNumber="1" containsInteger="1" minValue="0" maxValue="1"/>
    </cacheField>
    <cacheField name="Ulidiidae" numFmtId="0">
      <sharedItems containsSemiMixedTypes="0" containsString="0" containsNumber="1" containsInteger="1" minValue="0" maxValue="1"/>
    </cacheField>
    <cacheField name="Hemiptera" numFmtId="0">
      <sharedItems containsSemiMixedTypes="0" containsString="0" containsNumber="1" containsInteger="1" minValue="0" maxValue="1"/>
    </cacheField>
    <cacheField name="Aphididae" numFmtId="0">
      <sharedItems containsSemiMixedTypes="0" containsString="0" containsNumber="1" containsInteger="1" minValue="0" maxValue="1"/>
    </cacheField>
    <cacheField name="Cicadellidae" numFmtId="0">
      <sharedItems containsSemiMixedTypes="0" containsString="0" containsNumber="1" containsInteger="1" minValue="0" maxValue="1"/>
    </cacheField>
    <cacheField name="Miridae" numFmtId="0">
      <sharedItems containsSemiMixedTypes="0" containsString="0" containsNumber="1" containsInteger="1" minValue="0" maxValue="1"/>
    </cacheField>
    <cacheField name="Reduviidae" numFmtId="0">
      <sharedItems containsSemiMixedTypes="0" containsString="0" containsNumber="1" containsInteger="1" minValue="0" maxValue="1"/>
    </cacheField>
    <cacheField name="Hymenoptera" numFmtId="0">
      <sharedItems containsSemiMixedTypes="0" containsString="0" containsNumber="1" containsInteger="1" minValue="0" maxValue="1"/>
    </cacheField>
    <cacheField name="Xylocopa" numFmtId="0">
      <sharedItems containsSemiMixedTypes="0" containsString="0" containsNumber="1" containsInteger="1" minValue="0" maxValue="1"/>
    </cacheField>
    <cacheField name="Andrenidae" numFmtId="0">
      <sharedItems containsSemiMixedTypes="0" containsString="0" containsNumber="1" containsInteger="1" minValue="0" maxValue="0"/>
    </cacheField>
    <cacheField name="Protandrena" numFmtId="0">
      <sharedItems containsSemiMixedTypes="0" containsString="0" containsNumber="1" containsInteger="1" minValue="0" maxValue="1"/>
    </cacheField>
    <cacheField name="Apis.mellifera" numFmtId="0">
      <sharedItems containsSemiMixedTypes="0" containsString="0" containsNumber="1" containsInteger="1" minValue="0" maxValue="1"/>
    </cacheField>
    <cacheField name="Melissodes" numFmtId="0">
      <sharedItems containsSemiMixedTypes="0" containsString="0" containsNumber="1" containsInteger="1" minValue="0" maxValue="1"/>
    </cacheField>
    <cacheField name="Cerceris" numFmtId="0">
      <sharedItems containsSemiMixedTypes="0" containsString="0" containsNumber="1" containsInteger="1" minValue="0" maxValue="1"/>
    </cacheField>
    <cacheField name="Astata" numFmtId="0">
      <sharedItems containsSemiMixedTypes="0" containsString="0" containsNumber="1" containsInteger="1" minValue="0" maxValue="1"/>
    </cacheField>
    <cacheField name="Chrysididae" numFmtId="0">
      <sharedItems containsSemiMixedTypes="0" containsString="0" containsNumber="1" containsInteger="1" minValue="0" maxValue="1"/>
    </cacheField>
    <cacheField name="Hylaeus" numFmtId="0">
      <sharedItems containsSemiMixedTypes="0" containsString="0" containsNumber="1" containsInteger="1" minValue="0" maxValue="1"/>
    </cacheField>
    <cacheField name="Halictidae" numFmtId="0">
      <sharedItems containsSemiMixedTypes="0" containsString="0" containsNumber="1" containsInteger="1" minValue="0" maxValue="1"/>
    </cacheField>
    <cacheField name="Agapostemon" numFmtId="0">
      <sharedItems containsSemiMixedTypes="0" containsString="0" containsNumber="1" containsInteger="1" minValue="0" maxValue="1"/>
    </cacheField>
    <cacheField name="Augochlora" numFmtId="0">
      <sharedItems containsSemiMixedTypes="0" containsString="0" containsNumber="1" containsInteger="1" minValue="0" maxValue="1"/>
    </cacheField>
    <cacheField name="Green.Sweatbee" numFmtId="0">
      <sharedItems containsSemiMixedTypes="0" containsString="0" containsNumber="1" containsInteger="1" minValue="0" maxValue="1"/>
    </cacheField>
    <cacheField name="Halictus" numFmtId="0">
      <sharedItems containsSemiMixedTypes="0" containsString="0" containsNumber="1" containsInteger="1" minValue="0" maxValue="1"/>
    </cacheField>
    <cacheField name="Lasioglossum" numFmtId="0">
      <sharedItems containsSemiMixedTypes="0" containsString="0" containsNumber="1" containsInteger="1" minValue="0" maxValue="1"/>
    </cacheField>
    <cacheField name="Bombus affinis" numFmtId="0">
      <sharedItems containsSemiMixedTypes="0" containsString="0" containsNumber="1" containsInteger="1" minValue="0" maxValue="1"/>
    </cacheField>
    <cacheField name="Bombus auricomus" numFmtId="0">
      <sharedItems containsSemiMixedTypes="0" containsString="0" containsNumber="1" containsInteger="1" minValue="0" maxValue="1"/>
    </cacheField>
    <cacheField name="Bombus impatiens" numFmtId="0">
      <sharedItems containsSemiMixedTypes="0" containsString="0" containsNumber="1" containsInteger="1" minValue="0" maxValue="1"/>
    </cacheField>
    <cacheField name="Bombus bimaculatus" numFmtId="0">
      <sharedItems containsSemiMixedTypes="0" containsString="0" containsNumber="1" containsInteger="1" minValue="0" maxValue="1"/>
    </cacheField>
    <cacheField name="Bombus griseocollis" numFmtId="0">
      <sharedItems containsSemiMixedTypes="0" containsString="0" containsNumber="1" containsInteger="1" minValue="0" maxValue="1"/>
    </cacheField>
    <cacheField name="Bombus vagans" numFmtId="0">
      <sharedItems containsSemiMixedTypes="0" containsString="0" containsNumber="1" containsInteger="1" minValue="0" maxValue="1"/>
    </cacheField>
    <cacheField name="Symmorphus" numFmtId="0">
      <sharedItems containsSemiMixedTypes="0" containsString="0" containsNumber="1" containsInteger="1" minValue="0" maxValue="1"/>
    </cacheField>
    <cacheField name="Eurytoma" numFmtId="0">
      <sharedItems containsSemiMixedTypes="0" containsString="0" containsNumber="1" containsInteger="1" minValue="0" maxValue="1"/>
    </cacheField>
    <cacheField name="Braconidae" numFmtId="0">
      <sharedItems containsSemiMixedTypes="0" containsString="0" containsNumber="1" containsInteger="1" minValue="0" maxValue="1"/>
    </cacheField>
    <cacheField name="Apocrita" numFmtId="0">
      <sharedItems containsSemiMixedTypes="0" containsString="0" containsNumber="1" containsInteger="1" minValue="0" maxValue="1"/>
    </cacheField>
    <cacheField name="Scolia" numFmtId="0">
      <sharedItems containsSemiMixedTypes="0" containsString="0" containsNumber="1" containsInteger="1" minValue="0" maxValue="0"/>
    </cacheField>
    <cacheField name="Sphecius speciosus" numFmtId="0">
      <sharedItems containsSemiMixedTypes="0" containsString="0" containsNumber="1" containsInteger="1" minValue="0" maxValue="1"/>
    </cacheField>
    <cacheField name="Sphex" numFmtId="0">
      <sharedItems containsSemiMixedTypes="0" containsString="0" containsNumber="1" containsInteger="1" minValue="0" maxValue="1"/>
    </cacheField>
    <cacheField name="Vespidae" numFmtId="0">
      <sharedItems containsSemiMixedTypes="0" containsString="0" containsNumber="1" containsInteger="1" minValue="0" maxValue="1"/>
    </cacheField>
    <cacheField name="Dolichovespula.maculata" numFmtId="0">
      <sharedItems containsSemiMixedTypes="0" containsString="0" containsNumber="1" containsInteger="1" minValue="0" maxValue="1"/>
    </cacheField>
    <cacheField name="Dolichovespula" numFmtId="0">
      <sharedItems containsSemiMixedTypes="0" containsString="0" containsNumber="1" containsInteger="1" minValue="0" maxValue="1"/>
    </cacheField>
    <cacheField name="Lepidoptera" numFmtId="0">
      <sharedItems containsSemiMixedTypes="0" containsString="0" containsNumber="1" containsInteger="1" minValue="0" maxValue="1"/>
    </cacheField>
    <cacheField name="Hesperiidae" numFmtId="0">
      <sharedItems containsSemiMixedTypes="0" containsString="0" containsNumber="1" containsInteger="1" minValue="0" maxValue="1"/>
    </cacheField>
    <cacheField name="Celastrina ladon" numFmtId="0">
      <sharedItems containsSemiMixedTypes="0" containsString="0" containsNumber="1" containsInteger="1" minValue="0" maxValue="1"/>
    </cacheField>
    <cacheField name="Epargyreus clarus" numFmtId="0">
      <sharedItems containsSemiMixedTypes="0" containsString="0" containsNumber="1" containsInteger="1" minValue="0" maxValue="1"/>
    </cacheField>
    <cacheField name="Libythean carinenta" numFmtId="0">
      <sharedItems containsSemiMixedTypes="0" containsString="0" containsNumber="1" containsInteger="1" minValue="0" maxValue="1"/>
    </cacheField>
    <cacheField name="Pieris rapae" numFmtId="0">
      <sharedItems containsSemiMixedTypes="0" containsString="0" containsNumber="1" containsInteger="1" minValue="0" maxValue="1"/>
    </cacheField>
    <cacheField name="Polygonia comma" numFmtId="0">
      <sharedItems containsSemiMixedTypes="0" containsString="0" containsNumber="1" containsInteger="1" minValue="0" maxValue="1"/>
    </cacheField>
    <cacheField name="Vanessa atalanta" numFmtId="0">
      <sharedItems containsSemiMixedTypes="0" containsString="0" containsNumber="1" containsInteger="1" minValue="0" maxValue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45483"/>
    <s v="Jul"/>
    <s v="11A"/>
    <s v="E. Braatz"/>
    <x v="0"/>
    <x v="0"/>
    <n v="5026"/>
    <x v="0"/>
    <n v="4"/>
    <x v="0"/>
    <m/>
    <s v="NA"/>
    <s v="NA"/>
    <e v="#VALUE!"/>
    <e v="#VALUE!"/>
    <e v="#VALUE!"/>
    <e v="#VALUE!"/>
    <s v="NA"/>
    <n v="0.52638888900000003"/>
    <n v="0.529861111"/>
    <n v="0"/>
    <n v="1"/>
    <n v="40"/>
    <n v="73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n v="45483"/>
    <s v="Jul"/>
    <s v="11E"/>
    <s v="E. Braatz"/>
    <x v="1"/>
    <x v="1"/>
    <s v="19008B"/>
    <x v="1"/>
    <n v="4"/>
    <x v="1"/>
    <m/>
    <s v="NA"/>
    <n v="388.8"/>
    <n v="8.3053000000000008"/>
    <n v="0"/>
    <n v="0"/>
    <n v="0"/>
    <s v="NA"/>
    <n v="0.58263888900000005"/>
    <n v="0.58611111100000002"/>
    <n v="0"/>
    <n v="2"/>
    <n v="40"/>
    <n v="7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3"/>
    <s v="Jul"/>
    <s v="1A"/>
    <s v="E. Braatz"/>
    <x v="2"/>
    <x v="0"/>
    <s v="18031B"/>
    <x v="2"/>
    <n v="4"/>
    <x v="2"/>
    <m/>
    <s v="NA"/>
    <n v="68.400000000000006"/>
    <n v="4.1488433149999997"/>
    <n v="0"/>
    <n v="0"/>
    <n v="0"/>
    <s v="NA"/>
    <n v="0.49722222199999999"/>
    <n v="0.50069444399999996"/>
    <n v="0"/>
    <n v="1"/>
    <n v="10"/>
    <n v="72"/>
    <x v="2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83"/>
    <s v="Jul"/>
    <s v="4A"/>
    <s v="E. Braatz"/>
    <x v="3"/>
    <x v="0"/>
    <n v="11045"/>
    <x v="3"/>
    <n v="4"/>
    <x v="2"/>
    <m/>
    <s v="NA"/>
    <n v="31"/>
    <n v="9.0432000000000006"/>
    <n v="0"/>
    <n v="0"/>
    <n v="0"/>
    <s v="NA"/>
    <n v="0.50833333300000005"/>
    <n v="0.51180555599999999"/>
    <n v="0"/>
    <n v="1"/>
    <n v="10"/>
    <n v="7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n v="45483"/>
    <s v="Jul"/>
    <s v="5A"/>
    <s v="E. Braatz"/>
    <x v="4"/>
    <x v="0"/>
    <n v="5079"/>
    <x v="0"/>
    <n v="4"/>
    <x v="0"/>
    <m/>
    <s v="NA"/>
    <n v="98.6"/>
    <n v="14.13"/>
    <n v="0"/>
    <n v="0"/>
    <n v="0"/>
    <s v="NA"/>
    <n v="0.48749999999999999"/>
    <n v="0.49097222200000001"/>
    <n v="0"/>
    <n v="1"/>
    <n v="10"/>
    <n v="72"/>
    <x v="3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3"/>
    <s v="Jul"/>
    <s v="8A"/>
    <s v="E. Braatz"/>
    <x v="5"/>
    <x v="0"/>
    <n v="1128"/>
    <x v="1"/>
    <n v="4"/>
    <x v="2"/>
    <m/>
    <s v="NA"/>
    <n v="36.1"/>
    <n v="8.3053000000000008"/>
    <n v="0"/>
    <n v="0"/>
    <n v="0"/>
    <s v="NA"/>
    <n v="0.51805555599999997"/>
    <n v="0.52152777800000005"/>
    <n v="0"/>
    <n v="1"/>
    <n v="40"/>
    <n v="7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3"/>
    <s v="Jul"/>
    <s v="9A"/>
    <s v="E. Braatz"/>
    <x v="6"/>
    <x v="0"/>
    <n v="12021"/>
    <x v="0"/>
    <n v="4"/>
    <x v="0"/>
    <m/>
    <s v="NA"/>
    <n v="97.8"/>
    <n v="6.28"/>
    <n v="0"/>
    <n v="0"/>
    <n v="0"/>
    <s v="NA"/>
    <n v="0.47777777799999999"/>
    <n v="0.49097222200000001"/>
    <n v="0"/>
    <n v="1"/>
    <n v="10"/>
    <n v="7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m/>
  </r>
  <r>
    <n v="45486"/>
    <s v="Jul"/>
    <s v="12F"/>
    <s v="E. Braatz"/>
    <x v="7"/>
    <x v="1"/>
    <n v="2068"/>
    <x v="0"/>
    <n v="4"/>
    <x v="3"/>
    <m/>
    <s v="NA"/>
    <n v="278.5"/>
    <e v="#VALUE!"/>
    <m/>
    <m/>
    <m/>
    <m/>
    <s v="NA"/>
    <s v="NA"/>
    <s v="NA"/>
    <s v="NA"/>
    <s v="NA"/>
    <s v="NA"/>
    <x v="5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90"/>
    <s v="Jul"/>
    <s v="10C"/>
    <s v="E. Braatz"/>
    <x v="8"/>
    <x v="0"/>
    <n v="14026"/>
    <x v="1"/>
    <n v="4"/>
    <x v="2"/>
    <m/>
    <s v="NA"/>
    <n v="76.5"/>
    <n v="8.5731957570000006"/>
    <n v="0"/>
    <n v="0"/>
    <n v="0"/>
    <s v="NA"/>
    <n v="0.43541666699999998"/>
    <n v="0.438888889"/>
    <n v="0"/>
    <n v="2"/>
    <n v="0"/>
    <n v="7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0D"/>
    <s v="E. Braatz"/>
    <x v="9"/>
    <x v="0"/>
    <n v="17047"/>
    <x v="3"/>
    <n v="4"/>
    <x v="2"/>
    <m/>
    <s v="NA"/>
    <n v="109"/>
    <n v="9.3348974590000005"/>
    <n v="0"/>
    <n v="0"/>
    <n v="0"/>
    <s v="NA"/>
    <n v="0.65833333299999997"/>
    <n v="0.66180555600000002"/>
    <n v="0"/>
    <n v="2"/>
    <n v="40"/>
    <n v="7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0D"/>
    <s v="E. Braatz"/>
    <x v="9"/>
    <x v="0"/>
    <n v="17047"/>
    <x v="3"/>
    <n v="4"/>
    <x v="2"/>
    <m/>
    <s v="NA"/>
    <n v="109"/>
    <n v="9.3348974590000005"/>
    <n v="0"/>
    <n v="0"/>
    <n v="0"/>
    <s v="NA"/>
    <n v="0.65833333299999997"/>
    <n v="0.66180555600000002"/>
    <n v="0"/>
    <n v="2"/>
    <n v="40"/>
    <n v="77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1C"/>
    <s v="E. Braatz"/>
    <x v="10"/>
    <x v="0"/>
    <n v="14010"/>
    <x v="0"/>
    <n v="4"/>
    <x v="0"/>
    <m/>
    <s v="NA"/>
    <n v="59.7"/>
    <n v="5.5466469710000004"/>
    <n v="0"/>
    <n v="0"/>
    <n v="0"/>
    <s v="NA"/>
    <n v="0.42361111099999998"/>
    <n v="0.42708333300000001"/>
    <n v="0"/>
    <n v="2"/>
    <n v="0"/>
    <n v="71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0"/>
    <s v="Jul"/>
    <s v="12F"/>
    <s v="E. Braatz"/>
    <x v="7"/>
    <x v="1"/>
    <n v="2068"/>
    <x v="0"/>
    <n v="4"/>
    <x v="3"/>
    <m/>
    <s v="NA"/>
    <n v="278.5"/>
    <e v="#VALUE!"/>
    <e v="#VALUE!"/>
    <n v="0"/>
    <e v="#VALUE!"/>
    <s v="NA"/>
    <n v="0.49652777799999998"/>
    <n v="0.5"/>
    <n v="0"/>
    <n v="1"/>
    <n v="20"/>
    <n v="7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3C"/>
    <s v="E. Braatz"/>
    <x v="8"/>
    <x v="0"/>
    <s v="18008B"/>
    <x v="2"/>
    <s v="NA"/>
    <x v="2"/>
    <m/>
    <s v="NA"/>
    <n v="71.400000000000006"/>
    <n v="8.9499950029999997"/>
    <n v="0"/>
    <n v="0"/>
    <n v="0"/>
    <s v="NA"/>
    <n v="0.396527778"/>
    <n v="0.4"/>
    <n v="0"/>
    <n v="2"/>
    <n v="0"/>
    <n v="71"/>
    <x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4C"/>
    <s v="E. Braatz"/>
    <x v="8"/>
    <x v="0"/>
    <s v="18008A"/>
    <x v="1"/>
    <n v="4"/>
    <x v="2"/>
    <m/>
    <s v="NA"/>
    <n v="94.3"/>
    <n v="8.5731957570000006"/>
    <n v="0"/>
    <n v="0"/>
    <n v="0"/>
    <s v="NA"/>
    <n v="0.40625"/>
    <n v="0.40972222200000002"/>
    <n v="0"/>
    <n v="2"/>
    <n v="0"/>
    <n v="71"/>
    <x v="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0"/>
    <s v="Jul"/>
    <s v="16C"/>
    <s v="E. Braatz"/>
    <x v="4"/>
    <x v="0"/>
    <n v="14001"/>
    <x v="0"/>
    <n v="4"/>
    <x v="0"/>
    <m/>
    <s v="NA"/>
    <n v="25.9"/>
    <n v="8.2044997199999994"/>
    <n v="0"/>
    <n v="0"/>
    <n v="0"/>
    <s v="NA"/>
    <n v="0.64652777800000005"/>
    <n v="0.65"/>
    <n v="0"/>
    <n v="2"/>
    <n v="25"/>
    <n v="73"/>
    <x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6C"/>
    <s v="E. Braatz"/>
    <x v="4"/>
    <x v="0"/>
    <n v="14001"/>
    <x v="0"/>
    <n v="4"/>
    <x v="0"/>
    <m/>
    <s v="NA"/>
    <n v="25.9"/>
    <n v="8.2044997199999994"/>
    <n v="0"/>
    <n v="0"/>
    <n v="0"/>
    <s v="NA"/>
    <n v="0.46805555599999998"/>
    <n v="0.47152777800000001"/>
    <n v="0"/>
    <n v="2"/>
    <n v="5"/>
    <n v="73"/>
    <x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ldenrod soldier beetles"/>
  </r>
  <r>
    <n v="45490"/>
    <s v="Jul"/>
    <s v="18D"/>
    <s v="E. Braatz"/>
    <x v="11"/>
    <x v="0"/>
    <s v="12031B"/>
    <x v="3"/>
    <n v="4"/>
    <x v="2"/>
    <m/>
    <s v="NA"/>
    <n v="72.099999999999994"/>
    <n v="6.162490901"/>
    <n v="0"/>
    <n v="0"/>
    <n v="0"/>
    <s v="NA"/>
    <n v="0.67638888900000005"/>
    <n v="0.67986111100000002"/>
    <n v="0"/>
    <n v="2"/>
    <n v="40"/>
    <n v="77"/>
    <x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2C"/>
    <s v="E. Braatz"/>
    <x v="12"/>
    <x v="0"/>
    <n v="14022"/>
    <x v="3"/>
    <n v="4"/>
    <x v="2"/>
    <m/>
    <s v="NA"/>
    <n v="47.1"/>
    <n v="5.5466469710000004"/>
    <n v="0"/>
    <n v="0"/>
    <n v="0"/>
    <s v="NA"/>
    <n v="0.48055555599999999"/>
    <n v="0.48402777800000002"/>
    <n v="0"/>
    <n v="2"/>
    <n v="5"/>
    <n v="73"/>
    <x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2F"/>
    <s v="E. Braatz"/>
    <x v="13"/>
    <x v="1"/>
    <s v="Unknown"/>
    <x v="0"/>
    <n v="4"/>
    <x v="3"/>
    <m/>
    <s v="NA"/>
    <n v="390.5"/>
    <n v="3.6464443200000001"/>
    <n v="0"/>
    <n v="0"/>
    <n v="0"/>
    <s v="NA"/>
    <n v="0.55625000000000002"/>
    <n v="0.55972222199999999"/>
    <n v="0"/>
    <n v="2"/>
    <n v="25"/>
    <n v="75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s v="Syrphid fly escaped"/>
  </r>
  <r>
    <n v="45490"/>
    <s v="Jul"/>
    <s v="2F"/>
    <s v="E. Braatz"/>
    <x v="13"/>
    <x v="1"/>
    <s v="Unknown"/>
    <x v="0"/>
    <n v="4"/>
    <x v="3"/>
    <m/>
    <s v="NA"/>
    <n v="390.5"/>
    <n v="3.6464443200000001"/>
    <n v="0"/>
    <n v="0"/>
    <n v="0"/>
    <s v="NA"/>
    <n v="0.55625000000000002"/>
    <n v="0.55972222199999999"/>
    <n v="0"/>
    <n v="2"/>
    <n v="25"/>
    <n v="75"/>
    <x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yrphid fly escaped"/>
  </r>
  <r>
    <n v="45490"/>
    <s v="Jul"/>
    <s v="4C"/>
    <s v="E. Braatz"/>
    <x v="14"/>
    <x v="0"/>
    <n v="4054"/>
    <x v="2"/>
    <n v="4"/>
    <x v="2"/>
    <m/>
    <s v="NA"/>
    <n v="50"/>
    <n v="9.7279031249999992"/>
    <n v="0"/>
    <n v="0"/>
    <n v="0"/>
    <s v="NA"/>
    <n v="0.45416666700000002"/>
    <n v="0.45763888899999999"/>
    <n v="0"/>
    <n v="2"/>
    <n v="5"/>
    <n v="7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4F"/>
    <s v="E. Braatz"/>
    <x v="15"/>
    <x v="1"/>
    <n v="18022"/>
    <x v="0"/>
    <n v="3"/>
    <x v="3"/>
    <m/>
    <s v="NA"/>
    <n v="563.42857140000001"/>
    <n v="9.3348974590000005"/>
    <n v="0"/>
    <n v="0"/>
    <n v="0"/>
    <s v="NA"/>
    <n v="0.58055555599999997"/>
    <n v="0.58402777800000005"/>
    <n v="0"/>
    <n v="2"/>
    <n v="25"/>
    <n v="75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5F"/>
    <s v="E. Braatz"/>
    <x v="16"/>
    <x v="1"/>
    <n v="10067"/>
    <x v="3"/>
    <n v="4"/>
    <x v="1"/>
    <m/>
    <s v="NA"/>
    <n v="88"/>
    <n v="3.4073996370000001"/>
    <n v="0"/>
    <n v="0"/>
    <n v="0"/>
    <s v="NA"/>
    <n v="0.59583333299999997"/>
    <n v="0.59930555600000002"/>
    <n v="0"/>
    <n v="2"/>
    <n v="25"/>
    <n v="7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8C"/>
    <s v="E. Braatz"/>
    <x v="2"/>
    <x v="0"/>
    <s v="18031A"/>
    <x v="2"/>
    <n v="4"/>
    <x v="2"/>
    <m/>
    <s v="NA"/>
    <n v="27.1"/>
    <n v="5.2508798209999998"/>
    <n v="0"/>
    <n v="0"/>
    <n v="0"/>
    <s v="NA"/>
    <n v="0.445833333"/>
    <n v="0.45624999999999999"/>
    <n v="0"/>
    <n v="2"/>
    <n v="5"/>
    <n v="73"/>
    <x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yrphid"/>
  </r>
  <r>
    <n v="45490"/>
    <s v="Jul"/>
    <s v="9F"/>
    <s v="E. Braatz"/>
    <x v="17"/>
    <x v="1"/>
    <n v="9050"/>
    <x v="1"/>
    <n v="3"/>
    <x v="1"/>
    <m/>
    <s v="NA"/>
    <n v="557.4"/>
    <n v="13.163664000000001"/>
    <n v="0"/>
    <n v="0"/>
    <n v="0"/>
    <s v="NA"/>
    <n v="0.60486111099999995"/>
    <n v="0.60902777799999996"/>
    <n v="0"/>
    <n v="2"/>
    <n v="25"/>
    <n v="75"/>
    <x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1"/>
    <s v="Jul"/>
    <s v="11D"/>
    <s v="E. Braatz"/>
    <x v="18"/>
    <x v="0"/>
    <n v="93021"/>
    <x v="0"/>
    <s v="NA"/>
    <x v="0"/>
    <m/>
    <s v="NA"/>
    <n v="404.7"/>
    <n v="9.3348974590000005"/>
    <n v="0"/>
    <n v="0"/>
    <n v="0"/>
    <s v="NA"/>
    <n v="0.51458333300000003"/>
    <n v="0.51805555599999997"/>
    <n v="0"/>
    <n v="2"/>
    <n v="65"/>
    <n v="7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1"/>
    <s v="Jul"/>
    <s v="19D"/>
    <s v="E. Braatz"/>
    <x v="19"/>
    <x v="0"/>
    <s v="2023-030"/>
    <x v="3"/>
    <n v="4"/>
    <x v="2"/>
    <m/>
    <s v="NA"/>
    <n v="55.8"/>
    <n v="2.3337243650000001"/>
    <n v="0"/>
    <n v="0"/>
    <n v="0"/>
    <s v="NA"/>
    <n v="0.54236111099999995"/>
    <n v="0.54583333300000003"/>
    <n v="0"/>
    <n v="2"/>
    <n v="65"/>
    <n v="7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 Golden digger waps"/>
  </r>
  <r>
    <n v="45491"/>
    <s v="Jul"/>
    <s v="20D"/>
    <s v="E. Braatz"/>
    <x v="20"/>
    <x v="0"/>
    <s v="2023-026A"/>
    <x v="0"/>
    <n v="4"/>
    <x v="0"/>
    <m/>
    <s v="NA"/>
    <s v="NA"/>
    <n v="1.0372108289999999"/>
    <n v="0"/>
    <e v="#VALUE!"/>
    <e v="#VALUE!"/>
    <s v="NA"/>
    <n v="0.52500000000000002"/>
    <n v="0.52847222199999999"/>
    <n v="0"/>
    <n v="2"/>
    <n v="65"/>
    <n v="70"/>
    <x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1"/>
    <s v="Jul"/>
    <s v="5B"/>
    <s v="E. Braatz"/>
    <x v="0"/>
    <x v="0"/>
    <n v="5026"/>
    <x v="0"/>
    <n v="4"/>
    <x v="0"/>
    <m/>
    <s v="NA"/>
    <n v="5.5"/>
    <n v="0.90683199999999997"/>
    <n v="0"/>
    <n v="0"/>
    <n v="0"/>
    <s v="NA"/>
    <n v="0.54236111099999995"/>
    <n v="0.54583333300000003"/>
    <n v="0"/>
    <n v="2"/>
    <n v="35"/>
    <n v="7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1"/>
    <s v="Jul"/>
    <s v="6D"/>
    <s v="E. Braatz"/>
    <x v="21"/>
    <x v="0"/>
    <n v="15055"/>
    <x v="1"/>
    <n v="4"/>
    <x v="2"/>
    <m/>
    <s v="NA"/>
    <n v="42.8"/>
    <n v="11.8144796"/>
    <n v="0"/>
    <n v="0"/>
    <n v="0"/>
    <s v="NA"/>
    <n v="0.53541666700000001"/>
    <n v="0.53888888899999998"/>
    <n v="0"/>
    <n v="2"/>
    <n v="65"/>
    <n v="70"/>
    <x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3"/>
    <s v="Jul"/>
    <s v="4A"/>
    <s v="E. Braatz"/>
    <x v="3"/>
    <x v="0"/>
    <n v="11045"/>
    <x v="3"/>
    <n v="4"/>
    <x v="2"/>
    <m/>
    <s v="NA"/>
    <n v="31"/>
    <n v="9.0432000000000006"/>
    <m/>
    <m/>
    <m/>
    <m/>
    <s v="NA"/>
    <s v="NA"/>
    <s v="NA"/>
    <s v="NA"/>
    <s v="NA"/>
    <s v="NA"/>
    <x v="5"/>
    <n v="0"/>
    <n v="0"/>
    <n v="0"/>
    <n v="1"/>
    <n v="0"/>
    <n v="1"/>
    <n v="0"/>
    <n v="0"/>
    <n v="0"/>
    <n v="1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5"/>
    <s v="Jul"/>
    <s v="10E"/>
    <s v="E. Braatz"/>
    <x v="17"/>
    <x v="1"/>
    <n v="9050"/>
    <x v="1"/>
    <n v="4"/>
    <x v="1"/>
    <n v="9.33"/>
    <s v="NA"/>
    <n v="1180.7"/>
    <n v="9.0432000000000006"/>
    <n v="84.373056000000005"/>
    <n v="0"/>
    <n v="99619.267219999994"/>
    <n v="99619.267219999994"/>
    <n v="0.46875"/>
    <n v="0.47222222200000002"/>
    <n v="0"/>
    <n v="1"/>
    <n v="5"/>
    <n v="78"/>
    <x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spidae"/>
  </r>
  <r>
    <n v="45495"/>
    <s v="Jul"/>
    <s v="9A"/>
    <s v="G. Meneses"/>
    <x v="6"/>
    <x v="0"/>
    <n v="12021"/>
    <x v="0"/>
    <n v="4"/>
    <x v="0"/>
    <n v="12.3"/>
    <s v="NA"/>
    <n v="97.8"/>
    <n v="6.28"/>
    <n v="77.244"/>
    <n v="0"/>
    <n v="7554.4632000000001"/>
    <n v="7554.4632000000001"/>
    <n v="0.66527777799999999"/>
    <n v="0.66874999999999996"/>
    <n v="0"/>
    <n v="1"/>
    <n v="75"/>
    <n v="79"/>
    <x v="3"/>
    <n v="0"/>
    <n v="0"/>
    <n v="0"/>
    <n v="0"/>
    <n v="0"/>
    <n v="1"/>
    <n v="0"/>
    <n v="0"/>
    <n v="0"/>
    <n v="1"/>
    <n v="0"/>
    <n v="0"/>
    <n v="0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3E"/>
    <s v="E. Braatz"/>
    <x v="22"/>
    <x v="1"/>
    <n v="12019"/>
    <x v="3"/>
    <n v="4"/>
    <x v="1"/>
    <n v="5.6"/>
    <s v="NA"/>
    <n v="528.4"/>
    <n v="17.097300000000001"/>
    <n v="95.744879999999995"/>
    <n v="0"/>
    <n v="50591.594590000001"/>
    <n v="50591.594590000001"/>
    <n v="0.5625"/>
    <n v="0.56597222199999997"/>
    <n v="0"/>
    <n v="1"/>
    <n v="100"/>
    <n v="7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4E"/>
    <s v="E. Braatz"/>
    <x v="23"/>
    <x v="1"/>
    <n v="7027"/>
    <x v="2"/>
    <n v="8"/>
    <x v="1"/>
    <n v="5"/>
    <s v="NA"/>
    <n v="0"/>
    <n v="6.28"/>
    <n v="31.4"/>
    <n v="0"/>
    <n v="0"/>
    <n v="0"/>
    <n v="0.55347222200000001"/>
    <n v="0.55694444399999998"/>
    <n v="0"/>
    <n v="1"/>
    <n v="100"/>
    <n v="77"/>
    <x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5E"/>
    <s v="E. Braatz"/>
    <x v="24"/>
    <x v="1"/>
    <n v="65169"/>
    <x v="1"/>
    <n v="4"/>
    <x v="1"/>
    <n v="7"/>
    <s v="NA"/>
    <n v="478.5"/>
    <n v="36.172800000000002"/>
    <n v="253.20959999999999"/>
    <n v="0"/>
    <n v="121160.7936"/>
    <n v="121160.7936"/>
    <n v="0.58263888900000005"/>
    <n v="0.58611111100000002"/>
    <n v="0"/>
    <n v="1"/>
    <n v="100"/>
    <n v="77"/>
    <x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6E"/>
    <s v="E. Braatz"/>
    <x v="25"/>
    <x v="1"/>
    <n v="8036"/>
    <x v="3"/>
    <n v="4"/>
    <x v="3"/>
    <n v="8.33"/>
    <s v="NA"/>
    <n v="97.5"/>
    <n v="12.3088"/>
    <n v="102.532304"/>
    <n v="0"/>
    <n v="9996.8996399999996"/>
    <n v="9996.8996399999996"/>
    <n v="0.48055555599999999"/>
    <n v="0.48402777800000002"/>
    <n v="0"/>
    <n v="1"/>
    <n v="100"/>
    <n v="74"/>
    <x v="7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6E"/>
    <s v="E. Braatz"/>
    <x v="25"/>
    <x v="1"/>
    <n v="8036"/>
    <x v="3"/>
    <n v="4"/>
    <x v="3"/>
    <n v="8.33"/>
    <s v="NA"/>
    <n v="97.5"/>
    <n v="12.3088"/>
    <n v="102.532304"/>
    <n v="0"/>
    <n v="9996.8996399999996"/>
    <n v="9996.8996399999996"/>
    <n v="0.48055555599999999"/>
    <n v="0.48402777800000002"/>
    <n v="0"/>
    <n v="1"/>
    <n v="100"/>
    <n v="74"/>
    <x v="7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B8"/>
    <s v="G. Meneses"/>
    <x v="26"/>
    <x v="2"/>
    <e v="#N/A"/>
    <x v="4"/>
    <e v="#N/A"/>
    <x v="4"/>
    <n v="14.6"/>
    <s v="NA"/>
    <e v="#N/A"/>
    <e v="#N/A"/>
    <e v="#N/A"/>
    <e v="#N/A"/>
    <e v="#N/A"/>
    <e v="#N/A"/>
    <n v="0.60416666699999999"/>
    <n v="0.60694444400000003"/>
    <n v="0"/>
    <n v="1"/>
    <n v="75"/>
    <n v="78"/>
    <x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0B"/>
    <s v="E. Braatz"/>
    <x v="27"/>
    <x v="0"/>
    <n v="1005"/>
    <x v="1"/>
    <n v="4"/>
    <x v="2"/>
    <n v="5"/>
    <s v="NA"/>
    <n v="125.2"/>
    <n v="3.8207520000000001"/>
    <n v="19.103760000000001"/>
    <n v="0"/>
    <n v="2391.7907519999999"/>
    <n v="2391.7907519999999"/>
    <n v="0.71180555599999995"/>
    <n v="0.71527777800000003"/>
    <n v="0"/>
    <n v="1"/>
    <n v="35"/>
    <n v="79"/>
    <x v="6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1A"/>
    <s v="E. Braatz"/>
    <x v="0"/>
    <x v="0"/>
    <n v="5026"/>
    <x v="0"/>
    <n v="4"/>
    <x v="0"/>
    <n v="33"/>
    <s v="NA"/>
    <s v="NA"/>
    <e v="#VALUE!"/>
    <e v="#VALUE!"/>
    <e v="#VALUE!"/>
    <e v="#VALUE!"/>
    <s v="NA"/>
    <n v="0.54861111100000004"/>
    <n v="0.55208333300000001"/>
    <n v="0"/>
    <n v="1"/>
    <n v="40"/>
    <n v="77"/>
    <x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2A"/>
    <s v="E. Braatz"/>
    <x v="28"/>
    <x v="0"/>
    <n v="20012"/>
    <x v="1"/>
    <n v="4"/>
    <x v="2"/>
    <n v="11.3"/>
    <s v="NA"/>
    <e v="#N/A"/>
    <e v="#N/A"/>
    <e v="#N/A"/>
    <e v="#N/A"/>
    <e v="#N/A"/>
    <s v="NA"/>
    <n v="0.61527777800000005"/>
    <n v="0.61875000000000002"/>
    <n v="0"/>
    <n v="2"/>
    <n v="35"/>
    <n v="78"/>
    <x v="2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n v="45498"/>
    <s v="Jul"/>
    <s v="13B"/>
    <s v="E. Braatz"/>
    <x v="12"/>
    <x v="0"/>
    <n v="7045"/>
    <x v="1"/>
    <n v="5"/>
    <x v="0"/>
    <n v="3"/>
    <s v="NA"/>
    <n v="91.2"/>
    <n v="1.6981120000000001"/>
    <n v="5.0943360000000002"/>
    <n v="0"/>
    <n v="464.60344320000002"/>
    <n v="464.60344320000002"/>
    <n v="0.74583333299999999"/>
    <n v="0.74930555600000004"/>
    <n v="0"/>
    <n v="1"/>
    <n v="35"/>
    <n v="79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9B"/>
    <s v="E. Braatz"/>
    <x v="10"/>
    <x v="0"/>
    <n v="14010"/>
    <x v="0"/>
    <s v="NA"/>
    <x v="0"/>
    <n v="17.3"/>
    <s v="NA"/>
    <n v="69.400000000000006"/>
    <n v="4.0191999999999997"/>
    <n v="69.532160000000005"/>
    <n v="0"/>
    <n v="4825.5319040000004"/>
    <n v="4825.5319040000004"/>
    <n v="0.70416666699999997"/>
    <n v="0.70763888900000005"/>
    <n v="0"/>
    <n v="2"/>
    <n v="40"/>
    <n v="7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A"/>
    <s v="E. Braatz"/>
    <x v="2"/>
    <x v="0"/>
    <s v="18031B"/>
    <x v="2"/>
    <n v="4"/>
    <x v="2"/>
    <n v="19.600000000000001"/>
    <s v="NA"/>
    <n v="68.400000000000006"/>
    <n v="4.1488433149999997"/>
    <n v="81.317328979999999"/>
    <n v="0"/>
    <n v="5562.1053019999999"/>
    <n v="5562.1053019999999"/>
    <n v="0.626388889"/>
    <n v="0.62986111099999997"/>
    <n v="0"/>
    <n v="1"/>
    <n v="35"/>
    <n v="79"/>
    <x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n v="45498"/>
    <s v="Jul"/>
    <s v="3A"/>
    <s v="E. Braatz"/>
    <x v="29"/>
    <x v="0"/>
    <n v="12022"/>
    <x v="1"/>
    <n v="4"/>
    <x v="2"/>
    <n v="9"/>
    <s v="NA"/>
    <n v="361"/>
    <n v="8.3053000000000008"/>
    <n v="74.747699999999995"/>
    <n v="0"/>
    <n v="26983.919699999999"/>
    <n v="26983.919699999999"/>
    <n v="0.63472222199999995"/>
    <n v="0.63819444400000003"/>
    <n v="0"/>
    <n v="1"/>
    <n v="35"/>
    <n v="79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4A"/>
    <s v="E. Braatz"/>
    <x v="3"/>
    <x v="0"/>
    <n v="11045"/>
    <x v="3"/>
    <n v="4"/>
    <x v="2"/>
    <m/>
    <s v="NA"/>
    <n v="31"/>
    <n v="9.0432000000000006"/>
    <m/>
    <m/>
    <m/>
    <m/>
    <s v="NA"/>
    <s v="NA"/>
    <s v="NA"/>
    <s v="NA"/>
    <s v="NA"/>
    <s v="NA"/>
    <x v="3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98"/>
    <s v="Jul"/>
    <s v="5A"/>
    <s v="E. Braatz"/>
    <x v="4"/>
    <x v="0"/>
    <n v="5079"/>
    <x v="0"/>
    <n v="4"/>
    <x v="0"/>
    <n v="19.3"/>
    <s v="NA"/>
    <n v="98.6"/>
    <n v="14.13"/>
    <n v="272.709"/>
    <n v="0"/>
    <n v="26889.107400000001"/>
    <n v="26889.107400000001"/>
    <n v="0.65069444399999998"/>
    <n v="0.64930555599999995"/>
    <n v="0"/>
    <n v="1"/>
    <n v="35"/>
    <n v="78"/>
    <x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m/>
  </r>
  <r>
    <n v="45498"/>
    <s v="Jul"/>
    <s v="5B"/>
    <s v="E. Braatz"/>
    <x v="0"/>
    <x v="0"/>
    <n v="5026"/>
    <x v="0"/>
    <n v="4"/>
    <x v="0"/>
    <n v="15.6"/>
    <s v="NA"/>
    <n v="5.5"/>
    <n v="0.90683199999999997"/>
    <n v="14.1465792"/>
    <n v="0"/>
    <n v="77.806185600000006"/>
    <n v="77.806185600000006"/>
    <n v="0.72916666699999999"/>
    <n v="0.73263888899999996"/>
    <n v="0"/>
    <n v="1"/>
    <n v="35"/>
    <n v="79"/>
    <x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6A"/>
    <s v="E. Braatz"/>
    <x v="30"/>
    <x v="0"/>
    <n v="11031"/>
    <x v="0"/>
    <n v="4"/>
    <x v="0"/>
    <n v="4"/>
    <s v="NA"/>
    <n v="189.5"/>
    <n v="15.0877"/>
    <n v="60.3508"/>
    <n v="0"/>
    <n v="11436.4766"/>
    <n v="11436.4766"/>
    <n v="0.57083333300000005"/>
    <n v="0.57430555599999999"/>
    <n v="0"/>
    <n v="1"/>
    <n v="40"/>
    <n v="79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6B"/>
    <s v="E. Braatz"/>
    <x v="5"/>
    <x v="0"/>
    <n v="1128"/>
    <x v="3"/>
    <n v="4"/>
    <x v="0"/>
    <n v="6.6666666670000003"/>
    <s v="NA"/>
    <n v="154.80000000000001"/>
    <n v="1.1077920000000001"/>
    <n v="7.3852799999999998"/>
    <n v="0"/>
    <n v="1143.241344"/>
    <n v="1143.241344"/>
    <n v="0.72222222199999997"/>
    <n v="0.72569444400000005"/>
    <n v="0"/>
    <n v="1"/>
    <n v="35"/>
    <n v="79"/>
    <x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8A"/>
    <s v="E. Braatz"/>
    <x v="5"/>
    <x v="0"/>
    <n v="1128"/>
    <x v="1"/>
    <n v="4"/>
    <x v="2"/>
    <n v="9.6"/>
    <s v="NA"/>
    <n v="36.1"/>
    <n v="8.3053000000000008"/>
    <n v="79.730879999999999"/>
    <n v="0"/>
    <n v="2878.284768"/>
    <n v="2878.284768"/>
    <n v="0.55555555599999995"/>
    <n v="0.51736111100000004"/>
    <n v="0"/>
    <n v="1"/>
    <n v="40"/>
    <n v="77"/>
    <x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8"/>
    <s v="Jul"/>
    <s v="9E"/>
    <s v="E. Braatz"/>
    <x v="17"/>
    <x v="1"/>
    <n v="9090"/>
    <x v="1"/>
    <n v="4"/>
    <x v="1"/>
    <n v="0.33300000000000002"/>
    <s v="NA"/>
    <n v="1248"/>
    <n v="20.347200000000001"/>
    <n v="6.7756176000000004"/>
    <n v="0"/>
    <n v="8455.970765"/>
    <n v="8455.970765"/>
    <n v="0.52291666699999995"/>
    <n v="0.52638888900000003"/>
    <n v="0"/>
    <n v="1"/>
    <n v="40"/>
    <n v="7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11C"/>
    <s v="E. Braatz"/>
    <x v="10"/>
    <x v="0"/>
    <n v="14010"/>
    <x v="0"/>
    <n v="4"/>
    <x v="0"/>
    <n v="13.66666667"/>
    <s v="NA"/>
    <n v="59.7"/>
    <n v="5.5466469710000004"/>
    <n v="75.804175270000002"/>
    <n v="0"/>
    <n v="4525.5092640000003"/>
    <n v="4525.5092640000003"/>
    <n v="0.76319444400000003"/>
    <n v="0.76666666699999997"/>
    <n v="0"/>
    <n v="1"/>
    <n v="0"/>
    <n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9"/>
    <s v="Jul"/>
    <s v="12C"/>
    <s v="E. Braatz"/>
    <x v="31"/>
    <x v="0"/>
    <n v="13029"/>
    <x v="2"/>
    <n v="4"/>
    <x v="2"/>
    <n v="3.6666666669999999"/>
    <s v="NA"/>
    <n v="4.5"/>
    <n v="5.8505173309999998"/>
    <n v="21.45189688"/>
    <n v="0"/>
    <n v="96.533535959999995"/>
    <n v="96.533535959999995"/>
    <n v="0.76805555599999997"/>
    <n v="0.77152777800000005"/>
    <n v="0"/>
    <n v="1"/>
    <n v="0"/>
    <n v="81"/>
    <x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13C"/>
    <s v="E. Braatz"/>
    <x v="8"/>
    <x v="0"/>
    <s v="18008B"/>
    <x v="2"/>
    <s v="NA"/>
    <x v="2"/>
    <n v="11.3"/>
    <s v="NA"/>
    <n v="71.400000000000006"/>
    <n v="8.9499950029999997"/>
    <n v="101.13494350000001"/>
    <n v="0"/>
    <n v="7221.0349679999999"/>
    <n v="7221.0349679999999"/>
    <n v="0.47569444399999999"/>
    <n v="0.47916666699999999"/>
    <n v="0"/>
    <n v="1"/>
    <n v="0"/>
    <n v="75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 Golden digger wasp"/>
  </r>
  <r>
    <n v="45499"/>
    <s v="Jul"/>
    <s v="14C"/>
    <s v="E. Braatz"/>
    <x v="8"/>
    <x v="0"/>
    <s v="18008A"/>
    <x v="1"/>
    <n v="4"/>
    <x v="2"/>
    <n v="12.3"/>
    <s v="NA"/>
    <n v="94.3"/>
    <n v="8.5731957570000006"/>
    <n v="105.4503078"/>
    <n v="0"/>
    <n v="9943.9640259999996"/>
    <n v="9943.9640259999996"/>
    <n v="0.48263888900000002"/>
    <n v="0.48611111099999998"/>
    <n v="0"/>
    <n v="1"/>
    <n v="0"/>
    <n v="75"/>
    <x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14C"/>
    <s v="E. Braatz"/>
    <x v="8"/>
    <x v="0"/>
    <s v="18008A"/>
    <x v="1"/>
    <n v="4"/>
    <x v="2"/>
    <n v="12.3"/>
    <s v="NA"/>
    <n v="94.3"/>
    <n v="8.5731957570000006"/>
    <n v="105.4503078"/>
    <n v="0"/>
    <n v="9943.9640259999996"/>
    <n v="9943.9640259999996"/>
    <n v="0.48263888900000002"/>
    <n v="0.48611111099999998"/>
    <n v="0"/>
    <n v="1"/>
    <n v="0"/>
    <n v="75"/>
    <x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99"/>
    <s v="Jul"/>
    <s v="16B"/>
    <s v="E. Braatz"/>
    <x v="32"/>
    <x v="0"/>
    <n v="1127"/>
    <x v="1"/>
    <n v="4"/>
    <x v="0"/>
    <n v="1.3333333329999999"/>
    <s v="NA"/>
    <n v="126.2"/>
    <n v="2.9899079999999998"/>
    <n v="3.9865439999999999"/>
    <n v="0"/>
    <n v="503.10185280000002"/>
    <n v="503.10185280000002"/>
    <n v="0.38541666699999999"/>
    <n v="0.38888888900000002"/>
    <n v="0"/>
    <n v="1"/>
    <n v="0"/>
    <n v="69"/>
    <x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9"/>
    <s v="Jul"/>
    <s v="16C"/>
    <s v="E. Braatz"/>
    <x v="4"/>
    <x v="0"/>
    <n v="14001"/>
    <x v="0"/>
    <n v="4"/>
    <x v="0"/>
    <s v="Forgot to enter"/>
    <s v="NA"/>
    <n v="25.9"/>
    <n v="8.2044997199999994"/>
    <e v="#VALUE!"/>
    <n v="0"/>
    <e v="#VALUE!"/>
    <s v="NA"/>
    <n v="0.70486111100000004"/>
    <n v="0.70833333300000001"/>
    <n v="0"/>
    <n v="1"/>
    <n v="0"/>
    <n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m/>
  </r>
  <r>
    <n v="45499"/>
    <s v="Jul"/>
    <s v="19D"/>
    <s v="E. Braatz"/>
    <x v="19"/>
    <x v="0"/>
    <s v="2023-030"/>
    <x v="3"/>
    <n v="4"/>
    <x v="2"/>
    <n v="11"/>
    <s v="NA"/>
    <n v="55.8"/>
    <n v="2.3337243650000001"/>
    <n v="25.670968009999999"/>
    <n v="0"/>
    <n v="1432.4400149999999"/>
    <n v="1432.4400149999999"/>
    <n v="0.71388888900000003"/>
    <n v="0.717361111"/>
    <n v="0"/>
    <n v="2"/>
    <n v="0"/>
    <n v="81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9"/>
    <s v="Jul"/>
    <s v="1C"/>
    <s v="E. Braatz"/>
    <x v="33"/>
    <x v="0"/>
    <n v="98053"/>
    <x v="3"/>
    <s v="NA"/>
    <x v="2"/>
    <n v="10.3"/>
    <s v="NA"/>
    <n v="46.2"/>
    <n v="1.9609767229999999"/>
    <n v="20.198060250000001"/>
    <n v="0"/>
    <n v="933.15038349999998"/>
    <n v="933.15038349999998"/>
    <n v="0.46527777799999998"/>
    <n v="0.46875"/>
    <n v="0"/>
    <n v="1"/>
    <n v="30"/>
    <n v="75"/>
    <x v="7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22B"/>
    <s v="E. Braatz"/>
    <x v="34"/>
    <x v="0"/>
    <n v="21039"/>
    <x v="3"/>
    <n v="4"/>
    <x v="2"/>
    <n v="2.6666666669999999"/>
    <s v="NA"/>
    <n v="17.7"/>
    <n v="1.9609767229999999"/>
    <n v="5.2292712620000001"/>
    <n v="0"/>
    <n v="92.558101339999993"/>
    <n v="92.558101339999993"/>
    <n v="0.44027777800000001"/>
    <n v="0.44374999999999998"/>
    <n v="0"/>
    <n v="1"/>
    <n v="5"/>
    <n v="73"/>
    <x v="6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23B"/>
    <s v="E. Braatz"/>
    <x v="35"/>
    <x v="0"/>
    <s v="No tag"/>
    <x v="1"/>
    <n v="5"/>
    <x v="2"/>
    <n v="8"/>
    <s v="NA"/>
    <n v="60.9"/>
    <n v="4.4121976270000003"/>
    <n v="35.297581020000003"/>
    <n v="0"/>
    <n v="2149.6226839999999"/>
    <n v="2149.6226839999999"/>
    <n v="0.37222222199999999"/>
    <n v="0.37569444400000002"/>
    <n v="0"/>
    <n v="1"/>
    <n v="0"/>
    <n v="69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s v="Lots of bracts"/>
  </r>
  <r>
    <n v="45499"/>
    <s v="Jul"/>
    <s v="24B"/>
    <s v="E. Braatz"/>
    <x v="36"/>
    <x v="0"/>
    <n v="21040"/>
    <x v="3"/>
    <n v="4"/>
    <x v="2"/>
    <n v="4.6666666670000003"/>
    <s v="NA"/>
    <n v="194.2"/>
    <n v="3.6464443200000001"/>
    <n v="17.016740160000001"/>
    <n v="0"/>
    <n v="3304.6509390000001"/>
    <n v="3304.6509390000001"/>
    <n v="0.42361111099999998"/>
    <n v="0.42708333300000001"/>
    <n v="0"/>
    <n v="1"/>
    <n v="0"/>
    <n v="69"/>
    <x v="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26B"/>
    <s v="E. Braatz"/>
    <x v="37"/>
    <x v="0"/>
    <n v="21026"/>
    <x v="3"/>
    <n v="4"/>
    <x v="2"/>
    <n v="2.3333333330000001"/>
    <s v="NA"/>
    <n v="86.428569999999993"/>
    <n v="5.8505173309999998"/>
    <n v="13.65120711"/>
    <n v="0"/>
    <n v="1179.8543090000001"/>
    <n v="1179.8543090000001"/>
    <n v="0.45555555599999997"/>
    <n v="0.459027778"/>
    <n v="0"/>
    <n v="1"/>
    <n v="5"/>
    <n v="73"/>
    <x v="7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27B"/>
    <s v="E. Braatz"/>
    <x v="28"/>
    <x v="0"/>
    <s v="20012B"/>
    <x v="3"/>
    <n v="4"/>
    <x v="2"/>
    <n v="7"/>
    <s v="NA"/>
    <n v="15.1"/>
    <n v="1.0372108289999999"/>
    <n v="7.2604758020000002"/>
    <n v="0"/>
    <n v="109.63318460000001"/>
    <n v="109.63318460000001"/>
    <n v="0.414583333"/>
    <n v="0.41805555599999999"/>
    <n v="0"/>
    <n v="1"/>
    <n v="0"/>
    <n v="6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Weird bracts; tree"/>
  </r>
  <r>
    <n v="45499"/>
    <s v="Jul"/>
    <s v="3D"/>
    <s v="E. Braatz"/>
    <x v="38"/>
    <x v="0"/>
    <n v="10063"/>
    <x v="1"/>
    <n v="5"/>
    <x v="2"/>
    <n v="2.3333333330000001"/>
    <s v="NA"/>
    <n v="349.6"/>
    <n v="18.187653950000001"/>
    <n v="42.437859209999999"/>
    <n v="0"/>
    <n v="14836.27558"/>
    <n v="14836.27558"/>
    <n v="0.71944444399999996"/>
    <n v="0.72291666700000001"/>
    <n v="0"/>
    <n v="2"/>
    <n v="0"/>
    <n v="8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4C"/>
    <s v="E. Braatz"/>
    <x v="14"/>
    <x v="0"/>
    <n v="4054"/>
    <x v="2"/>
    <n v="4"/>
    <x v="2"/>
    <n v="9.6666666669999994"/>
    <s v="NA"/>
    <n v="50"/>
    <n v="9.7279031249999992"/>
    <n v="94.036396870000004"/>
    <n v="0"/>
    <n v="4701.8198439999996"/>
    <n v="4701.8198439999996"/>
    <n v="0.74305555599999995"/>
    <n v="0.74652777800000003"/>
    <n v="0"/>
    <n v="1"/>
    <n v="0"/>
    <n v="81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499"/>
    <s v="Jul"/>
    <s v="4F"/>
    <s v="E. Braatz"/>
    <x v="15"/>
    <x v="1"/>
    <n v="18022"/>
    <x v="0"/>
    <n v="3"/>
    <x v="3"/>
    <n v="1"/>
    <s v="NA"/>
    <n v="563.42857140000001"/>
    <n v="9.3348974590000005"/>
    <n v="9.3348974590000005"/>
    <n v="0"/>
    <n v="5259.5479400000004"/>
    <n v="5259.5479400000004"/>
    <n v="0.77847222199999999"/>
    <n v="0.78194444399999996"/>
    <n v="0"/>
    <n v="1"/>
    <n v="0"/>
    <n v="8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5F"/>
    <s v="E. Braatz"/>
    <x v="16"/>
    <x v="1"/>
    <n v="10067"/>
    <x v="3"/>
    <n v="4"/>
    <x v="1"/>
    <n v="0.66"/>
    <s v="NA"/>
    <n v="88"/>
    <n v="3.4073996370000001"/>
    <n v="2.24888376"/>
    <n v="0"/>
    <n v="197.9017709"/>
    <n v="197.9017709"/>
    <n v="0.78472222199999997"/>
    <n v="0.78819444400000005"/>
    <n v="0"/>
    <n v="1"/>
    <n v="0"/>
    <n v="80"/>
    <x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aded"/>
  </r>
  <r>
    <n v="45499"/>
    <s v="Jul"/>
    <s v="6D"/>
    <s v="E. Braatz"/>
    <x v="21"/>
    <x v="0"/>
    <n v="15055"/>
    <x v="1"/>
    <n v="4"/>
    <x v="2"/>
    <n v="14.6"/>
    <s v="NA"/>
    <n v="42.8"/>
    <n v="11.8144796"/>
    <n v="172.49140209999999"/>
    <n v="0"/>
    <n v="7382.6320100000003"/>
    <n v="7382.6320100000003"/>
    <n v="0.73333333300000003"/>
    <n v="0.73680555599999997"/>
    <n v="0"/>
    <n v="2"/>
    <n v="0"/>
    <n v="81"/>
    <x v="3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9"/>
    <s v="Jul"/>
    <s v="9B"/>
    <s v="E. Braatz"/>
    <x v="39"/>
    <x v="0"/>
    <n v="1006"/>
    <x v="1"/>
    <n v="4"/>
    <x v="2"/>
    <n v="5"/>
    <s v="NA"/>
    <n v="41.2"/>
    <n v="1.6981120000000001"/>
    <n v="8.4905600000000003"/>
    <n v="0"/>
    <n v="349.81107200000002"/>
    <n v="349.81107200000002"/>
    <n v="0.44791666699999999"/>
    <n v="0.45138888900000002"/>
    <n v="0"/>
    <n v="1"/>
    <n v="5"/>
    <n v="73"/>
    <x v="2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10C"/>
    <s v="E. Braatz"/>
    <x v="8"/>
    <x v="0"/>
    <n v="14026"/>
    <x v="1"/>
    <n v="4"/>
    <x v="2"/>
    <n v="5.6666666670000003"/>
    <s v="NA"/>
    <n v="76.5"/>
    <n v="8.5731957570000006"/>
    <n v="48.581442619999997"/>
    <n v="0"/>
    <n v="3716.4803609999999"/>
    <n v="3716.4803609999999"/>
    <n v="0.66180555600000002"/>
    <n v="0.66527777799999999"/>
    <n v="0"/>
    <n v="1"/>
    <n v="30"/>
    <n v="8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11C"/>
    <s v="E. Braatz"/>
    <x v="10"/>
    <x v="0"/>
    <n v="14010"/>
    <x v="0"/>
    <n v="4"/>
    <x v="0"/>
    <n v="12.66666667"/>
    <s v="NA"/>
    <n v="59.7"/>
    <n v="5.5466469710000004"/>
    <n v="70.257528300000004"/>
    <n v="0"/>
    <n v="4194.3744399999996"/>
    <n v="4194.3744399999996"/>
    <n v="0.67013888899999996"/>
    <n v="0.67361111100000004"/>
    <n v="0"/>
    <n v="1"/>
    <n v="30"/>
    <n v="80"/>
    <x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m/>
  </r>
  <r>
    <n v="45502"/>
    <s v="Jul"/>
    <s v="12C"/>
    <s v="E. Braatz"/>
    <x v="31"/>
    <x v="0"/>
    <n v="13029"/>
    <x v="2"/>
    <n v="4"/>
    <x v="2"/>
    <n v="6"/>
    <s v="NA"/>
    <n v="4.5"/>
    <n v="5.8505173309999998"/>
    <n v="35.103103990000001"/>
    <n v="0"/>
    <n v="157.9639679"/>
    <n v="157.9639679"/>
    <n v="0.67847222200000001"/>
    <n v="0.68194444399999998"/>
    <n v="0"/>
    <n v="1"/>
    <n v="30"/>
    <n v="8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13C"/>
    <s v="E. Braatz"/>
    <x v="8"/>
    <x v="0"/>
    <s v="18008B"/>
    <x v="2"/>
    <s v="NA"/>
    <x v="2"/>
    <n v="9.3333333330000006"/>
    <s v="NA"/>
    <n v="71.400000000000006"/>
    <n v="8.9499950029999997"/>
    <n v="83.533286700000005"/>
    <n v="0"/>
    <n v="5964.2766700000002"/>
    <n v="5964.2766700000002"/>
    <n v="0.62013888900000003"/>
    <n v="0.623611111"/>
    <n v="0"/>
    <n v="1"/>
    <n v="65"/>
    <n v="78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2"/>
    <s v="Jul"/>
    <s v="14C"/>
    <s v="E. Braatz"/>
    <x v="8"/>
    <x v="0"/>
    <s v="18008A"/>
    <x v="1"/>
    <n v="4"/>
    <x v="2"/>
    <n v="17.333333329999999"/>
    <s v="NA"/>
    <n v="94.3"/>
    <n v="8.5731957570000006"/>
    <n v="148.60205980000001"/>
    <n v="0"/>
    <n v="14013.17424"/>
    <n v="14013.17424"/>
    <n v="0.63124999999999998"/>
    <n v="0.63472222199999995"/>
    <n v="0"/>
    <n v="1"/>
    <n v="65"/>
    <n v="78"/>
    <x v="8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m/>
  </r>
  <r>
    <n v="45502"/>
    <s v="Jul"/>
    <s v="1C"/>
    <s v="E. Braatz"/>
    <x v="33"/>
    <x v="0"/>
    <n v="98053"/>
    <x v="3"/>
    <s v="NA"/>
    <x v="2"/>
    <n v="1.3333333329999999"/>
    <s v="NA"/>
    <n v="46.2"/>
    <n v="1.9609767229999999"/>
    <n v="2.6146356310000001"/>
    <n v="0"/>
    <n v="120.79616609999999"/>
    <n v="120.79616609999999"/>
    <n v="0.60763888899999996"/>
    <n v="0.61111111100000004"/>
    <n v="1"/>
    <n v="1"/>
    <n v="65"/>
    <n v="78"/>
    <x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ry light sprinkle--sunny, but rained a bit"/>
  </r>
  <r>
    <n v="45502"/>
    <s v="Jul"/>
    <s v="2C"/>
    <s v="E. Braatz"/>
    <x v="12"/>
    <x v="0"/>
    <n v="14022"/>
    <x v="3"/>
    <n v="4"/>
    <x v="2"/>
    <n v="7"/>
    <s v="NA"/>
    <n v="47.1"/>
    <n v="5.5466469710000004"/>
    <n v="38.826528799999998"/>
    <n v="0"/>
    <n v="1828.7295059999999"/>
    <n v="1828.7295059999999"/>
    <n v="0.70069444400000003"/>
    <n v="0.70416666699999997"/>
    <n v="0"/>
    <n v="1"/>
    <n v="30"/>
    <n v="8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2C"/>
    <s v="E. Braatz"/>
    <x v="12"/>
    <x v="0"/>
    <n v="14022"/>
    <x v="3"/>
    <n v="4"/>
    <x v="2"/>
    <n v="7"/>
    <s v="NA"/>
    <n v="47.1"/>
    <n v="5.5466469710000004"/>
    <n v="38.826528799999998"/>
    <n v="0"/>
    <n v="1828.7295059999999"/>
    <n v="1828.7295059999999"/>
    <n v="0.70069444400000003"/>
    <n v="0.70416666699999997"/>
    <n v="0"/>
    <n v="1"/>
    <n v="30"/>
    <n v="8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3E"/>
    <s v="E. Braatz"/>
    <x v="22"/>
    <x v="1"/>
    <n v="12019"/>
    <x v="3"/>
    <n v="4"/>
    <x v="1"/>
    <n v="0.66666666699999999"/>
    <s v="NA"/>
    <n v="528.4"/>
    <n v="17.097300000000001"/>
    <n v="11.398199999999999"/>
    <n v="0"/>
    <n v="6022.8088799999996"/>
    <n v="6022.8088799999996"/>
    <n v="0.72361111099999997"/>
    <n v="0.72638888899999998"/>
    <n v="0"/>
    <n v="1"/>
    <n v="25"/>
    <n v="81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4C"/>
    <s v="E. Braatz"/>
    <x v="14"/>
    <x v="0"/>
    <n v="4054"/>
    <x v="2"/>
    <n v="4"/>
    <x v="2"/>
    <n v="12"/>
    <s v="NA"/>
    <n v="50"/>
    <n v="9.7279031249999992"/>
    <n v="116.7348375"/>
    <n v="0"/>
    <n v="5836.7418749999997"/>
    <n v="5836.7418749999997"/>
    <n v="0.68958333299999997"/>
    <n v="0.69305555600000002"/>
    <n v="0"/>
    <n v="1"/>
    <n v="30"/>
    <n v="80"/>
    <x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m/>
  </r>
  <r>
    <n v="45502"/>
    <s v="Jul"/>
    <s v="5E"/>
    <s v="E. Braatz"/>
    <x v="24"/>
    <x v="1"/>
    <n v="65169"/>
    <x v="1"/>
    <n v="4"/>
    <x v="1"/>
    <m/>
    <n v="3"/>
    <n v="478.5"/>
    <n v="36.172800000000002"/>
    <n v="0"/>
    <n v="1435.5"/>
    <n v="0"/>
    <n v="1435.5"/>
    <n v="0.73333333300000003"/>
    <n v="0.73680555599999997"/>
    <n v="0"/>
    <n v="1"/>
    <n v="25"/>
    <n v="81"/>
    <x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2"/>
    <s v="Jul"/>
    <s v="8C"/>
    <s v="E. Braatz"/>
    <x v="2"/>
    <x v="0"/>
    <s v="18031A"/>
    <x v="2"/>
    <n v="4"/>
    <x v="2"/>
    <n v="8.6666666669999994"/>
    <s v="NA"/>
    <n v="27.1"/>
    <n v="5.2508798209999998"/>
    <n v="45.507625109999999"/>
    <n v="0"/>
    <n v="1233.2566409999999"/>
    <n v="1233.2566409999999"/>
    <n v="0.64444444400000001"/>
    <n v="0.64791666699999995"/>
    <n v="0"/>
    <n v="1"/>
    <n v="30"/>
    <n v="80"/>
    <x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 Agapostemon"/>
  </r>
  <r>
    <n v="45502"/>
    <s v="Jul"/>
    <s v="9C"/>
    <s v="E. Braatz"/>
    <x v="40"/>
    <x v="0"/>
    <n v="14021"/>
    <x v="2"/>
    <n v="4"/>
    <x v="2"/>
    <n v="3.3333333330000001"/>
    <s v="NA"/>
    <n v="120.2"/>
    <n v="6.4825676799999998"/>
    <n v="21.608558930000001"/>
    <n v="0"/>
    <n v="2597.3487839999998"/>
    <n v="2597.3487839999998"/>
    <n v="0.65277777800000003"/>
    <n v="0.65625"/>
    <n v="0"/>
    <n v="1"/>
    <n v="30"/>
    <n v="80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76"/>
    <s v="Jul"/>
    <s v="11F"/>
    <s v="E. Braatz"/>
    <x v="41"/>
    <x v="1"/>
    <n v="16026"/>
    <x v="2"/>
    <n v="4"/>
    <x v="1"/>
    <m/>
    <n v="82"/>
    <n v="119"/>
    <n v="2.1432989390000001"/>
    <n v="0"/>
    <n v="9758"/>
    <n v="0"/>
    <n v="9758"/>
    <n v="0.66736111099999995"/>
    <n v="0.67291666699999997"/>
    <n v="0"/>
    <n v="2"/>
    <n v="10"/>
    <n v="85"/>
    <x v="6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7/3 to 7/17 are missing a lot of pannicle data because I forgot"/>
  </r>
  <r>
    <n v="45476"/>
    <s v="Jul"/>
    <s v="2F"/>
    <s v="E. Braatz"/>
    <x v="13"/>
    <x v="1"/>
    <s v="Unknown"/>
    <x v="0"/>
    <n v="4"/>
    <x v="3"/>
    <m/>
    <n v="52"/>
    <n v="390.5"/>
    <n v="3.6464443200000001"/>
    <n v="0"/>
    <n v="20306"/>
    <n v="0"/>
    <n v="20306"/>
    <n v="0.654861111"/>
    <n v="0.66041666700000001"/>
    <n v="0"/>
    <n v="2"/>
    <n v="10"/>
    <n v="85"/>
    <x v="9"/>
    <n v="1"/>
    <n v="0"/>
    <n v="0"/>
    <n v="0"/>
    <n v="0"/>
    <n v="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1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m/>
  </r>
  <r>
    <n v="45503"/>
    <s v="Jul"/>
    <s v="11E"/>
    <s v="E. Braatz"/>
    <x v="1"/>
    <x v="1"/>
    <s v="19008B"/>
    <x v="1"/>
    <n v="4"/>
    <x v="1"/>
    <n v="0.66666666699999999"/>
    <s v="NA"/>
    <n v="388.8"/>
    <n v="8.3053000000000008"/>
    <n v="5.536866667"/>
    <n v="0"/>
    <n v="2152.7337600000001"/>
    <n v="2152.7337600000001"/>
    <n v="0.70347222200000004"/>
    <n v="0.70694444400000001"/>
    <n v="0"/>
    <n v="2"/>
    <n v="80"/>
    <n v="87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3"/>
    <s v="Jul"/>
    <s v="2A"/>
    <s v="E. Braatz"/>
    <x v="42"/>
    <x v="0"/>
    <n v="16012"/>
    <x v="0"/>
    <n v="4"/>
    <x v="0"/>
    <n v="2.6666666669999999"/>
    <s v="NA"/>
    <s v="NA"/>
    <e v="#VALUE!"/>
    <e v="#VALUE!"/>
    <e v="#VALUE!"/>
    <e v="#VALUE!"/>
    <s v="NA"/>
    <n v="0.73819444400000001"/>
    <n v="0.74166666699999995"/>
    <n v="0"/>
    <n v="2"/>
    <n v="80"/>
    <n v="87"/>
    <x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3"/>
    <s v="Jul"/>
    <s v="6A"/>
    <s v="E. Braatz"/>
    <x v="30"/>
    <x v="0"/>
    <n v="11031"/>
    <x v="0"/>
    <n v="4"/>
    <x v="0"/>
    <n v="5.6666666670000003"/>
    <s v="NA"/>
    <n v="189.5"/>
    <n v="15.0877"/>
    <n v="85.496966670000006"/>
    <n v="0"/>
    <n v="16201.67518"/>
    <n v="16201.67518"/>
    <n v="0.72152777800000001"/>
    <n v="0.72499999999999998"/>
    <n v="0"/>
    <n v="2"/>
    <n v="80"/>
    <n v="87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3"/>
    <s v="Jul"/>
    <s v="8A"/>
    <s v="E. Braatz"/>
    <x v="5"/>
    <x v="0"/>
    <n v="1128"/>
    <x v="1"/>
    <n v="4"/>
    <x v="2"/>
    <n v="11.33333333"/>
    <s v="NA"/>
    <n v="36.1"/>
    <n v="8.3053000000000008"/>
    <n v="94.126733329999993"/>
    <n v="0"/>
    <n v="3397.9750730000001"/>
    <n v="3397.9750730000001"/>
    <n v="0.71319444399999998"/>
    <n v="0.71666666700000003"/>
    <n v="0"/>
    <n v="2"/>
    <n v="80"/>
    <n v="87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m/>
  </r>
  <r>
    <n v="45504"/>
    <s v="Jul"/>
    <s v="12A"/>
    <s v="E. Braatz"/>
    <x v="28"/>
    <x v="0"/>
    <n v="20012"/>
    <x v="1"/>
    <n v="4"/>
    <x v="2"/>
    <n v="8"/>
    <s v="NA"/>
    <e v="#N/A"/>
    <e v="#N/A"/>
    <e v="#N/A"/>
    <e v="#N/A"/>
    <e v="#N/A"/>
    <s v="NA"/>
    <n v="0.74027777800000005"/>
    <n v="0.74375000000000002"/>
    <n v="0"/>
    <n v="2"/>
    <n v="10"/>
    <n v="91"/>
    <x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1"/>
    <s v="Jul"/>
    <s v="11A"/>
    <s v="E. Braatz"/>
    <x v="0"/>
    <x v="0"/>
    <n v="5026"/>
    <x v="0"/>
    <n v="4"/>
    <x v="0"/>
    <m/>
    <s v="NA"/>
    <s v="NA"/>
    <e v="#VALUE!"/>
    <m/>
    <m/>
    <m/>
    <m/>
    <s v="NA"/>
    <s v="NA"/>
    <s v="NA"/>
    <s v="NA"/>
    <s v="NA"/>
    <s v="NA"/>
    <x v="1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81"/>
    <s v="Jul"/>
    <s v="16C"/>
    <s v="E. Braatz"/>
    <x v="4"/>
    <x v="0"/>
    <n v="14001"/>
    <x v="0"/>
    <n v="4"/>
    <x v="0"/>
    <m/>
    <s v="NA"/>
    <n v="25.9"/>
    <n v="8.2044997199999994"/>
    <m/>
    <s v="NA"/>
    <s v="NA"/>
    <s v="NA"/>
    <n v="0.66111111099999997"/>
    <n v="0.66666666699999999"/>
    <n v="0"/>
    <n v="1"/>
    <n v="10"/>
    <n v="80"/>
    <x v="3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481"/>
    <s v="Jul"/>
    <s v="5B"/>
    <s v="E. Braatz"/>
    <x v="0"/>
    <x v="0"/>
    <n v="5026"/>
    <x v="0"/>
    <n v="4"/>
    <x v="0"/>
    <m/>
    <n v="318"/>
    <n v="5.5"/>
    <n v="0.90683199999999997"/>
    <n v="0"/>
    <n v="1749"/>
    <n v="0"/>
    <n v="1749"/>
    <n v="0.13888888899999999"/>
    <n v="0.14444444400000001"/>
    <n v="0"/>
    <n v="1"/>
    <n v="25"/>
    <n v="80"/>
    <x v="8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505"/>
    <s v="Aug"/>
    <s v="10A"/>
    <s v="E. Braatz"/>
    <x v="12"/>
    <x v="0"/>
    <n v="7045"/>
    <x v="3"/>
    <n v="4"/>
    <x v="0"/>
    <n v="18"/>
    <s v="NA"/>
    <n v="79"/>
    <n v="1.446912"/>
    <n v="26.044415999999998"/>
    <n v="0"/>
    <n v="2057.5088639999999"/>
    <n v="2057.5088639999999"/>
    <n v="0.445833333"/>
    <n v="0.44930555599999999"/>
    <n v="0"/>
    <n v="2"/>
    <n v="100"/>
    <n v="8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10B"/>
    <s v="E. Braatz"/>
    <x v="27"/>
    <x v="0"/>
    <n v="1005"/>
    <x v="1"/>
    <n v="4"/>
    <x v="2"/>
    <n v="7"/>
    <s v="NA"/>
    <n v="125.2"/>
    <n v="3.8207520000000001"/>
    <n v="26.745263999999999"/>
    <n v="0"/>
    <n v="3348.5070529999998"/>
    <n v="3348.5070529999998"/>
    <n v="0.56319444399999996"/>
    <n v="0.56666666700000001"/>
    <n v="0"/>
    <n v="2"/>
    <n v="90"/>
    <n v="79"/>
    <x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11B"/>
    <s v="E. Braatz"/>
    <x v="21"/>
    <x v="0"/>
    <n v="15012"/>
    <x v="0"/>
    <n v="4"/>
    <x v="2"/>
    <n v="5.3333333329999997"/>
    <s v="NA"/>
    <n v="269.7"/>
    <n v="7.5987999999999998"/>
    <n v="40.526933329999999"/>
    <n v="0"/>
    <n v="10930.11392"/>
    <n v="10930.11392"/>
    <n v="0.57083333300000005"/>
    <n v="0.57430555599999999"/>
    <n v="0"/>
    <n v="2"/>
    <n v="75"/>
    <n v="79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13B"/>
    <s v="E. Braatz"/>
    <x v="12"/>
    <x v="0"/>
    <n v="7045"/>
    <x v="1"/>
    <n v="5"/>
    <x v="0"/>
    <n v="8.3333333330000006"/>
    <s v="NA"/>
    <n v="91.2"/>
    <n v="1.6981120000000001"/>
    <n v="14.150933330000001"/>
    <n v="0"/>
    <n v="1290.56512"/>
    <n v="1290.56512"/>
    <n v="0.58333333300000001"/>
    <n v="0.58680555599999995"/>
    <n v="0"/>
    <n v="2"/>
    <n v="75"/>
    <n v="79"/>
    <x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15B"/>
    <s v="E. Braatz"/>
    <x v="43"/>
    <x v="0"/>
    <n v="15049"/>
    <x v="3"/>
    <n v="4"/>
    <x v="2"/>
    <n v="8"/>
    <s v="NA"/>
    <n v="107.9"/>
    <n v="1.5078279999999999"/>
    <n v="12.062624"/>
    <n v="0"/>
    <n v="1301.5571299999999"/>
    <n v="1301.5571299999999"/>
    <n v="0.59027777800000003"/>
    <n v="0.59375"/>
    <n v="0"/>
    <n v="2"/>
    <n v="75"/>
    <n v="79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ots of bracts"/>
  </r>
  <r>
    <n v="45505"/>
    <s v="Aug"/>
    <s v="16B"/>
    <s v="E. Braatz"/>
    <x v="32"/>
    <x v="0"/>
    <n v="1127"/>
    <x v="1"/>
    <n v="4"/>
    <x v="0"/>
    <n v="7.6666666670000003"/>
    <s v="NA"/>
    <n v="126.2"/>
    <n v="2.9899079999999998"/>
    <n v="22.922628"/>
    <n v="0"/>
    <n v="2892.835654"/>
    <n v="2892.835654"/>
    <n v="0.61666666699999995"/>
    <n v="0.62013888900000003"/>
    <n v="0"/>
    <n v="2"/>
    <n v="60"/>
    <n v="84"/>
    <x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19B"/>
    <s v="E. Braatz"/>
    <x v="10"/>
    <x v="0"/>
    <n v="14010"/>
    <x v="0"/>
    <s v="NA"/>
    <x v="0"/>
    <n v="8.6666666669999994"/>
    <s v="NA"/>
    <n v="69.400000000000006"/>
    <n v="4.0191999999999997"/>
    <n v="34.833066670000001"/>
    <n v="0"/>
    <n v="2417.4148270000001"/>
    <n v="2417.4148270000001"/>
    <n v="0.47083333300000002"/>
    <n v="0.47430555600000002"/>
    <n v="0"/>
    <n v="2"/>
    <n v="90"/>
    <n v="81"/>
    <x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21B"/>
    <s v="E.Braatz"/>
    <x v="44"/>
    <x v="0"/>
    <n v="12020"/>
    <x v="2"/>
    <n v="4"/>
    <x v="0"/>
    <n v="8.3333333330000006"/>
    <s v="NA"/>
    <n v="150.69999999999999"/>
    <n v="13.629598550000001"/>
    <n v="113.57998790000001"/>
    <n v="0"/>
    <n v="17116.50418"/>
    <n v="17116.50418"/>
    <n v="0.45694444400000001"/>
    <n v="0.460416667"/>
    <n v="0"/>
    <n v="2"/>
    <n v="90"/>
    <n v="81"/>
    <x v="5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23B"/>
    <s v="E. Braatz"/>
    <x v="35"/>
    <x v="0"/>
    <s v="No tag"/>
    <x v="1"/>
    <n v="5"/>
    <x v="2"/>
    <n v="7"/>
    <s v="NA"/>
    <n v="60.9"/>
    <n v="4.4121976270000003"/>
    <n v="30.885383390000001"/>
    <n v="0"/>
    <n v="1880.919848"/>
    <n v="1880.919848"/>
    <n v="0.64305555599999997"/>
    <n v="0.64652777800000005"/>
    <n v="0"/>
    <n v="1"/>
    <n v="60"/>
    <n v="8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24B"/>
    <s v="E.Braatz"/>
    <x v="36"/>
    <x v="0"/>
    <n v="21040"/>
    <x v="3"/>
    <n v="4"/>
    <x v="2"/>
    <m/>
    <n v="24"/>
    <n v="194.2"/>
    <n v="3.6464443200000001"/>
    <n v="0"/>
    <n v="4660.8"/>
    <n v="0"/>
    <n v="4660.8"/>
    <n v="0.59930555600000002"/>
    <n v="0.60208333300000005"/>
    <n v="0"/>
    <n v="1"/>
    <n v="30"/>
    <n v="8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26B"/>
    <s v="E. Braatz"/>
    <x v="37"/>
    <x v="0"/>
    <n v="21026"/>
    <x v="3"/>
    <n v="4"/>
    <x v="2"/>
    <n v="2.6666666669999999"/>
    <s v="NA"/>
    <n v="86.428569999999993"/>
    <n v="5.8505173309999998"/>
    <n v="15.601379550000001"/>
    <n v="0"/>
    <n v="1348.404925"/>
    <n v="1348.404925"/>
    <n v="0.62569444399999996"/>
    <n v="0.62916666700000001"/>
    <n v="0"/>
    <n v="1"/>
    <n v="50"/>
    <n v="8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2B"/>
    <s v="E. Braatz"/>
    <x v="45"/>
    <x v="0"/>
    <n v="1004"/>
    <x v="3"/>
    <n v="4"/>
    <x v="2"/>
    <n v="4.6666666670000003"/>
    <s v="NA"/>
    <n v="174.4"/>
    <n v="44.668942919999999"/>
    <n v="208.45506700000001"/>
    <n v="0"/>
    <n v="36354.563679999999"/>
    <n v="36354.563679999999"/>
    <n v="0.51041666699999999"/>
    <n v="0.51180555599999999"/>
    <n v="0"/>
    <n v="2"/>
    <n v="35"/>
    <n v="81"/>
    <x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ded sampling early because vacuum battery died"/>
  </r>
  <r>
    <n v="45505"/>
    <s v="Aug"/>
    <s v="3A"/>
    <s v="E. Braatz"/>
    <x v="29"/>
    <x v="0"/>
    <n v="12022"/>
    <x v="1"/>
    <n v="4"/>
    <x v="2"/>
    <n v="17"/>
    <s v="NA"/>
    <n v="361"/>
    <n v="8.3053000000000008"/>
    <n v="141.1901"/>
    <n v="0"/>
    <n v="50969.626100000001"/>
    <n v="50969.626100000001"/>
    <n v="0.39097222199999998"/>
    <n v="0.39444444400000001"/>
    <n v="0"/>
    <n v="2"/>
    <n v="100"/>
    <n v="76"/>
    <x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m/>
  </r>
  <r>
    <n v="45505"/>
    <s v="Aug"/>
    <s v="3B"/>
    <s v="E.Braatz"/>
    <x v="46"/>
    <x v="0"/>
    <n v="10040"/>
    <x v="2"/>
    <n v="4"/>
    <x v="2"/>
    <m/>
    <n v="1"/>
    <s v="NA"/>
    <e v="#VALUE!"/>
    <e v="#VALUE!"/>
    <e v="#VALUE!"/>
    <e v="#VALUE!"/>
    <s v="NA"/>
    <n v="0.50277777800000001"/>
    <n v="0.50624999999999998"/>
    <n v="0"/>
    <n v="2"/>
    <n v="35"/>
    <n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y bracts and few flowers"/>
  </r>
  <r>
    <n v="45505"/>
    <s v="Aug"/>
    <s v="5A"/>
    <s v="E. Braatz"/>
    <x v="4"/>
    <x v="0"/>
    <n v="5079"/>
    <x v="0"/>
    <n v="4"/>
    <x v="0"/>
    <n v="20.333333329999999"/>
    <s v="NA"/>
    <n v="98.6"/>
    <n v="14.13"/>
    <n v="287.31"/>
    <n v="0"/>
    <n v="28328.766"/>
    <n v="28328.766"/>
    <n v="0.4"/>
    <n v="0.40347222199999999"/>
    <n v="0"/>
    <n v="2"/>
    <n v="100"/>
    <n v="76"/>
    <x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m/>
  </r>
  <r>
    <n v="45505"/>
    <s v="Aug"/>
    <s v="5B"/>
    <s v="E. Braatz"/>
    <x v="0"/>
    <x v="0"/>
    <n v="5026"/>
    <x v="0"/>
    <n v="4"/>
    <x v="0"/>
    <n v="0"/>
    <s v="NA"/>
    <n v="5.5"/>
    <n v="0.90683199999999997"/>
    <n v="0"/>
    <n v="0"/>
    <n v="0"/>
    <n v="0"/>
    <n v="0.49583333299999999"/>
    <n v="0.49930555599999998"/>
    <n v="0"/>
    <n v="2"/>
    <n v="35"/>
    <n v="8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 blooming--only buds and bracts"/>
  </r>
  <r>
    <n v="45505"/>
    <s v="Aug"/>
    <s v="6B"/>
    <s v="E. Braatz"/>
    <x v="5"/>
    <x v="0"/>
    <n v="1128"/>
    <x v="3"/>
    <n v="4"/>
    <x v="0"/>
    <n v="21"/>
    <s v="NA"/>
    <n v="154.80000000000001"/>
    <n v="1.1077920000000001"/>
    <n v="23.263632000000001"/>
    <n v="0"/>
    <n v="3601.2102340000001"/>
    <n v="3601.2102340000001"/>
    <n v="0.48749999999999999"/>
    <n v="0.49097222200000001"/>
    <n v="0"/>
    <n v="2"/>
    <n v="35"/>
    <n v="81"/>
    <x v="1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505"/>
    <s v="Aug"/>
    <s v="6D"/>
    <s v="E. Braatz"/>
    <x v="21"/>
    <x v="0"/>
    <n v="15055"/>
    <x v="1"/>
    <n v="4"/>
    <x v="2"/>
    <m/>
    <s v="NA"/>
    <n v="42.8"/>
    <n v="11.8144796"/>
    <m/>
    <m/>
    <m/>
    <m/>
    <s v="NA"/>
    <s v="NA"/>
    <s v="NA"/>
    <s v="NA"/>
    <s v="NA"/>
    <s v="NA"/>
    <x v="3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7A"/>
    <s v="E. Braatz"/>
    <x v="47"/>
    <x v="0"/>
    <n v="11044"/>
    <x v="3"/>
    <n v="4"/>
    <x v="0"/>
    <n v="18"/>
    <s v="NA"/>
    <n v="174.2"/>
    <n v="4.0191999999999997"/>
    <n v="72.345600000000005"/>
    <n v="0"/>
    <n v="12602.603520000001"/>
    <n v="12602.603520000001"/>
    <n v="0.40972222200000002"/>
    <n v="0.41319444399999999"/>
    <n v="0"/>
    <n v="2"/>
    <n v="100"/>
    <n v="76"/>
    <x v="1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5"/>
    <s v="Aug"/>
    <s v="8B"/>
    <s v="E. Braatz"/>
    <x v="4"/>
    <x v="0"/>
    <n v="5079"/>
    <x v="0"/>
    <n v="4"/>
    <x v="0"/>
    <n v="7.3333333329999997"/>
    <s v="NA"/>
    <n v="138.69999999999999"/>
    <n v="2.2608000000000001"/>
    <n v="16.5792"/>
    <n v="0"/>
    <n v="2299.5350400000002"/>
    <n v="2299.5350400000002"/>
    <n v="0.47916666699999999"/>
    <n v="0.48263888900000002"/>
    <n v="0"/>
    <n v="2"/>
    <n v="100"/>
    <n v="81"/>
    <x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eels about to rain"/>
  </r>
  <r>
    <n v="45505"/>
    <s v="Aug"/>
    <s v="9A"/>
    <s v="E. Braatz"/>
    <x v="6"/>
    <x v="0"/>
    <n v="12021"/>
    <x v="0"/>
    <n v="4"/>
    <x v="0"/>
    <n v="12.33333333"/>
    <s v="NA"/>
    <n v="97.8"/>
    <n v="6.28"/>
    <n v="77.453333330000007"/>
    <n v="0"/>
    <n v="7574.9359999999997"/>
    <n v="7574.9359999999997"/>
    <n v="0.41944444400000003"/>
    <n v="0.42291666700000002"/>
    <n v="0"/>
    <n v="2"/>
    <n v="100"/>
    <n v="76"/>
    <x v="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9B"/>
    <s v="E. Braatz"/>
    <x v="39"/>
    <x v="0"/>
    <n v="1006"/>
    <x v="1"/>
    <n v="4"/>
    <x v="2"/>
    <n v="6.6666666670000003"/>
    <s v="NA"/>
    <n v="41.2"/>
    <n v="1.6981120000000001"/>
    <n v="11.32074667"/>
    <n v="0"/>
    <n v="466.41476269999998"/>
    <n v="466.41476269999998"/>
    <n v="0.63333333300000005"/>
    <n v="0.63680555599999999"/>
    <n v="0"/>
    <n v="2"/>
    <n v="70"/>
    <n v="81"/>
    <x v="7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7"/>
    <s v="Aug"/>
    <s v="19D"/>
    <s v="J. Goldsby"/>
    <x v="19"/>
    <x v="0"/>
    <s v="2023-030"/>
    <x v="3"/>
    <n v="4"/>
    <x v="2"/>
    <n v="6"/>
    <s v="NA"/>
    <n v="55.8"/>
    <n v="2.3337243650000001"/>
    <n v="14.002346190000001"/>
    <n v="0"/>
    <n v="781.33091730000001"/>
    <n v="781.33091730000001"/>
    <n v="0.56805555600000002"/>
    <n v="0.57152777799999999"/>
    <n v="0"/>
    <n v="2"/>
    <n v="15"/>
    <n v="8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7"/>
    <s v="Aug"/>
    <s v="1D"/>
    <s v="J. Goldsby"/>
    <x v="48"/>
    <x v="0"/>
    <s v="87273-0"/>
    <x v="0"/>
    <n v="4"/>
    <x v="0"/>
    <n v="1.6666666670000001"/>
    <s v="NA"/>
    <n v="243"/>
    <n v="3.1764581629999999"/>
    <n v="5.2940969390000001"/>
    <n v="0"/>
    <n v="1286.4655560000001"/>
    <n v="1286.4655560000001"/>
    <n v="0.56180555600000004"/>
    <n v="0.56527777800000001"/>
    <n v="0"/>
    <n v="1"/>
    <n v="15"/>
    <n v="8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7"/>
    <s v="Aug"/>
    <s v="2D"/>
    <s v="J. Goldsby"/>
    <x v="46"/>
    <x v="0"/>
    <n v="10040"/>
    <x v="2"/>
    <n v="4"/>
    <x v="2"/>
    <m/>
    <n v="12"/>
    <n v="29.33333"/>
    <n v="0.58343109100000001"/>
    <n v="0"/>
    <n v="351.99995999999999"/>
    <n v="0"/>
    <n v="351.99995999999999"/>
    <n v="0.57430555599999999"/>
    <n v="0.57777777799999996"/>
    <n v="0"/>
    <n v="1"/>
    <n v="15"/>
    <n v="8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7"/>
    <s v="Aug"/>
    <s v="3D"/>
    <s v="E. Braatz"/>
    <x v="38"/>
    <x v="0"/>
    <n v="10063"/>
    <x v="1"/>
    <n v="5"/>
    <x v="2"/>
    <n v="12.66666667"/>
    <s v="NA"/>
    <n v="349.6"/>
    <n v="18.187653950000001"/>
    <n v="230.37694999999999"/>
    <n v="0"/>
    <n v="80539.781719999999"/>
    <n v="80539.781719999999"/>
    <n v="0.58194444400000001"/>
    <n v="0.58541666699999995"/>
    <n v="0"/>
    <n v="1"/>
    <n v="25"/>
    <n v="82"/>
    <x v="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7"/>
    <s v="Aug"/>
    <s v="4D"/>
    <s v="E. Braatz"/>
    <x v="44"/>
    <x v="0"/>
    <n v="12020"/>
    <x v="0"/>
    <n v="4"/>
    <x v="0"/>
    <n v="1.6666666670000001"/>
    <s v="NA"/>
    <n v="167.9"/>
    <n v="16.08081945"/>
    <n v="26.801365749999999"/>
    <n v="0"/>
    <n v="4499.94931"/>
    <n v="4499.94931"/>
    <n v="0.592361111"/>
    <n v="0.59583333299999997"/>
    <n v="0"/>
    <n v="1"/>
    <n v="30"/>
    <n v="82"/>
    <x v="6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8"/>
    <s v="Aug"/>
    <s v="11D"/>
    <s v="J. Goldsby"/>
    <x v="18"/>
    <x v="0"/>
    <n v="93021"/>
    <x v="0"/>
    <s v="NA"/>
    <x v="0"/>
    <n v="13.33333333"/>
    <s v="NA"/>
    <n v="404.7"/>
    <n v="9.3348974590000005"/>
    <n v="124.4652995"/>
    <n v="0"/>
    <n v="50371.106690000001"/>
    <n v="50371.106690000001"/>
    <n v="0.42499999999999999"/>
    <n v="0.42847222200000001"/>
    <n v="0"/>
    <n v="1"/>
    <n v="20"/>
    <n v="76"/>
    <x v="1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s v="Also 1 moth/butterfly"/>
  </r>
  <r>
    <n v="45518"/>
    <s v="Aug"/>
    <s v="12D"/>
    <s v="J. Goldsby"/>
    <x v="45"/>
    <x v="0"/>
    <n v="1004"/>
    <x v="1"/>
    <n v="4"/>
    <x v="2"/>
    <n v="24"/>
    <s v="NA"/>
    <n v="98.3"/>
    <n v="21.003519279999999"/>
    <n v="504.08446279999998"/>
    <n v="0"/>
    <n v="49551.502690000001"/>
    <n v="49551.502690000001"/>
    <n v="0.43333333299999999"/>
    <n v="0.43680555599999998"/>
    <n v="0"/>
    <n v="1"/>
    <n v="25"/>
    <n v="7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8"/>
    <s v="Aug"/>
    <s v="15D"/>
    <s v="J. Goldsby"/>
    <x v="47"/>
    <x v="0"/>
    <n v="11044"/>
    <x v="3"/>
    <n v="4"/>
    <x v="0"/>
    <n v="7"/>
    <s v="NA"/>
    <n v="88.6"/>
    <n v="4.4121976270000003"/>
    <n v="30.885383390000001"/>
    <n v="0"/>
    <n v="2736.4449679999998"/>
    <n v="2736.4449679999998"/>
    <n v="0.45833333300000001"/>
    <n v="0.46180555600000001"/>
    <n v="0"/>
    <n v="2"/>
    <n v="40"/>
    <n v="78"/>
    <x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m/>
  </r>
  <r>
    <n v="45518"/>
    <s v="Aug"/>
    <s v="16D"/>
    <s v="J. Goldsby"/>
    <x v="49"/>
    <x v="0"/>
    <n v="95054"/>
    <x v="0"/>
    <n v="4"/>
    <x v="0"/>
    <n v="4.1666666670000003"/>
    <s v="NA"/>
    <n v="109.8"/>
    <n v="16.595373259999999"/>
    <n v="69.147388590000006"/>
    <n v="0"/>
    <n v="7592.3832670000002"/>
    <n v="7592.3832670000002"/>
    <n v="0.46805555599999998"/>
    <n v="0.47152777800000001"/>
    <n v="0"/>
    <n v="2"/>
    <n v="55"/>
    <n v="78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s v="Also 1 butterfly/moth (same color as 11D)"/>
  </r>
  <r>
    <n v="45518"/>
    <s v="Aug"/>
    <s v="17D"/>
    <s v="J. Goldsby"/>
    <x v="27"/>
    <x v="0"/>
    <n v="1005"/>
    <x v="1"/>
    <n v="4"/>
    <x v="2"/>
    <n v="6"/>
    <s v="NA"/>
    <n v="91.7"/>
    <n v="8.2044997199999994"/>
    <n v="49.22699832"/>
    <n v="0"/>
    <n v="4514.1157460000004"/>
    <n v="4514.1157460000004"/>
    <n v="0.47638888899999998"/>
    <n v="0.47986111100000001"/>
    <n v="0"/>
    <n v="1"/>
    <n v="30"/>
    <n v="78"/>
    <x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8"/>
    <s v="Aug"/>
    <s v="18D"/>
    <s v="J. Goldsby"/>
    <x v="11"/>
    <x v="0"/>
    <s v="12031B"/>
    <x v="3"/>
    <n v="4"/>
    <x v="2"/>
    <n v="14.33333333"/>
    <s v="NA"/>
    <n v="72.099999999999994"/>
    <n v="6.162490901"/>
    <n v="88.329036239999994"/>
    <n v="0"/>
    <n v="6368.5235130000001"/>
    <n v="6368.5235130000001"/>
    <n v="0.48541666700000002"/>
    <n v="0.48888888899999999"/>
    <n v="0"/>
    <n v="2"/>
    <n v="30"/>
    <n v="78"/>
    <x v="2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8"/>
    <s v="Aug"/>
    <s v="21D"/>
    <s v="J. Goldsby"/>
    <x v="28"/>
    <x v="0"/>
    <s v="20012A"/>
    <x v="2"/>
    <n v="5"/>
    <x v="2"/>
    <n v="13.66666667"/>
    <s v="NA"/>
    <n v="76.900000000000006"/>
    <n v="2.5322529999999999"/>
    <n v="34.607457670000002"/>
    <n v="0"/>
    <n v="2661.3134949999999"/>
    <n v="2661.3134949999999"/>
    <n v="0.44861111100000001"/>
    <n v="0.45208333299999998"/>
    <n v="0"/>
    <n v="1"/>
    <n v="40"/>
    <n v="77"/>
    <x v="3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n v="45518"/>
    <s v="Aug"/>
    <s v="4F"/>
    <s v="J. Goldsby"/>
    <x v="15"/>
    <x v="1"/>
    <n v="18022"/>
    <x v="0"/>
    <n v="3"/>
    <x v="3"/>
    <n v="5"/>
    <s v="NA"/>
    <n v="563.42857140000001"/>
    <n v="9.3348974590000005"/>
    <n v="46.674487300000003"/>
    <n v="0"/>
    <n v="26297.739699999998"/>
    <n v="26297.739699999998"/>
    <n v="0.53402777800000001"/>
    <n v="0.53749999999999998"/>
    <n v="0"/>
    <n v="1"/>
    <n v="50"/>
    <n v="80"/>
    <x v="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n v="45518"/>
    <s v="Aug"/>
    <s v="6F"/>
    <s v="J. Goldsby"/>
    <x v="50"/>
    <x v="1"/>
    <n v="16027"/>
    <x v="1"/>
    <n v="4"/>
    <x v="1"/>
    <m/>
    <n v="3"/>
    <n v="684"/>
    <n v="8.2044997199999994"/>
    <n v="0"/>
    <n v="2052"/>
    <n v="0"/>
    <n v="2052"/>
    <n v="0.561111111"/>
    <n v="0.56458333299999997"/>
    <n v="0"/>
    <n v="23"/>
    <n v="65"/>
    <n v="8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8"/>
    <s v="Aug"/>
    <s v="7D"/>
    <s v="J. Goldsby"/>
    <x v="51"/>
    <x v="0"/>
    <n v="97033"/>
    <x v="0"/>
    <n v="4"/>
    <x v="0"/>
    <n v="16"/>
    <s v="NA"/>
    <n v="160.69999999999999"/>
    <n v="14.58577728"/>
    <n v="233.37243649999999"/>
    <n v="0"/>
    <n v="37502.950539999998"/>
    <n v="37502.950539999998"/>
    <n v="0.36388888899999999"/>
    <n v="0.36736111100000002"/>
    <n v="0"/>
    <n v="0"/>
    <n v="5"/>
    <n v="68"/>
    <x v="8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8"/>
    <s v="Aug"/>
    <s v="8D"/>
    <s v="J. Goldsby"/>
    <x v="52"/>
    <x v="0"/>
    <n v="1072"/>
    <x v="2"/>
    <n v="4"/>
    <x v="2"/>
    <n v="12"/>
    <s v="NA"/>
    <n v="104.4"/>
    <n v="14.58577728"/>
    <n v="175.0293274"/>
    <n v="0"/>
    <n v="18273.06178"/>
    <n v="18273.06178"/>
    <n v="0.37430555599999998"/>
    <n v="0.37777777800000001"/>
    <n v="0"/>
    <n v="1"/>
    <n v="5"/>
    <n v="72"/>
    <x v="3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6"/>
    <s v="Aug"/>
    <s v="16C"/>
    <s v="E. Braatz"/>
    <x v="4"/>
    <x v="0"/>
    <n v="14001"/>
    <x v="0"/>
    <n v="4"/>
    <x v="0"/>
    <n v="6.3333333329999997"/>
    <s v="NA"/>
    <n v="25.9"/>
    <n v="8.2044997199999994"/>
    <n v="51.96183156"/>
    <n v="0"/>
    <n v="1345.8114370000001"/>
    <n v="1345.8114370000001"/>
    <n v="0.45277777800000002"/>
    <n v="0.45624999999999999"/>
    <n v="0"/>
    <n v="2"/>
    <n v="40"/>
    <n v="79"/>
    <x v="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m/>
  </r>
  <r>
    <n v="45506"/>
    <s v="Aug"/>
    <s v="19D"/>
    <s v="E. Braatz"/>
    <x v="19"/>
    <x v="0"/>
    <s v="2023-030"/>
    <x v="3"/>
    <n v="4"/>
    <x v="2"/>
    <n v="15"/>
    <s v="NA"/>
    <n v="55.8"/>
    <n v="2.3337243650000001"/>
    <n v="35.005865470000003"/>
    <n v="0"/>
    <n v="1953.3272930000001"/>
    <n v="1953.3272930000001"/>
    <n v="0.46319444399999998"/>
    <n v="0.46666666699999998"/>
    <n v="0"/>
    <n v="2"/>
    <n v="35"/>
    <n v="79"/>
    <x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6"/>
    <s v="Aug"/>
    <s v="22B"/>
    <s v="E. Braatz"/>
    <x v="34"/>
    <x v="0"/>
    <n v="21039"/>
    <x v="3"/>
    <n v="4"/>
    <x v="2"/>
    <m/>
    <s v="NA"/>
    <n v="17.7"/>
    <n v="1.9609767229999999"/>
    <m/>
    <m/>
    <m/>
    <m/>
    <s v="NA"/>
    <s v="NA"/>
    <s v="NA"/>
    <s v="NA"/>
    <s v="NA"/>
    <s v="NA"/>
    <x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6"/>
    <s v="Aug"/>
    <s v="3D"/>
    <s v="E. Braatz"/>
    <x v="38"/>
    <x v="0"/>
    <n v="10063"/>
    <x v="1"/>
    <n v="5"/>
    <x v="2"/>
    <n v="12"/>
    <s v="NA"/>
    <n v="349.6"/>
    <n v="18.187653950000001"/>
    <n v="218.2518474"/>
    <n v="0"/>
    <n v="76300.845839999994"/>
    <n v="76300.845839999994"/>
    <n v="0.47222222200000002"/>
    <n v="0.47569444399999999"/>
    <n v="0"/>
    <n v="2"/>
    <n v="35"/>
    <n v="79"/>
    <x v="2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6"/>
    <s v="Aug"/>
    <s v="5D"/>
    <s v="E. Braatz"/>
    <x v="53"/>
    <x v="0"/>
    <n v="96102"/>
    <x v="0"/>
    <n v="4"/>
    <x v="0"/>
    <n v="9"/>
    <s v="NA"/>
    <n v="492.1"/>
    <n v="6.8107476690000004"/>
    <n v="61.296729020000001"/>
    <n v="0"/>
    <n v="30164.120350000001"/>
    <n v="30164.120350000001"/>
    <n v="0.48055555599999999"/>
    <n v="0.48402777800000002"/>
    <n v="0"/>
    <n v="2"/>
    <n v="35"/>
    <n v="7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6"/>
    <s v="Aug"/>
    <s v="6F"/>
    <s v="E. Braatz"/>
    <x v="50"/>
    <x v="1"/>
    <n v="16027"/>
    <x v="1"/>
    <n v="4"/>
    <x v="1"/>
    <m/>
    <n v="2"/>
    <n v="684"/>
    <n v="8.2044997199999994"/>
    <n v="0"/>
    <n v="1368"/>
    <n v="0"/>
    <n v="1368"/>
    <n v="0.43055555600000001"/>
    <n v="0.43402777799999998"/>
    <n v="0"/>
    <n v="2"/>
    <n v="70"/>
    <n v="7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stly done blooming--only 2 blooms left"/>
  </r>
  <r>
    <n v="45524"/>
    <s v="Aug"/>
    <s v="1D"/>
    <s v="G. Meneses"/>
    <x v="48"/>
    <x v="0"/>
    <s v="87273-0"/>
    <x v="0"/>
    <n v="4"/>
    <x v="0"/>
    <m/>
    <n v="34"/>
    <n v="243"/>
    <n v="3.1764581629999999"/>
    <n v="0"/>
    <n v="8262"/>
    <n v="0"/>
    <n v="8262"/>
    <n v="0.55972222199999999"/>
    <n v="0.56319444399999996"/>
    <n v="0"/>
    <n v="1"/>
    <n v="15"/>
    <n v="70"/>
    <x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4"/>
    <s v="Aug"/>
    <s v="2D"/>
    <s v="G. Meneses"/>
    <x v="46"/>
    <x v="0"/>
    <n v="10040"/>
    <x v="2"/>
    <n v="4"/>
    <x v="2"/>
    <m/>
    <n v="6"/>
    <n v="29.33333"/>
    <n v="0.58343109100000001"/>
    <n v="0"/>
    <n v="175.99997999999999"/>
    <n v="0"/>
    <n v="175.99997999999999"/>
    <n v="0.56944444400000005"/>
    <n v="0.57291666699999999"/>
    <n v="0"/>
    <n v="1"/>
    <n v="15"/>
    <n v="70"/>
    <x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5 petal common"/>
  </r>
  <r>
    <n v="45524"/>
    <s v="Aug"/>
    <s v="3D"/>
    <s v="G. Meneses"/>
    <x v="38"/>
    <x v="0"/>
    <n v="10063"/>
    <x v="1"/>
    <n v="5"/>
    <x v="2"/>
    <n v="12.33333333"/>
    <s v="NA"/>
    <n v="349.6"/>
    <n v="18.187653950000001"/>
    <n v="224.3143987"/>
    <n v="0"/>
    <n v="78420.313779999997"/>
    <n v="78420.313779999997"/>
    <n v="0.57777777799999996"/>
    <n v="0.58125000000000004"/>
    <n v="0"/>
    <n v="1"/>
    <n v="15"/>
    <n v="70"/>
    <x v="11"/>
    <n v="0"/>
    <n v="1"/>
    <n v="1"/>
    <n v="1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m/>
  </r>
  <r>
    <n v="45524"/>
    <s v="Aug"/>
    <s v="4D"/>
    <s v="G. Meneses"/>
    <x v="44"/>
    <x v="0"/>
    <n v="12020"/>
    <x v="0"/>
    <n v="4"/>
    <x v="0"/>
    <n v="3"/>
    <s v="NA"/>
    <n v="167.9"/>
    <n v="16.08081945"/>
    <n v="48.24245835"/>
    <n v="0"/>
    <n v="8099.9087579999996"/>
    <n v="8099.9087579999996"/>
    <n v="0.58750000000000002"/>
    <n v="0.59097222199999999"/>
    <n v="0"/>
    <n v="1"/>
    <n v="10"/>
    <n v="7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s v="2 unknown skippers"/>
  </r>
  <r>
    <n v="45524"/>
    <s v="Aug"/>
    <s v="4F"/>
    <s v="G. Meneses"/>
    <x v="15"/>
    <x v="1"/>
    <n v="18022"/>
    <x v="0"/>
    <n v="3"/>
    <x v="3"/>
    <m/>
    <s v="NA"/>
    <n v="563.42857140000001"/>
    <n v="9.3348974590000005"/>
    <m/>
    <m/>
    <m/>
    <m/>
    <s v="NA"/>
    <s v="NA"/>
    <s v="NA"/>
    <s v="NA"/>
    <s v="NA"/>
    <s v="NA"/>
    <x v="7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24"/>
    <s v="Aug"/>
    <s v="5D"/>
    <s v="G. Meneses"/>
    <x v="53"/>
    <x v="0"/>
    <n v="96102"/>
    <x v="0"/>
    <n v="4"/>
    <x v="0"/>
    <n v="13.66666667"/>
    <s v="NA"/>
    <n v="492.1"/>
    <n v="6.8107476690000004"/>
    <n v="93.080218139999999"/>
    <n v="0"/>
    <n v="45804.775350000004"/>
    <n v="45804.775350000004"/>
    <n v="0.59652777800000001"/>
    <n v="0.6"/>
    <n v="0"/>
    <n v="1"/>
    <n v="15"/>
    <n v="71"/>
    <x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Only tops of panicles blooming, very small"/>
  </r>
  <r>
    <n v="45524"/>
    <s v="Aug"/>
    <s v="6D"/>
    <s v="G. Meneses"/>
    <x v="21"/>
    <x v="0"/>
    <n v="15055"/>
    <x v="1"/>
    <n v="4"/>
    <x v="2"/>
    <n v="7.3333333329999997"/>
    <s v="NA"/>
    <n v="42.8"/>
    <n v="11.8144796"/>
    <n v="86.639517040000001"/>
    <n v="0"/>
    <n v="3708.1713289999998"/>
    <n v="3708.1713289999998"/>
    <n v="0.60555555599999999"/>
    <n v="0.60902777799999996"/>
    <n v="0"/>
    <n v="2"/>
    <n v="15"/>
    <n v="71"/>
    <x v="5"/>
    <n v="0"/>
    <n v="1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2 hummingbirds outside survey"/>
  </r>
  <r>
    <n v="45524"/>
    <s v="Aug"/>
    <s v="7D"/>
    <s v="G. Meneses"/>
    <x v="51"/>
    <x v="0"/>
    <n v="97033"/>
    <x v="0"/>
    <n v="4"/>
    <x v="0"/>
    <n v="7"/>
    <s v="NA"/>
    <n v="160.69999999999999"/>
    <n v="14.58577728"/>
    <n v="102.100441"/>
    <n v="0"/>
    <n v="16407.540860000001"/>
    <n v="16407.540860000001"/>
    <n v="0.61319444400000001"/>
    <n v="0.61666666699999995"/>
    <n v="0"/>
    <n v="2"/>
    <n v="15"/>
    <n v="71"/>
    <x v="5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25"/>
    <s v="Aug"/>
    <s v="11D"/>
    <s v="J. Goldsby"/>
    <x v="18"/>
    <x v="0"/>
    <n v="93021"/>
    <x v="0"/>
    <s v="NA"/>
    <x v="0"/>
    <n v="29"/>
    <s v="NA"/>
    <n v="404.7"/>
    <n v="9.3348974590000005"/>
    <n v="270.71202629999999"/>
    <n v="0"/>
    <n v="109557.1571"/>
    <n v="109557.1571"/>
    <n v="0.38958333299999998"/>
    <n v="0.39305555599999997"/>
    <n v="0"/>
    <n v="1"/>
    <n v="10"/>
    <n v="62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13C"/>
    <s v="J. Goldsby"/>
    <x v="8"/>
    <x v="0"/>
    <s v="18008B"/>
    <x v="2"/>
    <s v="NA"/>
    <x v="2"/>
    <m/>
    <s v="NA"/>
    <n v="71.400000000000006"/>
    <n v="8.9499950029999997"/>
    <n v="0"/>
    <s v="NA"/>
    <s v="NA"/>
    <s v="NA"/>
    <n v="0.470138889"/>
    <n v="0.47361111099999997"/>
    <n v="0"/>
    <n v="1"/>
    <n v="3"/>
    <n v="6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n v="45525"/>
    <s v="Aug"/>
    <s v="13D"/>
    <s v="J. Goldsby"/>
    <x v="33"/>
    <x v="0"/>
    <n v="98053"/>
    <x v="3"/>
    <n v="4"/>
    <x v="2"/>
    <n v="14.33333333"/>
    <s v="NA"/>
    <n v="232.8"/>
    <n v="13.163664000000001"/>
    <n v="188.6791839"/>
    <n v="0"/>
    <n v="43924.514020000002"/>
    <n v="43924.514020000002"/>
    <n v="0.40069444399999998"/>
    <n v="0.40416666699999998"/>
    <n v="0"/>
    <n v="1"/>
    <n v="5"/>
    <n v="62"/>
    <x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m/>
  </r>
  <r>
    <n v="45525"/>
    <s v="Aug"/>
    <s v="15D"/>
    <s v="J. Goldsby"/>
    <x v="47"/>
    <x v="0"/>
    <n v="11044"/>
    <x v="3"/>
    <n v="4"/>
    <x v="0"/>
    <m/>
    <n v="15"/>
    <n v="88.6"/>
    <n v="4.4121976270000003"/>
    <n v="0"/>
    <n v="1329"/>
    <n v="0"/>
    <n v="1329"/>
    <n v="0.41388888899999998"/>
    <n v="0.41736111100000001"/>
    <n v="0"/>
    <n v="0"/>
    <n v="2"/>
    <n v="62"/>
    <x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17D"/>
    <s v="E. Braatz"/>
    <x v="27"/>
    <x v="0"/>
    <n v="1005"/>
    <x v="1"/>
    <n v="4"/>
    <x v="2"/>
    <n v="8"/>
    <s v="NA"/>
    <n v="91.7"/>
    <n v="8.2044997199999994"/>
    <n v="65.635997759999995"/>
    <n v="0"/>
    <n v="6018.820995"/>
    <n v="6018.820995"/>
    <n v="0.43333333299999999"/>
    <n v="0.43680555599999998"/>
    <n v="0"/>
    <n v="1"/>
    <n v="2"/>
    <n v="65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25"/>
    <s v="Aug"/>
    <s v="18D"/>
    <s v="J. Goldsby"/>
    <x v="11"/>
    <x v="0"/>
    <s v="12031B"/>
    <x v="3"/>
    <n v="4"/>
    <x v="2"/>
    <n v="5"/>
    <s v="NA"/>
    <n v="72.099999999999994"/>
    <n v="6.162490901"/>
    <n v="30.812454500000001"/>
    <n v="0"/>
    <n v="2221.5779699999998"/>
    <n v="2221.5779699999998"/>
    <n v="0.438888889"/>
    <n v="0.44236111099999997"/>
    <n v="0"/>
    <n v="0"/>
    <n v="1"/>
    <n v="65"/>
    <x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21B"/>
    <s v="J. Goldsby"/>
    <x v="44"/>
    <x v="0"/>
    <n v="12020"/>
    <x v="2"/>
    <n v="4"/>
    <x v="0"/>
    <m/>
    <n v="9"/>
    <n v="150.69999999999999"/>
    <n v="13.629598550000001"/>
    <n v="0"/>
    <n v="1356.3"/>
    <n v="0"/>
    <n v="1356.3"/>
    <n v="0.48958333300000001"/>
    <n v="0.49305555600000001"/>
    <n v="0"/>
    <n v="2"/>
    <n v="0"/>
    <n v="68"/>
    <x v="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25"/>
    <s v="Aug"/>
    <s v="3A"/>
    <s v="J. Goldsby"/>
    <x v="29"/>
    <x v="0"/>
    <n v="12022"/>
    <x v="1"/>
    <n v="4"/>
    <x v="2"/>
    <n v="8.3333333330000006"/>
    <s v="NA"/>
    <n v="361"/>
    <n v="8.3053000000000008"/>
    <n v="69.21083333"/>
    <n v="0"/>
    <n v="24985.110830000001"/>
    <n v="24985.110830000001"/>
    <n v="0.67638888900000005"/>
    <n v="0.67986111100000002"/>
    <n v="0"/>
    <n v="2"/>
    <n v="1"/>
    <n v="74"/>
    <x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n v="45525"/>
    <s v="Aug"/>
    <s v="6A"/>
    <s v="J. Goldsby"/>
    <x v="30"/>
    <x v="0"/>
    <n v="11031"/>
    <x v="0"/>
    <n v="4"/>
    <x v="0"/>
    <n v="3.6666666669999999"/>
    <s v="NA"/>
    <n v="189.5"/>
    <n v="15.0877"/>
    <n v="55.321566670000003"/>
    <n v="0"/>
    <n v="10483.436879999999"/>
    <n v="10483.436879999999"/>
    <n v="0.65694444399999996"/>
    <n v="0.66041666700000001"/>
    <n v="0"/>
    <n v="1"/>
    <n v="0"/>
    <n v="74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0"/>
    <s v="1 unknown skipper"/>
  </r>
  <r>
    <n v="45525"/>
    <s v="Aug"/>
    <s v="8A"/>
    <s v="J. Goldsby"/>
    <x v="5"/>
    <x v="0"/>
    <n v="1128"/>
    <x v="1"/>
    <n v="4"/>
    <x v="2"/>
    <n v="5.3333333329999997"/>
    <s v="NA"/>
    <n v="36.1"/>
    <n v="8.3053000000000008"/>
    <n v="44.294933329999999"/>
    <n v="0"/>
    <n v="1599.0470929999999"/>
    <n v="1599.0470929999999"/>
    <n v="0.66388888899999998"/>
    <n v="0.66736111099999995"/>
    <n v="0"/>
    <n v="2"/>
    <n v="0"/>
    <n v="74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8D"/>
    <s v="J. Goldsby"/>
    <x v="52"/>
    <x v="0"/>
    <n v="1072"/>
    <x v="2"/>
    <n v="4"/>
    <x v="2"/>
    <n v="16.333333329999999"/>
    <s v="NA"/>
    <n v="104.4"/>
    <n v="14.58577728"/>
    <n v="238.23436219999999"/>
    <n v="0"/>
    <n v="24871.667420000002"/>
    <n v="24871.667420000002"/>
    <n v="0.38402777799999999"/>
    <n v="0.38750000000000001"/>
    <n v="0"/>
    <n v="1"/>
    <n v="10"/>
    <n v="62"/>
    <x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10C"/>
    <s v="J. Goldsby"/>
    <x v="8"/>
    <x v="0"/>
    <n v="14026"/>
    <x v="1"/>
    <n v="4"/>
    <x v="2"/>
    <n v="2"/>
    <s v="NA"/>
    <n v="76.5"/>
    <n v="8.5731957570000006"/>
    <n v="17.146391510000001"/>
    <n v="0"/>
    <n v="1311.6989510000001"/>
    <n v="1311.6989510000001"/>
    <n v="0.60972222200000004"/>
    <n v="0.61319444400000001"/>
    <n v="0"/>
    <n v="1"/>
    <n v="100"/>
    <n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10D"/>
    <s v="J. Goldsby"/>
    <x v="9"/>
    <x v="0"/>
    <n v="17047"/>
    <x v="3"/>
    <n v="4"/>
    <x v="2"/>
    <n v="4.6666666670000003"/>
    <s v="NA"/>
    <n v="109"/>
    <n v="9.3348974590000005"/>
    <n v="43.562854809999997"/>
    <n v="0"/>
    <n v="4748.3511740000004"/>
    <n v="4748.3511740000004"/>
    <n v="0.43958333300000002"/>
    <n v="0.44305555600000002"/>
    <n v="0"/>
    <n v="0"/>
    <n v="90"/>
    <n v="72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11C"/>
    <s v="J. Goldsby"/>
    <x v="10"/>
    <x v="0"/>
    <n v="14010"/>
    <x v="0"/>
    <n v="4"/>
    <x v="0"/>
    <n v="1"/>
    <s v="NA"/>
    <n v="59.7"/>
    <n v="5.5466469710000004"/>
    <n v="5.5466469710000004"/>
    <n v="0"/>
    <n v="331.13482420000003"/>
    <n v="331.13482420000003"/>
    <n v="0.60347222199999995"/>
    <n v="0.60694444400000003"/>
    <n v="0"/>
    <n v="1"/>
    <n v="100"/>
    <n v="7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11D"/>
    <s v="J. Goldsby"/>
    <x v="18"/>
    <x v="0"/>
    <n v="93021"/>
    <x v="0"/>
    <s v="NA"/>
    <x v="0"/>
    <n v="12.66666667"/>
    <s v="NA"/>
    <n v="404.7"/>
    <n v="9.3348974590000005"/>
    <n v="118.2420345"/>
    <n v="0"/>
    <n v="47852.551359999998"/>
    <n v="47852.551359999998"/>
    <n v="0.45069444400000003"/>
    <n v="0.45416666700000002"/>
    <n v="0"/>
    <n v="2"/>
    <n v="100"/>
    <n v="72"/>
    <x v="8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2"/>
    <s v="Aug"/>
    <s v="12C"/>
    <s v="J. Goldsby"/>
    <x v="31"/>
    <x v="0"/>
    <n v="13029"/>
    <x v="2"/>
    <n v="4"/>
    <x v="2"/>
    <n v="1"/>
    <s v="NA"/>
    <n v="4.5"/>
    <n v="5.8505173309999998"/>
    <n v="5.8505173309999998"/>
    <n v="0"/>
    <n v="26.327327990000001"/>
    <n v="26.327327990000001"/>
    <n v="0.54513888899999996"/>
    <n v="0.63194444400000005"/>
    <n v="0"/>
    <n v="1"/>
    <n v="90"/>
    <n v="73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12D"/>
    <s v="J. Goldsby"/>
    <x v="45"/>
    <x v="0"/>
    <n v="1004"/>
    <x v="1"/>
    <n v="4"/>
    <x v="2"/>
    <n v="9"/>
    <s v="NA"/>
    <n v="98.3"/>
    <n v="21.003519279999999"/>
    <n v="189.03167350000001"/>
    <n v="0"/>
    <n v="18581.81351"/>
    <n v="18581.81351"/>
    <n v="0.46250000000000002"/>
    <n v="0.46597222199999999"/>
    <n v="0"/>
    <n v="1"/>
    <n v="100"/>
    <n v="72"/>
    <x v="5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13C"/>
    <s v="J. Goldsby"/>
    <x v="8"/>
    <x v="0"/>
    <s v="18008B"/>
    <x v="2"/>
    <s v="NA"/>
    <x v="2"/>
    <n v="3.3333333330000001"/>
    <s v="NA"/>
    <n v="71.400000000000006"/>
    <n v="8.9499950029999997"/>
    <n v="29.833316679999999"/>
    <n v="0"/>
    <n v="2130.0988109999998"/>
    <n v="2130.0988109999998"/>
    <n v="0.59583333299999997"/>
    <n v="0.59930555600000002"/>
    <n v="0"/>
    <n v="1"/>
    <n v="100"/>
    <n v="74"/>
    <x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13D"/>
    <s v="J. Goldsby"/>
    <x v="33"/>
    <x v="0"/>
    <n v="98053"/>
    <x v="3"/>
    <n v="4"/>
    <x v="2"/>
    <n v="5.3333333329999997"/>
    <s v="NA"/>
    <n v="232.8"/>
    <n v="13.163664000000001"/>
    <n v="70.206207969999994"/>
    <n v="0"/>
    <n v="16344.005219999999"/>
    <n v="16344.005219999999"/>
    <n v="0.47152777800000001"/>
    <n v="0.47499999999999998"/>
    <n v="0"/>
    <n v="2"/>
    <n v="100"/>
    <n v="72"/>
    <x v="5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14C"/>
    <s v="J. Goldsby"/>
    <x v="8"/>
    <x v="0"/>
    <s v="18008A"/>
    <x v="1"/>
    <n v="4"/>
    <x v="2"/>
    <n v="4.6666666670000003"/>
    <s v="NA"/>
    <n v="94.3"/>
    <n v="8.5731957570000006"/>
    <n v="40.008246870000001"/>
    <n v="0"/>
    <n v="3772.7776789999998"/>
    <n v="3772.7776789999998"/>
    <n v="0.58958333299999999"/>
    <n v="0.59305555600000004"/>
    <n v="0"/>
    <n v="1"/>
    <n v="100"/>
    <n v="73"/>
    <x v="2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15D"/>
    <s v="J. Goldsby"/>
    <x v="47"/>
    <x v="0"/>
    <n v="11044"/>
    <x v="3"/>
    <n v="4"/>
    <x v="0"/>
    <n v="7"/>
    <s v="NA"/>
    <n v="88.6"/>
    <n v="4.4121976270000003"/>
    <n v="30.885383390000001"/>
    <n v="0"/>
    <n v="2736.4449679999998"/>
    <n v="2736.4449679999998"/>
    <n v="0.48888888899999999"/>
    <n v="0.49236111100000002"/>
    <n v="0"/>
    <n v="1"/>
    <n v="100"/>
    <n v="73"/>
    <x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16D"/>
    <s v="J. Goldsby"/>
    <x v="49"/>
    <x v="0"/>
    <n v="95054"/>
    <x v="0"/>
    <n v="4"/>
    <x v="0"/>
    <n v="5.6666666670000003"/>
    <s v="NA"/>
    <n v="109.8"/>
    <n v="16.595373259999999"/>
    <n v="94.040448479999995"/>
    <n v="0"/>
    <n v="10325.641240000001"/>
    <n v="10325.641240000001"/>
    <n v="0.54722222200000004"/>
    <n v="0.55069444400000001"/>
    <n v="0"/>
    <n v="2"/>
    <n v="100"/>
    <n v="7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m/>
  </r>
  <r>
    <n v="45512"/>
    <s v="Aug"/>
    <s v="17D"/>
    <s v="J. Goldsby"/>
    <x v="27"/>
    <x v="0"/>
    <n v="1005"/>
    <x v="1"/>
    <n v="4"/>
    <x v="2"/>
    <n v="6.6666666670000003"/>
    <s v="NA"/>
    <n v="91.7"/>
    <n v="8.2044997199999994"/>
    <n v="54.696664800000001"/>
    <n v="0"/>
    <n v="5015.6841619999996"/>
    <n v="5015.6841619999996"/>
    <n v="0.55625000000000002"/>
    <n v="0.55972222199999999"/>
    <n v="0"/>
    <n v="1"/>
    <n v="100"/>
    <n v="7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n v="45512"/>
    <s v="Aug"/>
    <s v="18D"/>
    <s v="J. Goldsby"/>
    <x v="11"/>
    <x v="0"/>
    <s v="12031B"/>
    <x v="3"/>
    <n v="4"/>
    <x v="2"/>
    <n v="11.33333333"/>
    <s v="NA"/>
    <n v="72.099999999999994"/>
    <n v="6.162490901"/>
    <n v="69.841563539999996"/>
    <n v="0"/>
    <n v="5035.5767310000001"/>
    <n v="5035.5767310000001"/>
    <n v="0.563888889"/>
    <n v="0.56736111099999997"/>
    <n v="0"/>
    <n v="2"/>
    <n v="100"/>
    <n v="73"/>
    <x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s v="1 unknown moth"/>
  </r>
  <r>
    <n v="45512"/>
    <s v="Aug"/>
    <s v="1D"/>
    <s v="J. Goldsby"/>
    <x v="48"/>
    <x v="0"/>
    <s v="87273-0"/>
    <x v="0"/>
    <n v="4"/>
    <x v="0"/>
    <n v="3.6666666669999999"/>
    <s v="NA"/>
    <n v="243"/>
    <n v="3.1764581629999999"/>
    <n v="11.64701327"/>
    <n v="0"/>
    <n v="2830.2242230000002"/>
    <n v="2830.2242230000002"/>
    <n v="0.33611111100000002"/>
    <n v="0.33958333299999999"/>
    <n v="0"/>
    <n v="1"/>
    <n v="15"/>
    <n v="6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21D"/>
    <s v="J. Goldsby"/>
    <x v="28"/>
    <x v="0"/>
    <s v="20012A"/>
    <x v="2"/>
    <n v="5"/>
    <x v="2"/>
    <n v="8"/>
    <s v="NA"/>
    <n v="76.900000000000006"/>
    <n v="2.5322529999999999"/>
    <n v="20.258023999999999"/>
    <n v="0"/>
    <n v="1557.842046"/>
    <n v="1557.842046"/>
    <n v="0.56527777800000001"/>
    <n v="0.48541666700000002"/>
    <n v="0"/>
    <n v="2"/>
    <n v="100"/>
    <n v="74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Some flowers with double bracts"/>
  </r>
  <r>
    <n v="45512"/>
    <s v="Aug"/>
    <s v="2C"/>
    <s v="E. Braatz"/>
    <x v="12"/>
    <x v="0"/>
    <n v="14022"/>
    <x v="3"/>
    <n v="4"/>
    <x v="2"/>
    <n v="10"/>
    <s v="NA"/>
    <n v="47.1"/>
    <n v="5.5466469710000004"/>
    <n v="55.466469709999998"/>
    <n v="0"/>
    <n v="2612.4707229999999"/>
    <n v="2612.4707229999999"/>
    <n v="0.65347222199999999"/>
    <n v="0.65694444399999996"/>
    <n v="0"/>
    <n v="2"/>
    <n v="95"/>
    <n v="77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m/>
  </r>
  <r>
    <n v="45512"/>
    <s v="Aug"/>
    <s v="2D"/>
    <s v="J. Goldsby"/>
    <x v="46"/>
    <x v="0"/>
    <n v="10040"/>
    <x v="2"/>
    <n v="4"/>
    <x v="2"/>
    <m/>
    <n v="6"/>
    <n v="29.33333"/>
    <n v="0.58343109100000001"/>
    <n v="0"/>
    <n v="175.99997999999999"/>
    <n v="0"/>
    <n v="175.99997999999999"/>
    <n v="0.58055555599999997"/>
    <n v="0.58402777800000005"/>
    <n v="0"/>
    <n v="2"/>
    <n v="100"/>
    <n v="73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3D"/>
    <s v="J. Goldsby"/>
    <x v="38"/>
    <x v="0"/>
    <n v="10063"/>
    <x v="1"/>
    <n v="5"/>
    <x v="2"/>
    <n v="3"/>
    <s v="NA"/>
    <n v="349.6"/>
    <n v="18.187653950000001"/>
    <n v="54.56296184"/>
    <n v="0"/>
    <n v="19075.211459999999"/>
    <n v="19075.211459999999"/>
    <n v="0.35694444400000003"/>
    <n v="0.36041666700000002"/>
    <n v="0"/>
    <n v="1"/>
    <n v="85"/>
    <n v="67"/>
    <x v="2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4C"/>
    <s v="E. Braatz"/>
    <x v="14"/>
    <x v="0"/>
    <n v="4054"/>
    <x v="2"/>
    <n v="4"/>
    <x v="2"/>
    <n v="7.3333333329999997"/>
    <s v="NA"/>
    <n v="50"/>
    <n v="9.7279031249999992"/>
    <n v="71.337956250000005"/>
    <n v="0"/>
    <n v="3566.8978120000002"/>
    <n v="3566.8978120000002"/>
    <n v="0.68194444399999998"/>
    <n v="0.68541666700000003"/>
    <n v="0"/>
    <n v="2"/>
    <n v="95"/>
    <n v="7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4D"/>
    <s v="J. Goldsby"/>
    <x v="44"/>
    <x v="0"/>
    <n v="12020"/>
    <x v="0"/>
    <n v="4"/>
    <x v="0"/>
    <n v="0.66666666699999999"/>
    <s v="NA"/>
    <n v="167.9"/>
    <n v="16.08081945"/>
    <n v="10.720546300000001"/>
    <n v="0"/>
    <n v="1799.979724"/>
    <n v="1799.979724"/>
    <n v="0.36805555600000001"/>
    <n v="0.37152777799999998"/>
    <n v="0"/>
    <n v="1"/>
    <n v="90"/>
    <n v="67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5D"/>
    <s v="J. Goldsby"/>
    <x v="53"/>
    <x v="0"/>
    <n v="96102"/>
    <x v="0"/>
    <n v="4"/>
    <x v="0"/>
    <n v="8"/>
    <s v="NA"/>
    <n v="492.1"/>
    <n v="6.8107476690000004"/>
    <n v="54.485981350000003"/>
    <n v="0"/>
    <n v="26812.55142"/>
    <n v="26812.55142"/>
    <n v="0.37430555599999998"/>
    <n v="0.37777777800000001"/>
    <n v="0"/>
    <n v="1"/>
    <n v="95"/>
    <n v="68"/>
    <x v="2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6D"/>
    <s v="J. Goldsby"/>
    <x v="21"/>
    <x v="0"/>
    <n v="15055"/>
    <x v="1"/>
    <n v="4"/>
    <x v="2"/>
    <n v="6.3333333329999997"/>
    <s v="NA"/>
    <n v="42.8"/>
    <n v="11.8144796"/>
    <n v="74.825037449999996"/>
    <n v="0"/>
    <n v="3202.5116029999999"/>
    <n v="3202.5116029999999"/>
    <n v="0.37847222200000002"/>
    <n v="0.38194444399999999"/>
    <n v="0"/>
    <n v="2"/>
    <n v="85"/>
    <n v="7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Many blooms past"/>
  </r>
  <r>
    <n v="45512"/>
    <s v="Aug"/>
    <s v="7D"/>
    <s v="E. Braatz + J. Goldsby"/>
    <x v="51"/>
    <x v="0"/>
    <n v="97033"/>
    <x v="0"/>
    <n v="4"/>
    <x v="0"/>
    <n v="14.66666667"/>
    <s v="NA"/>
    <n v="160.69999999999999"/>
    <n v="14.58577728"/>
    <n v="213.92473340000001"/>
    <n v="0"/>
    <n v="34377.704660000003"/>
    <n v="34377.704660000003"/>
    <n v="0.41666666699999999"/>
    <n v="0.42013888900000002"/>
    <n v="0"/>
    <n v="1"/>
    <n v="95"/>
    <n v="70"/>
    <x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s v="1 rusty patched bumble bee seen outside of sampling time (10:45am)"/>
  </r>
  <r>
    <n v="45512"/>
    <s v="Aug"/>
    <s v="8C"/>
    <s v="E. Braatz"/>
    <x v="2"/>
    <x v="0"/>
    <s v="18031A"/>
    <x v="2"/>
    <n v="4"/>
    <x v="2"/>
    <n v="3.3333333330000001"/>
    <s v="NA"/>
    <n v="27.1"/>
    <n v="5.2508798209999998"/>
    <n v="17.502932739999999"/>
    <n v="0"/>
    <n v="474.32947710000002"/>
    <n v="474.32947710000002"/>
    <n v="0.66944444400000003"/>
    <n v="0.67291666699999997"/>
    <n v="0"/>
    <n v="2"/>
    <n v="90"/>
    <n v="76"/>
    <x v="7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xtra sepals"/>
  </r>
  <r>
    <n v="45512"/>
    <s v="Aug"/>
    <s v="8D"/>
    <s v="J. Goldsby"/>
    <x v="52"/>
    <x v="0"/>
    <n v="1072"/>
    <x v="2"/>
    <n v="4"/>
    <x v="2"/>
    <n v="0.66666666699999999"/>
    <s v="NA"/>
    <n v="104.4"/>
    <n v="14.58577728"/>
    <n v="9.7238515200000002"/>
    <n v="0"/>
    <n v="1015.1700990000001"/>
    <n v="1015.1700990000001"/>
    <n v="0.42638888899999999"/>
    <n v="0.42986111100000002"/>
    <n v="0"/>
    <n v="1"/>
    <n v="80"/>
    <n v="72"/>
    <x v="3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10A"/>
    <s v="E. Braatz"/>
    <x v="12"/>
    <x v="0"/>
    <n v="7045"/>
    <x v="3"/>
    <n v="4"/>
    <x v="0"/>
    <n v="12.66666667"/>
    <s v="NA"/>
    <n v="79"/>
    <n v="1.446912"/>
    <n v="18.327552000000001"/>
    <n v="0"/>
    <n v="1447.876608"/>
    <n v="1447.876608"/>
    <n v="0.37986111099999997"/>
    <n v="0.383333333"/>
    <n v="0"/>
    <n v="0"/>
    <n v="80"/>
    <n v="61"/>
    <x v="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3"/>
    <s v="Aug"/>
    <s v="1A"/>
    <s v="E. Braatz"/>
    <x v="2"/>
    <x v="0"/>
    <s v="18031B"/>
    <x v="2"/>
    <n v="4"/>
    <x v="2"/>
    <m/>
    <n v="21"/>
    <n v="68.400000000000006"/>
    <n v="4.1488433149999997"/>
    <n v="0"/>
    <n v="1436.4"/>
    <n v="0"/>
    <n v="1436.4"/>
    <n v="0.40555555599999998"/>
    <n v="0.40902777800000001"/>
    <n v="0"/>
    <n v="2"/>
    <n v="100"/>
    <n v="60"/>
    <x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 many open flowers and colder day so fewer bugs, especially fewer small bugs"/>
  </r>
  <r>
    <n v="45513"/>
    <s v="Aug"/>
    <s v="22B"/>
    <s v="E. Braatz"/>
    <x v="34"/>
    <x v="0"/>
    <n v="21039"/>
    <x v="3"/>
    <n v="4"/>
    <x v="2"/>
    <n v="4"/>
    <s v="NA"/>
    <n v="17.7"/>
    <n v="1.9609767229999999"/>
    <n v="7.8439068929999998"/>
    <n v="0"/>
    <n v="138.837152"/>
    <n v="138.837152"/>
    <n v="0.48055555599999999"/>
    <n v="0.48402777800000002"/>
    <n v="0"/>
    <n v="2"/>
    <n v="100"/>
    <n v="61"/>
    <x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3"/>
    <s v="Aug"/>
    <s v="2B"/>
    <s v="E. Braatz"/>
    <x v="45"/>
    <x v="0"/>
    <n v="1004"/>
    <x v="3"/>
    <n v="4"/>
    <x v="2"/>
    <n v="7"/>
    <s v="NA"/>
    <n v="174.4"/>
    <n v="44.668942919999999"/>
    <n v="312.68260040000001"/>
    <n v="0"/>
    <n v="54531.845520000003"/>
    <n v="54531.845520000003"/>
    <n v="0.470138889"/>
    <n v="0.47361111099999997"/>
    <n v="0"/>
    <n v="1"/>
    <n v="100"/>
    <n v="61"/>
    <x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3A"/>
    <s v="E. Braatz"/>
    <x v="29"/>
    <x v="0"/>
    <n v="12022"/>
    <x v="1"/>
    <n v="4"/>
    <x v="2"/>
    <n v="12.33333333"/>
    <s v="NA"/>
    <n v="361"/>
    <n v="8.3053000000000008"/>
    <n v="102.4320333"/>
    <n v="0"/>
    <n v="36977.964030000003"/>
    <n v="36977.964030000003"/>
    <n v="0.39513888899999999"/>
    <n v="0.39861111100000002"/>
    <n v="0"/>
    <n v="2"/>
    <n v="90"/>
    <n v="60"/>
    <x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n v="45513"/>
    <s v="Aug"/>
    <s v="3B"/>
    <s v="E. Braatz"/>
    <x v="46"/>
    <x v="0"/>
    <n v="10040"/>
    <x v="2"/>
    <n v="4"/>
    <x v="2"/>
    <m/>
    <n v="41"/>
    <s v="NA"/>
    <e v="#VALUE!"/>
    <e v="#VALUE!"/>
    <e v="#VALUE!"/>
    <e v="#VALUE!"/>
    <s v="NA"/>
    <n v="0.46111111100000002"/>
    <n v="0.46458333299999999"/>
    <n v="0"/>
    <n v="1"/>
    <n v="100"/>
    <n v="61"/>
    <x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 many open flowers"/>
  </r>
  <r>
    <n v="45513"/>
    <s v="Aug"/>
    <s v="6B"/>
    <s v="E. Braatz"/>
    <x v="5"/>
    <x v="0"/>
    <n v="1128"/>
    <x v="3"/>
    <n v="4"/>
    <x v="0"/>
    <n v="10.66666667"/>
    <s v="NA"/>
    <n v="154.80000000000001"/>
    <n v="1.1077920000000001"/>
    <n v="11.816447999999999"/>
    <n v="0"/>
    <n v="1829.18615"/>
    <n v="1829.18615"/>
    <n v="0.45138888900000002"/>
    <n v="0.45486111099999998"/>
    <n v="0"/>
    <n v="2"/>
    <n v="100"/>
    <n v="61"/>
    <x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8A"/>
    <s v="E. Braatz"/>
    <x v="5"/>
    <x v="0"/>
    <n v="1128"/>
    <x v="1"/>
    <n v="4"/>
    <x v="2"/>
    <n v="8.3333333330000006"/>
    <s v="NA"/>
    <n v="36.1"/>
    <n v="8.3053000000000008"/>
    <n v="69.21083333"/>
    <n v="0"/>
    <n v="2498.5110829999999"/>
    <n v="2498.5110829999999"/>
    <n v="0.43333333299999999"/>
    <n v="0.43680555599999998"/>
    <n v="0"/>
    <n v="2"/>
    <n v="100"/>
    <n v="60"/>
    <x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9B"/>
    <s v="E. Braatz"/>
    <x v="39"/>
    <x v="0"/>
    <n v="1006"/>
    <x v="1"/>
    <n v="4"/>
    <x v="2"/>
    <n v="8"/>
    <s v="NA"/>
    <n v="41.2"/>
    <n v="1.6981120000000001"/>
    <n v="13.584896000000001"/>
    <n v="0"/>
    <n v="559.69771519999995"/>
    <n v="559.69771519999995"/>
    <n v="0.49583333299999999"/>
    <n v="0.49930555599999998"/>
    <n v="0"/>
    <n v="3"/>
    <n v="100"/>
    <n v="61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76"/>
    <s v="Jul"/>
    <s v="12F"/>
    <m/>
    <x v="7"/>
    <x v="1"/>
    <n v="2068"/>
    <x v="0"/>
    <n v="4"/>
    <x v="3"/>
    <m/>
    <n v="82"/>
    <n v="278.5"/>
    <e v="#VALUE!"/>
    <n v="0"/>
    <n v="22837"/>
    <n v="0"/>
    <n v="22837"/>
    <n v="0.64236111100000004"/>
    <n v="0.64791666699999995"/>
    <n v="0"/>
    <n v="2"/>
    <n v="10"/>
    <n v="8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1"/>
    <s v="Jul"/>
    <s v="12A"/>
    <m/>
    <x v="28"/>
    <x v="0"/>
    <n v="20012"/>
    <x v="1"/>
    <n v="4"/>
    <x v="2"/>
    <m/>
    <s v="NA"/>
    <e v="#N/A"/>
    <e v="#N/A"/>
    <e v="#N/A"/>
    <e v="#N/A"/>
    <e v="#N/A"/>
    <s v="NA"/>
    <n v="0.60972222200000004"/>
    <n v="0.114583333"/>
    <n v="0"/>
    <n v="1"/>
    <n v="25"/>
    <n v="8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81"/>
    <s v="Jul"/>
    <s v="7E"/>
    <m/>
    <x v="54"/>
    <x v="1"/>
    <n v="17030"/>
    <x v="1"/>
    <n v="4"/>
    <x v="1"/>
    <m/>
    <n v="22"/>
    <n v="93.9"/>
    <n v="39.25"/>
    <n v="0"/>
    <n v="2065.8000000000002"/>
    <n v="0"/>
    <n v="2065.8000000000002"/>
    <n v="0.65138888900000003"/>
    <n v="0.65694444399999996"/>
    <n v="0"/>
    <n v="1"/>
    <n v="20"/>
    <n v="8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 and shaded"/>
  </r>
  <r>
    <n v="45490"/>
    <s v="Jul"/>
    <s v="10F"/>
    <m/>
    <x v="17"/>
    <x v="1"/>
    <n v="16025"/>
    <x v="1"/>
    <n v="4"/>
    <x v="1"/>
    <m/>
    <s v="NA"/>
    <n v="245"/>
    <n v="3.4073996370000001"/>
    <n v="0"/>
    <n v="0"/>
    <n v="0"/>
    <s v="NA"/>
    <n v="0.625"/>
    <n v="0.62847222199999997"/>
    <n v="0"/>
    <n v="2"/>
    <n v="25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2C"/>
    <m/>
    <x v="31"/>
    <x v="0"/>
    <n v="13029"/>
    <x v="2"/>
    <n v="4"/>
    <x v="2"/>
    <m/>
    <s v="NA"/>
    <n v="4.5"/>
    <n v="5.8505173309999998"/>
    <n v="0"/>
    <n v="0"/>
    <n v="0"/>
    <s v="NA"/>
    <n v="0.42013888900000002"/>
    <n v="0.42361111099999998"/>
    <n v="0"/>
    <n v="2"/>
    <n v="0"/>
    <n v="7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12D"/>
    <m/>
    <x v="45"/>
    <x v="0"/>
    <n v="1004"/>
    <x v="1"/>
    <n v="4"/>
    <x v="2"/>
    <m/>
    <s v="NA"/>
    <n v="98.3"/>
    <n v="21.003519279999999"/>
    <n v="0"/>
    <n v="0"/>
    <n v="0"/>
    <s v="NA"/>
    <n v="0.69444444400000005"/>
    <n v="0.69791666699999999"/>
    <n v="0"/>
    <n v="2"/>
    <n v="40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own butterfly (painted lady?)"/>
  </r>
  <r>
    <n v="45490"/>
    <s v="Jul"/>
    <s v="15D"/>
    <m/>
    <x v="47"/>
    <x v="0"/>
    <n v="11044"/>
    <x v="3"/>
    <n v="4"/>
    <x v="0"/>
    <m/>
    <s v="NA"/>
    <n v="88.6"/>
    <n v="4.4121976270000003"/>
    <n v="0"/>
    <n v="0"/>
    <n v="0"/>
    <s v="NA"/>
    <n v="0.68472222199999999"/>
    <n v="0.68819444399999996"/>
    <n v="0"/>
    <n v="2"/>
    <n v="50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weatfly"/>
  </r>
  <r>
    <n v="45490"/>
    <s v="Jul"/>
    <s v="3F"/>
    <m/>
    <x v="55"/>
    <x v="1"/>
    <n v="14020"/>
    <x v="3"/>
    <n v="4"/>
    <x v="1"/>
    <m/>
    <s v="NA"/>
    <n v="371.4"/>
    <n v="21.591001980000001"/>
    <n v="0"/>
    <n v="0"/>
    <n v="0"/>
    <s v="NA"/>
    <n v="0.56805555600000002"/>
    <n v="0.57152777799999999"/>
    <n v="0"/>
    <n v="2"/>
    <n v="25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6F"/>
    <m/>
    <x v="50"/>
    <x v="1"/>
    <n v="16027"/>
    <x v="1"/>
    <n v="4"/>
    <x v="1"/>
    <m/>
    <s v="NA"/>
    <n v="684"/>
    <n v="8.2044997199999994"/>
    <n v="0"/>
    <n v="0"/>
    <n v="0"/>
    <s v="NA"/>
    <n v="0.63194444400000005"/>
    <n v="0.63541666699999999"/>
    <n v="0"/>
    <n v="2"/>
    <n v="25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0"/>
    <s v="Jul"/>
    <s v="8F"/>
    <m/>
    <x v="56"/>
    <x v="1"/>
    <n v="11029"/>
    <x v="3"/>
    <n v="4"/>
    <x v="3"/>
    <n v="3"/>
    <s v="NA"/>
    <n v="424.5"/>
    <n v="3.8935922129999998"/>
    <n v="11.680776639999999"/>
    <n v="0"/>
    <n v="4958.4896829999998"/>
    <n v="4958.4896829999998"/>
    <n v="0.61736111100000002"/>
    <n v="0.62083333299999999"/>
    <n v="0"/>
    <n v="2"/>
    <n v="25"/>
    <n v="7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1"/>
    <s v="Jul"/>
    <s v="11A"/>
    <m/>
    <x v="0"/>
    <x v="0"/>
    <n v="5026"/>
    <x v="0"/>
    <n v="4"/>
    <x v="0"/>
    <m/>
    <s v="NA"/>
    <s v="NA"/>
    <e v="#VALUE!"/>
    <e v="#VALUE!"/>
    <e v="#VALUE!"/>
    <e v="#VALUE!"/>
    <s v="NA"/>
    <n v="0.5625"/>
    <n v="0.56597222199999997"/>
    <n v="0"/>
    <n v="2"/>
    <n v="35"/>
    <n v="73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5 flies"/>
  </r>
  <r>
    <n v="45495"/>
    <s v="Jul"/>
    <s v="7A"/>
    <m/>
    <x v="47"/>
    <x v="0"/>
    <n v="11044"/>
    <x v="3"/>
    <n v="4"/>
    <x v="0"/>
    <n v="11.6"/>
    <s v="NA"/>
    <n v="174.2"/>
    <n v="4.0191999999999997"/>
    <n v="46.622720000000001"/>
    <n v="0"/>
    <n v="8121.6778240000003"/>
    <n v="8121.6778240000003"/>
    <n v="0.64583333300000001"/>
    <n v="0.64930555599999995"/>
    <n v="0"/>
    <n v="1"/>
    <n v="75"/>
    <n v="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6"/>
    <s v="Jul"/>
    <s v="E8"/>
    <m/>
    <x v="26"/>
    <x v="2"/>
    <e v="#N/A"/>
    <x v="4"/>
    <e v="#N/A"/>
    <x v="4"/>
    <n v="2.6666666669999999"/>
    <s v="NA"/>
    <e v="#N/A"/>
    <e v="#N/A"/>
    <e v="#N/A"/>
    <e v="#N/A"/>
    <e v="#N/A"/>
    <e v="#N/A"/>
    <n v="0.490277778"/>
    <n v="0.49375000000000002"/>
    <n v="0"/>
    <n v="1"/>
    <n v="100"/>
    <n v="7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0A"/>
    <m/>
    <x v="12"/>
    <x v="0"/>
    <n v="7045"/>
    <x v="3"/>
    <n v="4"/>
    <x v="0"/>
    <s v="NA"/>
    <s v="NA"/>
    <n v="79"/>
    <n v="1.446912"/>
    <e v="#VALUE!"/>
    <n v="0"/>
    <e v="#VALUE!"/>
    <s v="NA"/>
    <n v="0.69652777799999999"/>
    <n v="0.7"/>
    <n v="0"/>
    <n v="1"/>
    <n v="35"/>
    <n v="79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8"/>
    <s v="Jul"/>
    <s v="11B"/>
    <m/>
    <x v="21"/>
    <x v="0"/>
    <n v="15012"/>
    <x v="0"/>
    <n v="4"/>
    <x v="2"/>
    <n v="3.6666666669999999"/>
    <s v="NA"/>
    <n v="269.7"/>
    <n v="7.5987999999999998"/>
    <n v="27.86226667"/>
    <n v="0"/>
    <n v="7514.4533199999996"/>
    <n v="7514.4533199999996"/>
    <n v="0.43055555600000001"/>
    <n v="0.43402777799999998"/>
    <n v="0"/>
    <n v="1"/>
    <n v="35"/>
    <n v="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11E"/>
    <m/>
    <x v="1"/>
    <x v="1"/>
    <s v="19008B"/>
    <x v="1"/>
    <n v="4"/>
    <x v="1"/>
    <n v="1"/>
    <s v="NA"/>
    <n v="388.8"/>
    <n v="8.3053000000000008"/>
    <n v="8.3053000000000008"/>
    <n v="0"/>
    <n v="3229.1006400000001"/>
    <n v="3229.1006400000001"/>
    <n v="0.54027777799999999"/>
    <n v="0.54374999999999996"/>
    <n v="0"/>
    <n v="1"/>
    <n v="40"/>
    <n v="74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8"/>
    <s v="Jul"/>
    <s v="2A"/>
    <m/>
    <x v="42"/>
    <x v="0"/>
    <n v="16012"/>
    <x v="0"/>
    <n v="4"/>
    <x v="0"/>
    <m/>
    <s v="NA"/>
    <s v="NA"/>
    <e v="#VALUE!"/>
    <e v="#VALUE!"/>
    <e v="#VALUE!"/>
    <e v="#VALUE!"/>
    <s v="NA"/>
    <s v="NA"/>
    <s v="NA"/>
    <s v="NA"/>
    <s v="NA"/>
    <s v="NA"/>
    <s v="NA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n v="45498"/>
    <s v="Jul"/>
    <s v="2B"/>
    <m/>
    <x v="45"/>
    <x v="0"/>
    <n v="1004"/>
    <x v="3"/>
    <n v="4"/>
    <x v="2"/>
    <n v="2.3333333330000001"/>
    <s v="NA"/>
    <n v="174.4"/>
    <n v="44.668942919999999"/>
    <n v="104.22753350000001"/>
    <n v="0"/>
    <n v="18177.28184"/>
    <n v="18177.28184"/>
    <n v="0.42708333300000001"/>
    <n v="0.43055555600000001"/>
    <n v="0"/>
    <n v="1"/>
    <n v="35"/>
    <n v="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10C"/>
    <m/>
    <x v="8"/>
    <x v="0"/>
    <n v="14026"/>
    <x v="1"/>
    <n v="4"/>
    <x v="2"/>
    <n v="12"/>
    <s v="NA"/>
    <n v="76.5"/>
    <n v="8.5731957570000006"/>
    <n v="102.87834909999999"/>
    <n v="0"/>
    <n v="7870.1937049999997"/>
    <n v="7870.1937049999997"/>
    <n v="0.75763888899999998"/>
    <n v="0.76111111099999995"/>
    <n v="0"/>
    <n v="1"/>
    <n v="0"/>
    <n v="8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499"/>
    <s v="Jul"/>
    <s v="15B"/>
    <m/>
    <x v="43"/>
    <x v="0"/>
    <n v="15049"/>
    <x v="3"/>
    <n v="4"/>
    <x v="2"/>
    <n v="0.66666666699999999"/>
    <s v="NA"/>
    <n v="107.9"/>
    <n v="1.5078279999999999"/>
    <n v="1.0052186670000001"/>
    <n v="0"/>
    <n v="108.46309410000001"/>
    <n v="108.46309410000001"/>
    <n v="0.36736111100000002"/>
    <n v="0.36875000000000002"/>
    <n v="0"/>
    <n v="1"/>
    <n v="0"/>
    <n v="6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"/>
  </r>
  <r>
    <n v="45499"/>
    <s v="Jul"/>
    <s v="25B"/>
    <m/>
    <x v="20"/>
    <x v="0"/>
    <s v="2023-026B"/>
    <x v="1"/>
    <n v="4"/>
    <x v="0"/>
    <n v="0.3"/>
    <s v="NA"/>
    <s v="NA"/>
    <n v="0"/>
    <n v="0"/>
    <e v="#VALUE!"/>
    <e v="#VALUE!"/>
    <s v="NA"/>
    <n v="0.373611111"/>
    <n v="0.38402777799999999"/>
    <n v="0"/>
    <n v="1"/>
    <n v="0"/>
    <n v="6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4D"/>
    <m/>
    <x v="44"/>
    <x v="0"/>
    <n v="12020"/>
    <x v="0"/>
    <n v="4"/>
    <x v="0"/>
    <n v="5.6666666670000003"/>
    <s v="NA"/>
    <n v="167.9"/>
    <n v="16.08081945"/>
    <n v="91.124643559999996"/>
    <n v="0"/>
    <n v="15299.827649999999"/>
    <n v="15299.827649999999"/>
    <n v="0.72777777799999999"/>
    <n v="0.73124999999999996"/>
    <n v="0"/>
    <n v="2"/>
    <n v="0"/>
    <n v="8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499"/>
    <s v="Jul"/>
    <s v="6F"/>
    <m/>
    <x v="50"/>
    <x v="1"/>
    <n v="16027"/>
    <x v="1"/>
    <n v="4"/>
    <x v="1"/>
    <n v="0"/>
    <s v="NA"/>
    <n v="684"/>
    <n v="8.2044997199999994"/>
    <n v="0"/>
    <n v="0"/>
    <n v="0"/>
    <n v="0"/>
    <n v="0.78819444400000005"/>
    <n v="0.79166666699999999"/>
    <n v="0"/>
    <n v="1"/>
    <n v="0"/>
    <n v="8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 and done blooming?"/>
  </r>
  <r>
    <n v="45499"/>
    <s v="Jul"/>
    <s v="8C"/>
    <m/>
    <x v="2"/>
    <x v="0"/>
    <s v="18031A"/>
    <x v="2"/>
    <n v="4"/>
    <x v="2"/>
    <n v="8.6666666669999994"/>
    <s v="NA"/>
    <n v="27.1"/>
    <n v="5.2508798209999998"/>
    <n v="45.507625109999999"/>
    <n v="0"/>
    <n v="1233.2566409999999"/>
    <n v="1233.2566409999999"/>
    <n v="0.75"/>
    <n v="0.75347222199999997"/>
    <n v="0"/>
    <n v="1"/>
    <n v="0"/>
    <n v="8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"/>
  </r>
  <r>
    <n v="45501"/>
    <s v="Jul"/>
    <s v="4A"/>
    <m/>
    <x v="3"/>
    <x v="0"/>
    <n v="11045"/>
    <x v="3"/>
    <n v="4"/>
    <x v="2"/>
    <n v="8.6"/>
    <s v="NA"/>
    <n v="31"/>
    <n v="9.0432000000000006"/>
    <n v="77.771519999999995"/>
    <n v="0"/>
    <n v="2410.9171200000001"/>
    <n v="2410.9171200000001"/>
    <n v="0.563888889"/>
    <n v="0.56736111099999997"/>
    <n v="0"/>
    <n v="1"/>
    <n v="35"/>
    <n v="78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s v="1 unknown skipper"/>
  </r>
  <r>
    <n v="45502"/>
    <s v="Jul"/>
    <s v="12E"/>
    <m/>
    <x v="57"/>
    <x v="1"/>
    <n v="17031"/>
    <x v="1"/>
    <n v="3"/>
    <x v="1"/>
    <m/>
    <n v="4"/>
    <n v="111.7"/>
    <n v="1.0047999999999999"/>
    <n v="0"/>
    <n v="446.8"/>
    <n v="0"/>
    <n v="446.8"/>
    <n v="0.720138889"/>
    <n v="0.72361111099999997"/>
    <n v="0"/>
    <n v="1"/>
    <n v="25"/>
    <n v="8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"/>
  </r>
  <r>
    <n v="45502"/>
    <s v="Jul"/>
    <s v="1E and 2E"/>
    <m/>
    <x v="50"/>
    <x v="1"/>
    <n v="16027"/>
    <x v="1"/>
    <n v="4"/>
    <x v="1"/>
    <n v="1"/>
    <s v="NA"/>
    <n v="663.9"/>
    <n v="12.3088"/>
    <n v="12.3088"/>
    <n v="0"/>
    <n v="8171.81232"/>
    <n v="8171.81232"/>
    <n v="0.74444444399999998"/>
    <n v="0.74791666700000003"/>
    <n v="0"/>
    <n v="2"/>
    <n v="25"/>
    <n v="8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2"/>
    <s v="Jul"/>
    <s v="8E"/>
    <m/>
    <x v="58"/>
    <x v="1"/>
    <n v="9062"/>
    <x v="1"/>
    <n v="3"/>
    <x v="1"/>
    <m/>
    <n v="2"/>
    <n v="4"/>
    <n v="10.613200000000001"/>
    <n v="0"/>
    <n v="8"/>
    <n v="0"/>
    <n v="8"/>
    <n v="0.74027777800000005"/>
    <n v="0.74375000000000002"/>
    <n v="0"/>
    <n v="2"/>
    <n v="25"/>
    <n v="8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3"/>
    <s v="Jul"/>
    <s v="10E"/>
    <m/>
    <x v="17"/>
    <x v="1"/>
    <n v="9050"/>
    <x v="1"/>
    <n v="4"/>
    <x v="1"/>
    <m/>
    <n v="2"/>
    <n v="1180.7"/>
    <n v="9.0432000000000006"/>
    <n v="0"/>
    <n v="2361.4"/>
    <n v="0"/>
    <n v="2361.4"/>
    <n v="0.69930555599999999"/>
    <n v="0.70277777799999996"/>
    <n v="0"/>
    <n v="2"/>
    <n v="80"/>
    <n v="87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 and almost done blooming"/>
  </r>
  <r>
    <n v="45503"/>
    <s v="Jul"/>
    <s v="4A"/>
    <m/>
    <x v="3"/>
    <x v="0"/>
    <n v="11045"/>
    <x v="3"/>
    <n v="4"/>
    <x v="2"/>
    <n v="11.33333333"/>
    <s v="NA"/>
    <n v="31"/>
    <n v="9.0432000000000006"/>
    <n v="102.4896"/>
    <n v="0"/>
    <n v="3177.1776"/>
    <n v="3177.1776"/>
    <n v="0.72916666699999999"/>
    <n v="0.73263888899999996"/>
    <n v="0"/>
    <n v="2"/>
    <n v="80"/>
    <n v="87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4"/>
    <s v="Jul"/>
    <s v="1A"/>
    <m/>
    <x v="2"/>
    <x v="0"/>
    <s v="18031B"/>
    <x v="2"/>
    <n v="4"/>
    <x v="2"/>
    <n v="4.6666666670000003"/>
    <s v="NA"/>
    <n v="68.400000000000006"/>
    <n v="4.1488433149999997"/>
    <n v="19.361268800000001"/>
    <n v="0"/>
    <n v="1324.310786"/>
    <n v="1324.310786"/>
    <n v="0.73611111100000004"/>
    <n v="0.73958333300000001"/>
    <n v="0"/>
    <n v="2"/>
    <n v="10"/>
    <n v="9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5"/>
    <s v="Aug"/>
    <s v="12B"/>
    <m/>
    <x v="38"/>
    <x v="0"/>
    <n v="10063"/>
    <x v="1"/>
    <n v="4"/>
    <x v="2"/>
    <n v="0"/>
    <s v="NA"/>
    <s v="NA"/>
    <e v="#VALUE!"/>
    <e v="#VALUE!"/>
    <e v="#VALUE!"/>
    <e v="#VALUE!"/>
    <s v="NA"/>
    <n v="0.57847222200000004"/>
    <n v="0.58194444400000001"/>
    <n v="0"/>
    <n v="2"/>
    <n v="75"/>
    <n v="7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ots of bracts/false sepals, zero panicles listed deliberately"/>
  </r>
  <r>
    <n v="45505"/>
    <s v="Aug"/>
    <s v="17B"/>
    <m/>
    <x v="52"/>
    <x v="0"/>
    <n v="1072"/>
    <x v="2"/>
    <n v="4"/>
    <x v="2"/>
    <n v="8"/>
    <s v="NA"/>
    <s v="NA"/>
    <e v="#VALUE!"/>
    <e v="#VALUE!"/>
    <e v="#VALUE!"/>
    <e v="#VALUE!"/>
    <s v="NA"/>
    <n v="0.60555555599999999"/>
    <n v="0.60902777799999996"/>
    <n v="0"/>
    <n v="1"/>
    <n v="30"/>
    <n v="84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ots of bracts and no bugs"/>
  </r>
  <r>
    <n v="45505"/>
    <s v="Aug"/>
    <s v="20B"/>
    <m/>
    <x v="11"/>
    <x v="0"/>
    <n v="12031"/>
    <x v="3"/>
    <n v="4"/>
    <x v="2"/>
    <m/>
    <n v="1"/>
    <n v="132"/>
    <n v="0.56520000000000004"/>
    <n v="0"/>
    <n v="132"/>
    <n v="0"/>
    <n v="132"/>
    <n v="0.46597222199999999"/>
    <n v="0.46944444400000002"/>
    <n v="0"/>
    <n v="2"/>
    <n v="90"/>
    <n v="81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"/>
  </r>
  <r>
    <n v="45505"/>
    <s v="Aug"/>
    <s v="22B"/>
    <m/>
    <x v="34"/>
    <x v="0"/>
    <n v="21039"/>
    <x v="3"/>
    <n v="4"/>
    <x v="2"/>
    <n v="11.66666667"/>
    <s v="NA"/>
    <n v="17.7"/>
    <n v="1.9609767229999999"/>
    <n v="22.878061769999999"/>
    <n v="0"/>
    <n v="404.9416933"/>
    <n v="404.9416933"/>
    <n v="0.404861111"/>
    <n v="0.40833333300000002"/>
    <n v="0"/>
    <n v="2"/>
    <n v="70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nly bracts and no flowers open"/>
  </r>
  <r>
    <n v="45505"/>
    <s v="Aug"/>
    <s v="25B"/>
    <m/>
    <x v="20"/>
    <x v="0"/>
    <s v="2023-026B"/>
    <x v="1"/>
    <n v="4"/>
    <x v="0"/>
    <m/>
    <n v="1"/>
    <s v="NA"/>
    <n v="0"/>
    <n v="0"/>
    <e v="#VALUE!"/>
    <e v="#VALUE!"/>
    <s v="NA"/>
    <n v="0.61180555599999997"/>
    <n v="0.61527777800000005"/>
    <n v="0"/>
    <n v="1"/>
    <n v="40"/>
    <n v="8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06"/>
    <s v="Aug"/>
    <s v="2F"/>
    <m/>
    <x v="13"/>
    <x v="1"/>
    <s v="Unknown"/>
    <x v="0"/>
    <n v="4"/>
    <x v="3"/>
    <m/>
    <n v="1"/>
    <n v="390.5"/>
    <n v="3.6464443200000001"/>
    <n v="0"/>
    <n v="390.5"/>
    <n v="0"/>
    <n v="390.5"/>
    <n v="0.41249999999999998"/>
    <n v="0.415972222"/>
    <n v="0"/>
    <n v="2"/>
    <n v="70"/>
    <n v="7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stly done blooming--only 2 blooms left"/>
  </r>
  <r>
    <n v="45506"/>
    <s v="Aug"/>
    <s v="3F"/>
    <m/>
    <x v="55"/>
    <x v="1"/>
    <n v="14020"/>
    <x v="3"/>
    <n v="4"/>
    <x v="1"/>
    <m/>
    <n v="1"/>
    <n v="371.4"/>
    <n v="21.591001980000001"/>
    <n v="0"/>
    <n v="371.4"/>
    <n v="0"/>
    <n v="371.4"/>
    <n v="0.415972222"/>
    <n v="0.41944444400000003"/>
    <n v="0"/>
    <n v="2"/>
    <n v="70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most all done blooming"/>
  </r>
  <r>
    <n v="45506"/>
    <s v="Aug"/>
    <s v="4F"/>
    <m/>
    <x v="15"/>
    <x v="1"/>
    <n v="18022"/>
    <x v="0"/>
    <n v="3"/>
    <x v="3"/>
    <m/>
    <n v="2"/>
    <n v="563.42857140000001"/>
    <n v="9.3348974590000005"/>
    <n v="0"/>
    <n v="1126.857143"/>
    <n v="0"/>
    <n v="1126.857143"/>
    <n v="0.42083333299999998"/>
    <n v="0.42430555599999997"/>
    <n v="0"/>
    <n v="2"/>
    <n v="70"/>
    <n v="75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06"/>
    <s v="Aug"/>
    <s v="6D"/>
    <m/>
    <x v="21"/>
    <x v="0"/>
    <n v="15055"/>
    <x v="1"/>
    <n v="4"/>
    <x v="2"/>
    <n v="23"/>
    <s v="NA"/>
    <n v="42.8"/>
    <n v="11.8144796"/>
    <n v="271.73303069999997"/>
    <n v="0"/>
    <n v="11630.173720000001"/>
    <n v="11630.173720000001"/>
    <n v="0.48888888899999999"/>
    <n v="0.49236111100000002"/>
    <n v="0"/>
    <n v="2"/>
    <n v="35"/>
    <n v="7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m/>
  </r>
  <r>
    <n v="45506"/>
    <s v="Aug"/>
    <s v="9F"/>
    <m/>
    <x v="17"/>
    <x v="1"/>
    <n v="9050"/>
    <x v="1"/>
    <n v="3"/>
    <x v="1"/>
    <m/>
    <n v="2"/>
    <n v="557.4"/>
    <n v="13.163664000000001"/>
    <n v="0"/>
    <n v="1114.8"/>
    <n v="0"/>
    <n v="1114.8"/>
    <n v="0.44236111099999997"/>
    <n v="0.445833333"/>
    <n v="0"/>
    <n v="2"/>
    <n v="70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 and mostly done blooming"/>
  </r>
  <r>
    <n v="45512"/>
    <s v="Aug"/>
    <s v="11E"/>
    <m/>
    <x v="1"/>
    <x v="1"/>
    <s v="19008B"/>
    <x v="1"/>
    <n v="4"/>
    <x v="1"/>
    <m/>
    <n v="1"/>
    <n v="388.8"/>
    <n v="8.3053000000000008"/>
    <n v="0"/>
    <n v="388.8"/>
    <n v="0"/>
    <n v="388.8"/>
    <n v="0.44374999999999998"/>
    <n v="0.447222222"/>
    <n v="0"/>
    <n v="2"/>
    <n v="100"/>
    <n v="60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 and nearly done blooming 8/8/24"/>
  </r>
  <r>
    <n v="45512"/>
    <s v="Aug"/>
    <s v="19D"/>
    <m/>
    <x v="19"/>
    <x v="0"/>
    <s v="2023-030"/>
    <x v="3"/>
    <n v="4"/>
    <x v="2"/>
    <n v="9"/>
    <s v="NA"/>
    <n v="55.8"/>
    <n v="2.3337243650000001"/>
    <n v="21.003519279999999"/>
    <n v="0"/>
    <n v="1171.9963760000001"/>
    <n v="1171.9963760000001"/>
    <n v="0.34930555600000002"/>
    <n v="0.35277777799999999"/>
    <n v="0"/>
    <n v="1"/>
    <n v="85"/>
    <n v="67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2"/>
    <s v="Aug"/>
    <s v="3E"/>
    <m/>
    <x v="22"/>
    <x v="1"/>
    <n v="12019"/>
    <x v="3"/>
    <n v="4"/>
    <x v="1"/>
    <m/>
    <n v="2"/>
    <n v="528.4"/>
    <n v="17.097300000000001"/>
    <n v="0"/>
    <n v="1056.8"/>
    <n v="0"/>
    <n v="1056.8"/>
    <n v="0.69444444400000005"/>
    <n v="0.69791666699999999"/>
    <n v="0"/>
    <n v="2"/>
    <n v="85"/>
    <n v="75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bugs"/>
  </r>
  <r>
    <n v="45512"/>
    <s v="Aug"/>
    <s v="4F"/>
    <m/>
    <x v="15"/>
    <x v="1"/>
    <n v="18022"/>
    <x v="0"/>
    <n v="3"/>
    <x v="3"/>
    <n v="0.66666666699999999"/>
    <s v="NA"/>
    <n v="563.42857140000001"/>
    <n v="9.3348974590000005"/>
    <n v="6.223264973"/>
    <n v="0"/>
    <n v="3506.3652929999998"/>
    <n v="3506.3652929999998"/>
    <n v="0.66180555600000002"/>
    <n v="0.66527777799999999"/>
    <n v="0"/>
    <n v="2"/>
    <n v="100"/>
    <n v="7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2"/>
    <s v="Aug"/>
    <s v="9C"/>
    <m/>
    <x v="40"/>
    <x v="0"/>
    <n v="14021"/>
    <x v="2"/>
    <n v="4"/>
    <x v="2"/>
    <n v="3.3333333330000001"/>
    <s v="NA"/>
    <n v="120.2"/>
    <n v="6.4825676799999998"/>
    <n v="21.608558930000001"/>
    <n v="0"/>
    <n v="2597.3487839999998"/>
    <n v="2597.3487839999998"/>
    <n v="0.67638888900000005"/>
    <n v="0.67986111100000002"/>
    <n v="0"/>
    <n v="2"/>
    <n v="90"/>
    <n v="7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n v="45513"/>
    <s v="Aug"/>
    <s v="23B"/>
    <m/>
    <x v="35"/>
    <x v="0"/>
    <s v="No tag"/>
    <x v="1"/>
    <n v="5"/>
    <x v="2"/>
    <m/>
    <n v="14"/>
    <n v="60.9"/>
    <n v="4.4121976270000003"/>
    <n v="0"/>
    <n v="852.6"/>
    <n v="0"/>
    <n v="852.6"/>
    <n v="0.48958333300000001"/>
    <n v="0.49305555600000001"/>
    <n v="0"/>
    <n v="2"/>
    <n v="100"/>
    <n v="6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2A"/>
    <m/>
    <x v="42"/>
    <x v="0"/>
    <n v="16012"/>
    <x v="0"/>
    <n v="4"/>
    <x v="0"/>
    <n v="9"/>
    <s v="NA"/>
    <s v="NA"/>
    <e v="#VALUE!"/>
    <e v="#VALUE!"/>
    <e v="#VALUE!"/>
    <e v="#VALUE!"/>
    <s v="NA"/>
    <n v="0.41388888899999998"/>
    <n v="0.41736111100000001"/>
    <n v="0"/>
    <n v="2"/>
    <n v="100"/>
    <n v="6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4A"/>
    <m/>
    <x v="3"/>
    <x v="0"/>
    <n v="11045"/>
    <x v="3"/>
    <n v="4"/>
    <x v="2"/>
    <n v="2.3333333330000001"/>
    <s v="NA"/>
    <n v="31"/>
    <n v="9.0432000000000006"/>
    <n v="21.1008"/>
    <n v="0"/>
    <n v="654.12480000000005"/>
    <n v="654.12480000000005"/>
    <n v="0.42152777800000002"/>
    <n v="0.42499999999999999"/>
    <n v="0"/>
    <n v="2"/>
    <n v="100"/>
    <n v="6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3"/>
    <s v="Aug"/>
    <s v="6A"/>
    <m/>
    <x v="30"/>
    <x v="0"/>
    <n v="11031"/>
    <x v="0"/>
    <n v="4"/>
    <x v="0"/>
    <n v="8"/>
    <s v="NA"/>
    <n v="189.5"/>
    <n v="15.0877"/>
    <n v="120.7016"/>
    <n v="0"/>
    <n v="22872.9532"/>
    <n v="22872.9532"/>
    <n v="0.42708333300000001"/>
    <n v="0.43055555600000001"/>
    <n v="0"/>
    <n v="2"/>
    <n v="100"/>
    <n v="6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3"/>
    <s v="Aug"/>
    <s v="7A"/>
    <m/>
    <x v="47"/>
    <x v="0"/>
    <n v="11044"/>
    <x v="3"/>
    <n v="4"/>
    <x v="0"/>
    <n v="12.66666667"/>
    <s v="NA"/>
    <n v="174.2"/>
    <n v="4.0191999999999997"/>
    <n v="50.90986667"/>
    <n v="0"/>
    <n v="8868.4987729999993"/>
    <n v="8868.4987729999993"/>
    <n v="0.38888888900000002"/>
    <n v="0.39236111099999998"/>
    <n v="0"/>
    <n v="2"/>
    <n v="80"/>
    <n v="6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8"/>
    <s v="Aug"/>
    <s v="10D"/>
    <m/>
    <x v="9"/>
    <x v="0"/>
    <n v="17047"/>
    <x v="3"/>
    <n v="4"/>
    <x v="2"/>
    <n v="4.6666666670000003"/>
    <s v="NA"/>
    <n v="109"/>
    <n v="9.3348974590000005"/>
    <n v="43.562854809999997"/>
    <n v="0"/>
    <n v="4748.3511740000004"/>
    <n v="4748.3511740000004"/>
    <n v="0.41319444399999999"/>
    <n v="0.41666666699999999"/>
    <n v="0"/>
    <n v="1"/>
    <n v="15"/>
    <n v="74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8"/>
    <s v="Aug"/>
    <s v="10F"/>
    <m/>
    <x v="17"/>
    <x v="1"/>
    <n v="16025"/>
    <x v="1"/>
    <n v="4"/>
    <x v="1"/>
    <m/>
    <n v="1"/>
    <n v="245"/>
    <n v="3.4073996370000001"/>
    <n v="0"/>
    <n v="245"/>
    <n v="0"/>
    <n v="245"/>
    <s v="NA"/>
    <s v="NA"/>
    <n v="0"/>
    <n v="2"/>
    <n v="50"/>
    <n v="8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pollinators seen"/>
  </r>
  <r>
    <n v="45518"/>
    <s v="Aug"/>
    <s v="11F"/>
    <m/>
    <x v="41"/>
    <x v="1"/>
    <n v="16026"/>
    <x v="2"/>
    <n v="4"/>
    <x v="1"/>
    <m/>
    <n v="1"/>
    <n v="119"/>
    <n v="2.1432989390000001"/>
    <n v="0"/>
    <n v="119"/>
    <n v="0"/>
    <n v="119"/>
    <s v="NA"/>
    <s v="NA"/>
    <n v="0"/>
    <n v="2"/>
    <n v="50"/>
    <n v="8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 some flies but failed to catch"/>
  </r>
  <r>
    <n v="45518"/>
    <s v="Aug"/>
    <s v="12F"/>
    <m/>
    <x v="7"/>
    <x v="1"/>
    <n v="2068"/>
    <x v="0"/>
    <n v="4"/>
    <x v="3"/>
    <n v="0"/>
    <s v="NA"/>
    <n v="278.5"/>
    <e v="#VALUE!"/>
    <e v="#VALUE!"/>
    <n v="0"/>
    <e v="#VALUE!"/>
    <n v="0"/>
    <s v="NA"/>
    <s v="NA"/>
    <n v="0"/>
    <n v="2"/>
    <n v="40"/>
    <n v="8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st bloom but still noticed a couple flies on levaes/fruit"/>
  </r>
  <r>
    <n v="45518"/>
    <s v="Aug"/>
    <s v="13D"/>
    <m/>
    <x v="33"/>
    <x v="0"/>
    <n v="98053"/>
    <x v="3"/>
    <n v="4"/>
    <x v="2"/>
    <m/>
    <n v="34"/>
    <n v="232.8"/>
    <n v="13.163664000000001"/>
    <n v="0"/>
    <n v="7915.2"/>
    <n v="0"/>
    <n v="7915.2"/>
    <n v="0.44097222200000002"/>
    <n v="0.44444444399999999"/>
    <n v="0"/>
    <n v="1"/>
    <n v="30"/>
    <n v="7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18"/>
    <s v="Aug"/>
    <s v="20D"/>
    <m/>
    <x v="20"/>
    <x v="0"/>
    <s v="2023-026A"/>
    <x v="0"/>
    <n v="4"/>
    <x v="0"/>
    <n v="0"/>
    <s v="NA"/>
    <s v="NA"/>
    <n v="1.0372108289999999"/>
    <n v="0"/>
    <e v="#VALUE!"/>
    <e v="#VALUE!"/>
    <n v="0"/>
    <n v="0.38194444399999999"/>
    <n v="0.38541666699999999"/>
    <n v="0"/>
    <n v="0"/>
    <n v="5"/>
    <n v="7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pollinators seen, past bloom"/>
  </r>
  <r>
    <n v="45518"/>
    <s v="Aug"/>
    <s v="2F"/>
    <m/>
    <x v="13"/>
    <x v="1"/>
    <s v="Unknown"/>
    <x v="0"/>
    <n v="4"/>
    <x v="3"/>
    <m/>
    <n v="1"/>
    <n v="390.5"/>
    <n v="3.6464443200000001"/>
    <n v="0"/>
    <n v="390.5"/>
    <n v="0"/>
    <n v="390.5"/>
    <n v="0.54583333300000003"/>
    <n v="0.54930555599999997"/>
    <n v="0"/>
    <n v="2"/>
    <n v="80"/>
    <n v="8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pollinators seen"/>
  </r>
  <r>
    <n v="45518"/>
    <s v="Aug"/>
    <s v="3F"/>
    <m/>
    <x v="55"/>
    <x v="1"/>
    <n v="14020"/>
    <x v="3"/>
    <n v="4"/>
    <x v="1"/>
    <n v="0"/>
    <s v="NA"/>
    <n v="371.4"/>
    <n v="21.591001980000001"/>
    <n v="0"/>
    <n v="0"/>
    <n v="0"/>
    <n v="0"/>
    <s v="NA"/>
    <s v="NA"/>
    <s v="NA"/>
    <s v="NA"/>
    <s v="NA"/>
    <s v="N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st bloom but still noticed a couple flies on levaes/fruit"/>
  </r>
  <r>
    <n v="45518"/>
    <s v="Aug"/>
    <s v="5D"/>
    <m/>
    <x v="53"/>
    <x v="0"/>
    <n v="96102"/>
    <x v="0"/>
    <n v="4"/>
    <x v="0"/>
    <n v="25.333333329999999"/>
    <s v="NA"/>
    <n v="492.1"/>
    <n v="6.8107476690000004"/>
    <n v="172.5389409"/>
    <n v="0"/>
    <n v="84906.412840000005"/>
    <n v="84906.412840000005"/>
    <n v="0.34583333300000002"/>
    <n v="0.34930555600000002"/>
    <n v="0"/>
    <n v="0"/>
    <n v="5"/>
    <n v="68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18"/>
    <s v="Aug"/>
    <s v="5F"/>
    <m/>
    <x v="16"/>
    <x v="1"/>
    <n v="10067"/>
    <x v="3"/>
    <n v="4"/>
    <x v="1"/>
    <n v="0"/>
    <s v="NA"/>
    <n v="88"/>
    <n v="3.4073996370000001"/>
    <n v="0"/>
    <n v="0"/>
    <n v="0"/>
    <n v="0"/>
    <s v="NA"/>
    <s v="NA"/>
    <s v="NA"/>
    <s v="NA"/>
    <s v="NA"/>
    <s v="N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data taken since past bloom but still noticed a couple flies on levaes/fruit"/>
  </r>
  <r>
    <n v="45518"/>
    <s v="Aug"/>
    <s v="6D"/>
    <m/>
    <x v="21"/>
    <x v="0"/>
    <n v="15055"/>
    <x v="1"/>
    <n v="4"/>
    <x v="2"/>
    <n v="14"/>
    <s v="NA"/>
    <n v="42.8"/>
    <n v="11.8144796"/>
    <n v="165.40271440000001"/>
    <n v="0"/>
    <n v="7079.2361739999997"/>
    <n v="7079.2361739999997"/>
    <n v="0.35486111100000001"/>
    <n v="0.35833333299999998"/>
    <n v="0"/>
    <n v="0"/>
    <n v="5"/>
    <n v="68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18"/>
    <s v="Aug"/>
    <s v="7F"/>
    <m/>
    <x v="13"/>
    <x v="1"/>
    <n v="3094"/>
    <x v="0"/>
    <n v="4"/>
    <x v="3"/>
    <n v="0"/>
    <s v="NA"/>
    <n v="460"/>
    <n v="7.1470308669999998"/>
    <n v="0"/>
    <n v="0"/>
    <n v="0"/>
    <n v="0"/>
    <s v="NA"/>
    <s v="NA"/>
    <s v="NA"/>
    <s v="NA"/>
    <s v="NA"/>
    <s v="N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data taken since past bloom but still noticed a couple flies on levaes/fruit"/>
  </r>
  <r>
    <n v="45518"/>
    <s v="Aug"/>
    <s v="8F"/>
    <m/>
    <x v="56"/>
    <x v="1"/>
    <n v="11029"/>
    <x v="3"/>
    <n v="4"/>
    <x v="3"/>
    <n v="0"/>
    <s v="NA"/>
    <n v="424.5"/>
    <n v="3.8935922129999998"/>
    <n v="0"/>
    <n v="0"/>
    <n v="0"/>
    <n v="0"/>
    <s v="NA"/>
    <s v="NA"/>
    <s v="NA"/>
    <s v="NA"/>
    <s v="NA"/>
    <s v="N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data taken since past bloom but still noticed a couple flies on levaes/fruit"/>
  </r>
  <r>
    <n v="45518"/>
    <s v="Aug"/>
    <s v="9F"/>
    <m/>
    <x v="17"/>
    <x v="1"/>
    <n v="9050"/>
    <x v="1"/>
    <n v="3"/>
    <x v="1"/>
    <n v="0"/>
    <s v="NA"/>
    <n v="557.4"/>
    <n v="13.163664000000001"/>
    <n v="0"/>
    <n v="0"/>
    <n v="0"/>
    <n v="0"/>
    <s v="NA"/>
    <s v="NA"/>
    <s v="NA"/>
    <s v="NA"/>
    <s v="NA"/>
    <s v="N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data taken since past bloom but still noticed a couple flies on levaes/fruit"/>
  </r>
  <r>
    <n v="45524"/>
    <s v="Aug"/>
    <s v="1A"/>
    <m/>
    <x v="2"/>
    <x v="0"/>
    <s v="18031B"/>
    <x v="2"/>
    <n v="4"/>
    <x v="2"/>
    <n v="2.3333333330000001"/>
    <s v="NA"/>
    <n v="68.400000000000006"/>
    <n v="4.1488433149999997"/>
    <n v="9.6806344020000008"/>
    <n v="0"/>
    <n v="662.15539309999997"/>
    <n v="662.15539309999997"/>
    <n v="0.54444444400000003"/>
    <n v="0.54791666699999997"/>
    <n v="0"/>
    <n v="2"/>
    <n v="20"/>
    <n v="69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25"/>
    <s v="Aug"/>
    <s v="12D"/>
    <m/>
    <x v="45"/>
    <x v="0"/>
    <n v="1004"/>
    <x v="1"/>
    <n v="4"/>
    <x v="2"/>
    <n v="2.6666666669999999"/>
    <s v="NA"/>
    <n v="98.3"/>
    <n v="21.003519279999999"/>
    <n v="56.009384760000003"/>
    <n v="0"/>
    <n v="5505.7225209999997"/>
    <n v="5505.7225209999997"/>
    <n v="0.396527778"/>
    <n v="0.4"/>
    <n v="0"/>
    <n v="0"/>
    <n v="5"/>
    <n v="6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m/>
  </r>
  <r>
    <n v="45525"/>
    <s v="Aug"/>
    <s v="14C"/>
    <m/>
    <x v="8"/>
    <x v="0"/>
    <s v="18008A"/>
    <x v="1"/>
    <n v="4"/>
    <x v="2"/>
    <m/>
    <n v="9"/>
    <n v="94.3"/>
    <n v="8.5731957570000006"/>
    <n v="0"/>
    <n v="848.7"/>
    <n v="0"/>
    <n v="848.7"/>
    <n v="0.477083333"/>
    <n v="0.48055555599999999"/>
    <n v="0"/>
    <n v="1"/>
    <n v="3"/>
    <n v="68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25"/>
    <s v="Aug"/>
    <s v="16D"/>
    <m/>
    <x v="49"/>
    <x v="0"/>
    <n v="95054"/>
    <x v="0"/>
    <n v="4"/>
    <x v="0"/>
    <n v="13.33333333"/>
    <s v="NA"/>
    <n v="109.8"/>
    <n v="16.595373259999999"/>
    <n v="221.27164350000001"/>
    <n v="0"/>
    <n v="24295.62645"/>
    <n v="24295.62645"/>
    <n v="0.42291666700000002"/>
    <n v="0.42638888899999999"/>
    <n v="0"/>
    <n v="1"/>
    <n v="5"/>
    <n v="6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21D"/>
    <m/>
    <x v="28"/>
    <x v="0"/>
    <s v="20012A"/>
    <x v="2"/>
    <n v="5"/>
    <x v="2"/>
    <m/>
    <n v="8"/>
    <n v="76.900000000000006"/>
    <n v="2.5322529999999999"/>
    <n v="0"/>
    <n v="615.20000000000005"/>
    <n v="0"/>
    <n v="615.20000000000005"/>
    <n v="0.40972222200000002"/>
    <n v="0.41319444399999999"/>
    <n v="0"/>
    <n v="0"/>
    <n v="0"/>
    <n v="62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2A"/>
    <m/>
    <x v="42"/>
    <x v="0"/>
    <n v="16012"/>
    <x v="0"/>
    <n v="4"/>
    <x v="0"/>
    <n v="11.33333333"/>
    <s v="NA"/>
    <s v="NA"/>
    <e v="#VALUE!"/>
    <e v="#VALUE!"/>
    <e v="#VALUE!"/>
    <e v="#VALUE!"/>
    <s v="NA"/>
    <n v="0.64375000000000004"/>
    <n v="0.64722222200000001"/>
    <n v="0"/>
    <n v="1"/>
    <n v="0"/>
    <n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25"/>
    <s v="Aug"/>
    <s v="4A"/>
    <m/>
    <x v="3"/>
    <x v="0"/>
    <n v="11045"/>
    <x v="3"/>
    <n v="4"/>
    <x v="2"/>
    <m/>
    <n v="7"/>
    <n v="31"/>
    <n v="9.0432000000000006"/>
    <n v="0"/>
    <n v="217"/>
    <n v="0"/>
    <n v="217"/>
    <n v="0.64861111100000002"/>
    <n v="0.65208333299999999"/>
    <n v="0"/>
    <n v="1"/>
    <n v="0"/>
    <n v="7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1B"/>
    <m/>
    <x v="21"/>
    <x v="0"/>
    <n v="15012"/>
    <x v="0"/>
    <n v="4"/>
    <x v="2"/>
    <n v="7"/>
    <s v="NA"/>
    <n v="269.7"/>
    <n v="7.5987999999999998"/>
    <n v="53.191600000000001"/>
    <n v="0"/>
    <n v="14345.774520000001"/>
    <n v="14345.774520000001"/>
    <n v="0.63055555600000002"/>
    <n v="0.63402777799999999"/>
    <n v="0"/>
    <n v="3"/>
    <n v="80"/>
    <n v="7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2B"/>
    <m/>
    <x v="38"/>
    <x v="0"/>
    <n v="10063"/>
    <x v="1"/>
    <n v="4"/>
    <x v="2"/>
    <n v="8.3333333330000006"/>
    <s v="NA"/>
    <s v="NA"/>
    <e v="#VALUE!"/>
    <e v="#VALUE!"/>
    <e v="#VALUE!"/>
    <e v="#VALUE!"/>
    <s v="NA"/>
    <n v="0.63888888899999996"/>
    <n v="0.64236111100000004"/>
    <n v="0"/>
    <n v="3"/>
    <n v="80"/>
    <n v="78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3"/>
    <s v="Aug"/>
    <s v="15B"/>
    <m/>
    <x v="43"/>
    <x v="0"/>
    <n v="15049"/>
    <x v="3"/>
    <n v="4"/>
    <x v="2"/>
    <n v="2.6666666669999999"/>
    <s v="NA"/>
    <n v="107.9"/>
    <n v="1.5078279999999999"/>
    <n v="4.0208746670000002"/>
    <n v="0"/>
    <n v="433.85237649999999"/>
    <n v="433.85237649999999"/>
    <n v="0.61597222200000001"/>
    <n v="0.61944444399999998"/>
    <n v="0"/>
    <n v="3"/>
    <n v="100"/>
    <n v="78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3"/>
    <s v="Aug"/>
    <s v="16B"/>
    <m/>
    <x v="32"/>
    <x v="0"/>
    <n v="1127"/>
    <x v="1"/>
    <n v="4"/>
    <x v="0"/>
    <n v="1.3333333329999999"/>
    <s v="NA"/>
    <n v="126.2"/>
    <n v="2.9899079999999998"/>
    <n v="3.9865439999999999"/>
    <n v="0"/>
    <n v="503.10185280000002"/>
    <n v="503.10185280000002"/>
    <n v="0.65208333299999999"/>
    <n v="0.65555555600000004"/>
    <n v="0"/>
    <n v="3"/>
    <n v="100"/>
    <n v="7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7B"/>
    <m/>
    <x v="52"/>
    <x v="0"/>
    <n v="1072"/>
    <x v="2"/>
    <n v="4"/>
    <x v="2"/>
    <n v="16.666666670000001"/>
    <s v="NA"/>
    <s v="NA"/>
    <e v="#VALUE!"/>
    <e v="#VALUE!"/>
    <e v="#VALUE!"/>
    <e v="#VALUE!"/>
    <s v="NA"/>
    <n v="0.623611111"/>
    <n v="0.62708333299999997"/>
    <n v="0"/>
    <n v="3"/>
    <n v="25"/>
    <n v="7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8B"/>
    <m/>
    <x v="59"/>
    <x v="0"/>
    <n v="1126"/>
    <x v="1"/>
    <n v="4"/>
    <x v="0"/>
    <n v="11.33333333"/>
    <s v="NA"/>
    <s v="NA"/>
    <e v="#VALUE!"/>
    <e v="#VALUE!"/>
    <e v="#VALUE!"/>
    <e v="#VALUE!"/>
    <s v="NA"/>
    <n v="0.65972222199999997"/>
    <n v="0.66319444400000005"/>
    <n v="0"/>
    <n v="3"/>
    <n v="100"/>
    <n v="7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n v="45533"/>
    <s v="Aug"/>
    <s v="1D"/>
    <m/>
    <x v="48"/>
    <x v="0"/>
    <s v="87273-0"/>
    <x v="0"/>
    <n v="4"/>
    <x v="0"/>
    <n v="3.3333333330000001"/>
    <s v="NA"/>
    <n v="243"/>
    <n v="3.1764581629999999"/>
    <n v="10.58819388"/>
    <n v="0"/>
    <n v="2572.9311120000002"/>
    <n v="2572.9311120000002"/>
    <n v="0.47569444399999999"/>
    <n v="0.47916666699999999"/>
    <n v="0"/>
    <n v="2"/>
    <n v="100"/>
    <n v="7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3D"/>
    <m/>
    <x v="38"/>
    <x v="0"/>
    <n v="10063"/>
    <x v="1"/>
    <n v="5"/>
    <x v="2"/>
    <n v="5.3333333329999997"/>
    <s v="NA"/>
    <n v="349.6"/>
    <n v="18.187653950000001"/>
    <n v="97.000821049999999"/>
    <n v="0"/>
    <n v="33911.48704"/>
    <n v="33911.48704"/>
    <n v="0.48402777800000002"/>
    <n v="0.48749999999999999"/>
    <n v="0"/>
    <n v="2"/>
    <n v="100"/>
    <n v="75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m/>
  </r>
  <r>
    <n v="45531"/>
    <s v="Aug"/>
    <s v="4D"/>
    <m/>
    <x v="44"/>
    <x v="0"/>
    <n v="12020"/>
    <x v="0"/>
    <n v="4"/>
    <x v="0"/>
    <n v="3"/>
    <s v="NA"/>
    <n v="167.9"/>
    <n v="16.08081945"/>
    <n v="48.24245835"/>
    <n v="0"/>
    <n v="8099.9087579999996"/>
    <n v="8099.9087579999996"/>
    <n v="0.73055555599999999"/>
    <n v="0.73402777799999996"/>
    <n v="0"/>
    <n v="0"/>
    <n v="50"/>
    <n v="8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5D"/>
    <m/>
    <x v="53"/>
    <x v="0"/>
    <n v="96102"/>
    <x v="0"/>
    <n v="4"/>
    <x v="0"/>
    <n v="4.3333333329999997"/>
    <s v="NA"/>
    <n v="492.1"/>
    <n v="6.8107476690000004"/>
    <n v="29.513239899999999"/>
    <n v="0"/>
    <n v="14523.46535"/>
    <n v="14523.46535"/>
    <n v="0.49236111100000002"/>
    <n v="0.49583333299999999"/>
    <n v="0"/>
    <n v="1"/>
    <n v="100"/>
    <n v="75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6D"/>
    <m/>
    <x v="21"/>
    <x v="0"/>
    <n v="15055"/>
    <x v="1"/>
    <n v="4"/>
    <x v="2"/>
    <n v="3"/>
    <s v="NA"/>
    <n v="42.8"/>
    <n v="11.8144796"/>
    <n v="35.443438790000002"/>
    <n v="0"/>
    <n v="1516.97918"/>
    <n v="1516.97918"/>
    <n v="0.50208333299999997"/>
    <n v="0.50555555600000002"/>
    <n v="0"/>
    <n v="1"/>
    <n v="100"/>
    <n v="7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7D"/>
    <m/>
    <x v="51"/>
    <x v="0"/>
    <n v="97033"/>
    <x v="0"/>
    <n v="4"/>
    <x v="0"/>
    <n v="3.3333333330000001"/>
    <s v="NA"/>
    <n v="160.69999999999999"/>
    <n v="14.58577728"/>
    <n v="48.619257599999997"/>
    <n v="0"/>
    <n v="7813.1146959999996"/>
    <n v="7813.1146959999996"/>
    <n v="0.50972222199999995"/>
    <n v="0.51319444400000003"/>
    <n v="0"/>
    <n v="1"/>
    <n v="100"/>
    <n v="7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1 hummingbird outside of survey window"/>
  </r>
  <r>
    <n v="45531"/>
    <s v="Aug"/>
    <s v="8D"/>
    <m/>
    <x v="52"/>
    <x v="0"/>
    <n v="1072"/>
    <x v="2"/>
    <n v="4"/>
    <x v="2"/>
    <n v="15"/>
    <s v="NA"/>
    <n v="104.4"/>
    <n v="14.58577728"/>
    <n v="218.7866592"/>
    <n v="0"/>
    <n v="22841.327219999999"/>
    <n v="22841.327219999999"/>
    <n v="0.73680555599999997"/>
    <n v="0.74027777800000005"/>
    <n v="0"/>
    <n v="0"/>
    <n v="50"/>
    <n v="88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1D"/>
    <m/>
    <x v="18"/>
    <x v="0"/>
    <n v="93021"/>
    <x v="0"/>
    <s v="NA"/>
    <x v="0"/>
    <n v="5"/>
    <s v="NA"/>
    <n v="404.7"/>
    <n v="9.3348974590000005"/>
    <n v="46.674487300000003"/>
    <n v="0"/>
    <n v="18889.165010000001"/>
    <n v="18889.165010000001"/>
    <n v="0.51944444400000001"/>
    <n v="0.52291666699999995"/>
    <n v="0"/>
    <n v="2"/>
    <n v="100"/>
    <n v="7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3"/>
    <s v="Aug"/>
    <s v="12D"/>
    <m/>
    <x v="45"/>
    <x v="0"/>
    <n v="1004"/>
    <x v="1"/>
    <n v="4"/>
    <x v="2"/>
    <n v="3.3333333330000001"/>
    <s v="NA"/>
    <n v="98.3"/>
    <n v="21.003519279999999"/>
    <n v="70.011730940000007"/>
    <n v="0"/>
    <n v="6882.1531519999999"/>
    <n v="6882.1531519999999"/>
    <n v="0.52430555599999995"/>
    <n v="0.52777777800000003"/>
    <n v="0"/>
    <n v="1"/>
    <n v="100"/>
    <n v="7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1"/>
    <s v="Aug"/>
    <s v="13D"/>
    <m/>
    <x v="33"/>
    <x v="0"/>
    <n v="98053"/>
    <x v="3"/>
    <n v="4"/>
    <x v="2"/>
    <n v="8"/>
    <s v="NA"/>
    <n v="232.8"/>
    <n v="13.163664000000001"/>
    <n v="105.30931200000001"/>
    <n v="0"/>
    <n v="24516.007819999999"/>
    <n v="24516.007819999999"/>
    <n v="0.74444444399999998"/>
    <n v="0.74791666700000003"/>
    <n v="0"/>
    <n v="0"/>
    <n v="25"/>
    <n v="8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5D"/>
    <m/>
    <x v="47"/>
    <x v="0"/>
    <n v="11044"/>
    <x v="3"/>
    <n v="4"/>
    <x v="0"/>
    <m/>
    <n v="8"/>
    <n v="88.6"/>
    <n v="4.4121976270000003"/>
    <n v="0"/>
    <n v="708.8"/>
    <n v="0"/>
    <n v="708.8"/>
    <n v="0.53749999999999998"/>
    <n v="0.54097222199999995"/>
    <n v="0"/>
    <n v="2"/>
    <n v="85"/>
    <n v="76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3"/>
    <s v="Aug"/>
    <s v="16D"/>
    <m/>
    <x v="49"/>
    <x v="0"/>
    <n v="95054"/>
    <x v="0"/>
    <n v="4"/>
    <x v="0"/>
    <n v="11.66666667"/>
    <s v="NA"/>
    <n v="109.8"/>
    <n v="16.595373259999999"/>
    <n v="193.61268799999999"/>
    <n v="0"/>
    <n v="21258.673149999999"/>
    <n v="21258.673149999999"/>
    <n v="0.54722222200000004"/>
    <n v="0.55069444400000001"/>
    <n v="0"/>
    <n v="2"/>
    <n v="100"/>
    <n v="76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n v="45533"/>
    <s v="Aug"/>
    <s v="17D"/>
    <m/>
    <x v="27"/>
    <x v="0"/>
    <n v="1005"/>
    <x v="1"/>
    <n v="4"/>
    <x v="2"/>
    <n v="3.6666666669999999"/>
    <s v="NA"/>
    <n v="91.7"/>
    <n v="8.2044997199999994"/>
    <n v="30.083165640000001"/>
    <n v="0"/>
    <n v="2758.6262889999998"/>
    <n v="2758.6262889999998"/>
    <n v="0.60347222199999995"/>
    <n v="0.60694444400000003"/>
    <n v="0"/>
    <n v="2"/>
    <n v="100"/>
    <n v="78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3"/>
    <s v="Aug"/>
    <s v="21D"/>
    <m/>
    <x v="28"/>
    <x v="0"/>
    <s v="20012A"/>
    <x v="2"/>
    <n v="5"/>
    <x v="2"/>
    <m/>
    <n v="5"/>
    <n v="76.900000000000006"/>
    <n v="2.5322529999999999"/>
    <n v="0"/>
    <n v="384.5"/>
    <n v="0"/>
    <n v="384.5"/>
    <n v="0.53125"/>
    <n v="0.53472222199999997"/>
    <n v="0"/>
    <n v="0"/>
    <n v="100"/>
    <n v="7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n v="45531"/>
    <s v="Aug"/>
    <s v="4F"/>
    <m/>
    <x v="15"/>
    <x v="1"/>
    <n v="18022"/>
    <x v="0"/>
    <n v="3"/>
    <x v="3"/>
    <m/>
    <n v="7"/>
    <n v="563.42857140000001"/>
    <n v="9.3348974590000005"/>
    <n v="0"/>
    <n v="3944"/>
    <n v="0"/>
    <n v="3944"/>
    <n v="0.43680555599999998"/>
    <n v="0.44027777800000001"/>
    <n v="0"/>
    <n v="1"/>
    <n v="100"/>
    <n v="8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eat advisory going 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1F225-B7F0-43A7-898C-FCCA02B33E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93">
    <pivotField showAll="0"/>
    <pivotField showAll="0"/>
    <pivotField showAll="0"/>
    <pivotField showAll="0"/>
    <pivotField axis="axisRow" showAll="0">
      <items count="61">
        <item x="24"/>
        <item x="42"/>
        <item x="16"/>
        <item x="37"/>
        <item x="59"/>
        <item x="11"/>
        <item x="22"/>
        <item x="53"/>
        <item x="28"/>
        <item x="9"/>
        <item x="0"/>
        <item x="32"/>
        <item x="20"/>
        <item x="6"/>
        <item x="8"/>
        <item x="48"/>
        <item x="44"/>
        <item x="49"/>
        <item x="15"/>
        <item x="23"/>
        <item x="30"/>
        <item x="17"/>
        <item x="41"/>
        <item x="57"/>
        <item x="50"/>
        <item x="54"/>
        <item x="18"/>
        <item x="55"/>
        <item x="52"/>
        <item x="34"/>
        <item x="14"/>
        <item x="46"/>
        <item x="36"/>
        <item x="10"/>
        <item x="5"/>
        <item x="45"/>
        <item x="40"/>
        <item x="51"/>
        <item x="27"/>
        <item x="56"/>
        <item x="12"/>
        <item x="31"/>
        <item x="19"/>
        <item x="4"/>
        <item x="35"/>
        <item x="25"/>
        <item x="33"/>
        <item x="58"/>
        <item x="1"/>
        <item x="39"/>
        <item x="13"/>
        <item x="2"/>
        <item x="21"/>
        <item x="29"/>
        <item x="47"/>
        <item x="38"/>
        <item x="3"/>
        <item x="7"/>
        <item x="43"/>
        <item x="2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">
        <item x="12"/>
        <item x="4"/>
        <item x="1"/>
        <item x="7"/>
        <item x="6"/>
        <item x="0"/>
        <item x="2"/>
        <item x="3"/>
        <item x="8"/>
        <item x="5"/>
        <item x="10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Count of InsectRichness" fld="2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435F-AA29-4808-B778-39265304AE13}">
  <dimension ref="A1:E60"/>
  <sheetViews>
    <sheetView workbookViewId="0">
      <selection activeCell="B6" sqref="B6"/>
    </sheetView>
  </sheetViews>
  <sheetFormatPr defaultRowHeight="14.5" x14ac:dyDescent="0.35"/>
  <cols>
    <col min="1" max="1" width="23.08984375" bestFit="1" customWidth="1"/>
    <col min="2" max="2" width="13.54296875" bestFit="1" customWidth="1"/>
    <col min="3" max="3" width="20.6328125" bestFit="1" customWidth="1"/>
  </cols>
  <sheetData>
    <row r="1" spans="1:5" s="3" customFormat="1" x14ac:dyDescent="0.35">
      <c r="A1" s="3" t="s">
        <v>328</v>
      </c>
      <c r="B1" s="3" t="s">
        <v>343</v>
      </c>
      <c r="C1" s="3" t="s">
        <v>5</v>
      </c>
      <c r="D1" s="3" t="s">
        <v>329</v>
      </c>
      <c r="E1" s="3" t="s">
        <v>330</v>
      </c>
    </row>
    <row r="2" spans="1:5" x14ac:dyDescent="0.35">
      <c r="A2" t="s">
        <v>175</v>
      </c>
      <c r="B2">
        <v>2</v>
      </c>
      <c r="C2" t="str">
        <f>VLOOKUP($A2,VLookUp!$A$2:$D$65,2,0)</f>
        <v>Hydrangea arborescens</v>
      </c>
      <c r="D2" t="str">
        <f>VLOOKUP($A2,VLookUp!$A$2:$D$65,3,0)</f>
        <v>Mop</v>
      </c>
      <c r="E2" t="str">
        <f>VLOOKUP($A2,VLookUp!$A$2:$D$65,4,0)</f>
        <v>Dense</v>
      </c>
    </row>
    <row r="3" spans="1:5" x14ac:dyDescent="0.35">
      <c r="A3" t="s">
        <v>225</v>
      </c>
      <c r="B3">
        <v>4</v>
      </c>
      <c r="C3" t="str">
        <f>VLOOKUP($A3,VLookUp!$A$2:$D$65,2,0)</f>
        <v>Hydrangea paniculata</v>
      </c>
      <c r="D3" t="str">
        <f>VLOOKUP($A3,VLookUp!$A$2:$D$65,3,0)</f>
        <v>Lacy panicle</v>
      </c>
      <c r="E3" t="str">
        <f>VLOOKUP($A3,VLookUp!$A$2:$D$65,4,0)</f>
        <v>Open</v>
      </c>
    </row>
    <row r="4" spans="1:5" x14ac:dyDescent="0.35">
      <c r="A4" t="s">
        <v>150</v>
      </c>
      <c r="B4">
        <v>3</v>
      </c>
      <c r="C4" t="str">
        <f>VLOOKUP($A4,VLookUp!$A$2:$D$65,2,0)</f>
        <v>Hydrangea arborescens</v>
      </c>
      <c r="D4" t="str">
        <f>VLOOKUP($A4,VLookUp!$A$2:$D$65,3,0)</f>
        <v>Mop</v>
      </c>
      <c r="E4" t="str">
        <f>VLOOKUP($A4,VLookUp!$A$2:$D$65,4,0)</f>
        <v>Half-open</v>
      </c>
    </row>
    <row r="5" spans="1:5" x14ac:dyDescent="0.35">
      <c r="A5" t="s">
        <v>208</v>
      </c>
      <c r="B5">
        <v>2</v>
      </c>
      <c r="C5" t="str">
        <f>VLOOKUP($A5,VLookUp!$A$2:$D$65,2,0)</f>
        <v>Hydrangea paniculata</v>
      </c>
      <c r="D5" t="str">
        <f>VLOOKUP($A5,VLookUp!$A$2:$D$65,3,0)</f>
        <v>Mop-like panicle</v>
      </c>
      <c r="E5" t="str">
        <f>VLOOKUP($A5,VLookUp!$A$2:$D$65,4,0)</f>
        <v>Half-open</v>
      </c>
    </row>
    <row r="6" spans="1:5" x14ac:dyDescent="0.35">
      <c r="A6" t="s">
        <v>321</v>
      </c>
      <c r="B6">
        <v>1</v>
      </c>
      <c r="C6" t="str">
        <f>VLOOKUP($A6,VLookUp!$A$2:$D$65,2,0)</f>
        <v>Hydrangea paniculata</v>
      </c>
      <c r="D6" t="str">
        <f>VLOOKUP($A6,VLookUp!$A$2:$D$65,3,0)</f>
        <v>Lacy panicle</v>
      </c>
      <c r="E6" t="str">
        <f>VLOOKUP($A6,VLookUp!$A$2:$D$65,4,0)</f>
        <v>Dense</v>
      </c>
    </row>
    <row r="7" spans="1:5" x14ac:dyDescent="0.35">
      <c r="A7" t="s">
        <v>137</v>
      </c>
      <c r="B7">
        <v>5</v>
      </c>
      <c r="C7" t="str">
        <f>VLOOKUP($A7,VLookUp!$A$2:$D$65,2,0)</f>
        <v>Hydrangea paniculata</v>
      </c>
      <c r="D7" t="str">
        <f>VLOOKUP($A7,VLookUp!$A$2:$D$65,3,0)</f>
        <v>Mop-like panicle</v>
      </c>
      <c r="E7" t="str">
        <f>VLOOKUP($A7,VLookUp!$A$2:$D$65,4,0)</f>
        <v>Half-open</v>
      </c>
    </row>
    <row r="8" spans="1:5" x14ac:dyDescent="0.35">
      <c r="A8" t="s">
        <v>171</v>
      </c>
      <c r="B8">
        <v>3</v>
      </c>
      <c r="C8" t="str">
        <f>VLOOKUP($A8,VLookUp!$A$2:$D$65,2,0)</f>
        <v>Hydrangea arborescens</v>
      </c>
      <c r="D8" t="str">
        <f>VLOOKUP($A8,VLookUp!$A$2:$D$65,3,0)</f>
        <v>Mop</v>
      </c>
      <c r="E8" t="str">
        <f>VLOOKUP($A8,VLookUp!$A$2:$D$65,4,0)</f>
        <v>Half-open</v>
      </c>
    </row>
    <row r="9" spans="1:5" x14ac:dyDescent="0.35">
      <c r="A9" t="s">
        <v>267</v>
      </c>
      <c r="B9">
        <v>5</v>
      </c>
      <c r="C9" t="str">
        <f>VLOOKUP($A9,VLookUp!$A$2:$D$65,2,0)</f>
        <v>Hydrangea paniculata</v>
      </c>
      <c r="D9" t="str">
        <f>VLOOKUP($A9,VLookUp!$A$2:$D$65,3,0)</f>
        <v>Lacy panicle</v>
      </c>
      <c r="E9" t="str">
        <f>VLOOKUP($A9,VLookUp!$A$2:$D$65,4,0)</f>
        <v>Open</v>
      </c>
    </row>
    <row r="10" spans="1:5" x14ac:dyDescent="0.35">
      <c r="A10" t="s">
        <v>182</v>
      </c>
      <c r="B10">
        <v>8</v>
      </c>
      <c r="C10" t="str">
        <f>VLOOKUP($A10,VLookUp!$A$2:$D$65,2,0)</f>
        <v>Hydrangea paniculata</v>
      </c>
      <c r="D10" t="str">
        <f>VLOOKUP($A10,VLookUp!$A$2:$D$65,3,0)</f>
        <v>Mop-like panicle</v>
      </c>
      <c r="E10" t="str">
        <f>VLOOKUP($A10,VLookUp!$A$2:$D$65,4,0)</f>
        <v>Dense</v>
      </c>
    </row>
    <row r="11" spans="1:5" x14ac:dyDescent="0.35">
      <c r="A11" t="s">
        <v>127</v>
      </c>
      <c r="B11">
        <v>4</v>
      </c>
      <c r="C11" t="str">
        <f>VLOOKUP($A11,VLookUp!$A$2:$D$65,2,0)</f>
        <v>Hydrangea paniculata</v>
      </c>
      <c r="D11" t="str">
        <f>VLOOKUP($A11,VLookUp!$A$2:$D$65,3,0)</f>
        <v>Mop-like panicle</v>
      </c>
      <c r="E11" t="str">
        <f>VLOOKUP($A11,VLookUp!$A$2:$D$65,4,0)</f>
        <v>Half-open</v>
      </c>
    </row>
    <row r="12" spans="1:5" x14ac:dyDescent="0.35">
      <c r="A12" t="s">
        <v>96</v>
      </c>
      <c r="B12">
        <v>8</v>
      </c>
      <c r="C12" t="str">
        <f>VLOOKUP($A12,VLookUp!$A$2:$D$65,2,0)</f>
        <v>Hydrangea paniculata</v>
      </c>
      <c r="D12" t="str">
        <f>VLOOKUP($A12,VLookUp!$A$2:$D$65,3,0)</f>
        <v>Lacy panicle</v>
      </c>
      <c r="E12" t="str">
        <f>VLOOKUP($A12,VLookUp!$A$2:$D$65,4,0)</f>
        <v>Open</v>
      </c>
    </row>
    <row r="13" spans="1:5" x14ac:dyDescent="0.35">
      <c r="A13" t="s">
        <v>195</v>
      </c>
      <c r="B13">
        <v>3</v>
      </c>
      <c r="C13" t="str">
        <f>VLOOKUP($A13,VLookUp!$A$2:$D$65,2,0)</f>
        <v>Hydrangea paniculata</v>
      </c>
      <c r="D13" t="str">
        <f>VLOOKUP($A13,VLookUp!$A$2:$D$65,3,0)</f>
        <v>Lacy panicle</v>
      </c>
      <c r="E13" t="str">
        <f>VLOOKUP($A13,VLookUp!$A$2:$D$65,4,0)</f>
        <v>Dense</v>
      </c>
    </row>
    <row r="14" spans="1:5" x14ac:dyDescent="0.35">
      <c r="A14" t="s">
        <v>163</v>
      </c>
      <c r="B14">
        <v>4</v>
      </c>
      <c r="C14" t="str">
        <f>VLOOKUP($A14,VLookUp!$A$2:$D$65,2,0)</f>
        <v>Hydrangea paniculata</v>
      </c>
      <c r="D14" t="str">
        <f>VLOOKUP($A14,VLookUp!$A$2:$D$65,3,0)</f>
        <v>Lacy panicle</v>
      </c>
      <c r="E14" t="str">
        <f>VLOOKUP($A14,VLookUp!$A$2:$D$65,4,0)</f>
        <v>Dense</v>
      </c>
    </row>
    <row r="15" spans="1:5" x14ac:dyDescent="0.35">
      <c r="A15" t="s">
        <v>120</v>
      </c>
      <c r="B15">
        <v>3</v>
      </c>
      <c r="C15" t="str">
        <f>VLOOKUP($A15,VLookUp!$A$2:$D$65,2,0)</f>
        <v>Hydrangea paniculata</v>
      </c>
      <c r="D15" t="str">
        <f>VLOOKUP($A15,VLookUp!$A$2:$D$65,3,0)</f>
        <v>Lacy panicle</v>
      </c>
      <c r="E15" t="str">
        <f>VLOOKUP($A15,VLookUp!$A$2:$D$65,4,0)</f>
        <v>Open</v>
      </c>
    </row>
    <row r="16" spans="1:5" x14ac:dyDescent="0.35">
      <c r="A16" t="s">
        <v>125</v>
      </c>
      <c r="B16">
        <v>15</v>
      </c>
      <c r="C16" t="str">
        <f>VLOOKUP($A16,VLookUp!$A$2:$D$65,2,0)</f>
        <v>Hydrangea paniculata</v>
      </c>
      <c r="D16" t="str">
        <f>VLOOKUP($A16,VLookUp!$A$2:$D$65,3,0)</f>
        <v>Mop-like panicle</v>
      </c>
      <c r="E16" t="str">
        <f>VLOOKUP($A16,VLookUp!$A$2:$D$65,4,0)</f>
        <v>Dense</v>
      </c>
    </row>
    <row r="17" spans="1:5" x14ac:dyDescent="0.35">
      <c r="A17" t="s">
        <v>247</v>
      </c>
      <c r="B17">
        <v>4</v>
      </c>
      <c r="C17" t="str">
        <f>VLOOKUP($A17,VLookUp!$A$2:$D$65,2,0)</f>
        <v>Hydrangea paniculata</v>
      </c>
      <c r="D17" t="str">
        <f>VLOOKUP($A17,VLookUp!$A$2:$D$65,3,0)</f>
        <v>Lacy panicle</v>
      </c>
      <c r="E17" t="str">
        <f>VLOOKUP($A17,VLookUp!$A$2:$D$65,4,0)</f>
        <v>Open</v>
      </c>
    </row>
    <row r="18" spans="1:5" x14ac:dyDescent="0.35">
      <c r="A18" t="s">
        <v>233</v>
      </c>
      <c r="B18">
        <v>7</v>
      </c>
      <c r="C18" t="str">
        <f>VLOOKUP($A18,VLookUp!$A$2:$D$65,2,0)</f>
        <v>Hydrangea paniculata</v>
      </c>
      <c r="D18" t="str">
        <f>VLOOKUP($A18,VLookUp!$A$2:$D$65,3,0)</f>
        <v>Lacy panicle</v>
      </c>
      <c r="E18" t="str">
        <f>VLOOKUP($A18,VLookUp!$A$2:$D$65,4,0)</f>
        <v>Very dense</v>
      </c>
    </row>
    <row r="19" spans="1:5" x14ac:dyDescent="0.35">
      <c r="A19" t="s">
        <v>255</v>
      </c>
      <c r="B19">
        <v>4</v>
      </c>
      <c r="C19" t="str">
        <f>VLOOKUP($A19,VLookUp!$A$2:$D$65,2,0)</f>
        <v>Hydrangea paniculata</v>
      </c>
      <c r="D19" t="str">
        <f>VLOOKUP($A19,VLookUp!$A$2:$D$65,3,0)</f>
        <v>Lacy panicle</v>
      </c>
      <c r="E19" t="str">
        <f>VLOOKUP($A19,VLookUp!$A$2:$D$65,4,0)</f>
        <v>Open</v>
      </c>
    </row>
    <row r="20" spans="1:5" x14ac:dyDescent="0.35">
      <c r="A20" t="s">
        <v>148</v>
      </c>
      <c r="B20">
        <v>7</v>
      </c>
      <c r="C20" t="str">
        <f>VLOOKUP($A20,VLookUp!$A$2:$D$65,2,0)</f>
        <v>Hydrangea arborescens</v>
      </c>
      <c r="D20" t="str">
        <f>VLOOKUP($A20,VLookUp!$A$2:$D$65,3,0)</f>
        <v>Lacy</v>
      </c>
      <c r="E20" t="str">
        <f>VLOOKUP($A20,VLookUp!$A$2:$D$65,4,0)</f>
        <v>Open</v>
      </c>
    </row>
    <row r="21" spans="1:5" x14ac:dyDescent="0.35">
      <c r="A21" t="s">
        <v>173</v>
      </c>
      <c r="B21">
        <v>1</v>
      </c>
      <c r="C21" t="str">
        <f>VLOOKUP($A21,VLookUp!$A$2:$D$65,2,0)</f>
        <v>Hydrangea arborescens</v>
      </c>
      <c r="D21" t="str">
        <f>VLOOKUP($A21,VLookUp!$A$2:$D$65,3,0)</f>
        <v>Mop</v>
      </c>
      <c r="E21" t="str">
        <f>VLOOKUP($A21,VLookUp!$A$2:$D$65,4,0)</f>
        <v>Very dense</v>
      </c>
    </row>
    <row r="22" spans="1:5" x14ac:dyDescent="0.35">
      <c r="A22" t="s">
        <v>188</v>
      </c>
      <c r="B22">
        <v>4</v>
      </c>
      <c r="C22" t="str">
        <f>VLOOKUP($A22,VLookUp!$A$2:$D$65,2,0)</f>
        <v>Hydrangea paniculata</v>
      </c>
      <c r="D22" t="str">
        <f>VLOOKUP($A22,VLookUp!$A$2:$D$65,3,0)</f>
        <v>Lacy panicle</v>
      </c>
      <c r="E22" t="str">
        <f>VLOOKUP($A22,VLookUp!$A$2:$D$65,4,0)</f>
        <v>Open</v>
      </c>
    </row>
    <row r="23" spans="1:5" x14ac:dyDescent="0.35">
      <c r="A23" t="s">
        <v>155</v>
      </c>
      <c r="B23">
        <v>8</v>
      </c>
      <c r="C23" t="str">
        <f>VLOOKUP($A23,VLookUp!$A$2:$D$65,2,0)</f>
        <v>Hydrangea arborescens</v>
      </c>
      <c r="D23" t="str">
        <f>VLOOKUP($A23,VLookUp!$A$2:$D$65,3,0)</f>
        <v>Mop</v>
      </c>
      <c r="E23" t="str">
        <f>VLOOKUP($A23,VLookUp!$A$2:$D$65,4,0)</f>
        <v>Dense</v>
      </c>
    </row>
    <row r="24" spans="1:5" x14ac:dyDescent="0.35">
      <c r="A24" t="s">
        <v>341</v>
      </c>
      <c r="B24">
        <v>2</v>
      </c>
      <c r="C24" t="str">
        <f>VLOOKUP($A24,VLookUp!$A$2:$D$65,2,0)</f>
        <v>Hydrangea arborescens</v>
      </c>
      <c r="D24" t="str">
        <f>VLOOKUP($A24,VLookUp!$A$2:$D$65,3,0)</f>
        <v>Mop</v>
      </c>
      <c r="E24" t="str">
        <f>VLOOKUP($A24,VLookUp!$A$2:$D$65,4,0)</f>
        <v>Very dense</v>
      </c>
    </row>
    <row r="25" spans="1:5" x14ac:dyDescent="0.35">
      <c r="A25" t="s">
        <v>300</v>
      </c>
      <c r="B25">
        <v>1</v>
      </c>
      <c r="C25" t="str">
        <f>VLOOKUP($A25,VLookUp!$A$2:$D$65,2,0)</f>
        <v>Hydrangea arborescens</v>
      </c>
      <c r="D25" t="str">
        <f>VLOOKUP($A25,VLookUp!$A$2:$D$65,3,0)</f>
        <v>Mop</v>
      </c>
      <c r="E25" t="str">
        <f>VLOOKUP($A25,VLookUp!$A$2:$D$65,4,0)</f>
        <v>Dense</v>
      </c>
    </row>
    <row r="26" spans="1:5" x14ac:dyDescent="0.35">
      <c r="A26" t="s">
        <v>335</v>
      </c>
      <c r="B26">
        <v>5</v>
      </c>
      <c r="C26" t="str">
        <f>VLOOKUP($A26,VLookUp!$A$2:$D$65,2,0)</f>
        <v>Hydrangea arborescens</v>
      </c>
      <c r="D26" t="str">
        <f>VLOOKUP($A26,VLookUp!$A$2:$D$65,3,0)</f>
        <v>Mop</v>
      </c>
      <c r="E26" t="str">
        <f>VLOOKUP($A26,VLookUp!$A$2:$D$65,4,0)</f>
        <v>Dense</v>
      </c>
    </row>
    <row r="27" spans="1:5" x14ac:dyDescent="0.35">
      <c r="A27" t="s">
        <v>284</v>
      </c>
      <c r="B27">
        <v>1</v>
      </c>
      <c r="C27" t="str">
        <f>VLOOKUP($A27,VLookUp!$A$2:$D$65,2,0)</f>
        <v>Hydrangea arborescens</v>
      </c>
      <c r="D27" t="str">
        <f>VLOOKUP($A27,VLookUp!$A$2:$D$65,3,0)</f>
        <v>Mop</v>
      </c>
      <c r="E27" t="str">
        <f>VLOOKUP($A27,VLookUp!$A$2:$D$65,4,0)</f>
        <v>Dense</v>
      </c>
    </row>
    <row r="28" spans="1:5" x14ac:dyDescent="0.35">
      <c r="A28" t="s">
        <v>157</v>
      </c>
      <c r="B28">
        <v>5</v>
      </c>
      <c r="C28" t="str">
        <f>VLOOKUP($A28,VLookUp!$A$2:$D$65,2,0)</f>
        <v>Hydrangea paniculata</v>
      </c>
      <c r="D28" t="str">
        <f>VLOOKUP($A28,VLookUp!$A$2:$D$65,3,0)</f>
        <v>Lacy panicle</v>
      </c>
      <c r="E28" t="str">
        <f>VLOOKUP($A28,VLookUp!$A$2:$D$65,4,0)</f>
        <v>Open</v>
      </c>
    </row>
    <row r="29" spans="1:5" x14ac:dyDescent="0.35">
      <c r="A29" t="s">
        <v>290</v>
      </c>
      <c r="B29">
        <v>3</v>
      </c>
      <c r="C29" t="str">
        <f>VLOOKUP($A29,VLookUp!$A$2:$D$65,2,0)</f>
        <v>Hydrangea arborescens</v>
      </c>
      <c r="D29" t="str">
        <f>VLOOKUP($A29,VLookUp!$A$2:$D$65,3,0)</f>
        <v>Mop</v>
      </c>
      <c r="E29" t="str">
        <f>VLOOKUP($A29,VLookUp!$A$2:$D$65,4,0)</f>
        <v>Half-open</v>
      </c>
    </row>
    <row r="30" spans="1:5" x14ac:dyDescent="0.35">
      <c r="A30" t="s">
        <v>265</v>
      </c>
      <c r="B30">
        <v>6</v>
      </c>
      <c r="C30" t="str">
        <f>VLOOKUP($A30,VLookUp!$A$2:$D$65,2,0)</f>
        <v>Hydrangea paniculata</v>
      </c>
      <c r="D30" t="str">
        <f>VLOOKUP($A30,VLookUp!$A$2:$D$65,3,0)</f>
        <v>Mop-like panicle</v>
      </c>
      <c r="E30" t="str">
        <f>VLOOKUP($A30,VLookUp!$A$2:$D$65,4,0)</f>
        <v>Very dense</v>
      </c>
    </row>
    <row r="31" spans="1:5" x14ac:dyDescent="0.35">
      <c r="A31" t="s">
        <v>200</v>
      </c>
      <c r="B31">
        <v>4</v>
      </c>
      <c r="C31" t="str">
        <f>VLOOKUP($A31,VLookUp!$A$2:$D$65,2,0)</f>
        <v>Hydrangea paniculata</v>
      </c>
      <c r="D31" t="str">
        <f>VLOOKUP($A31,VLookUp!$A$2:$D$65,3,0)</f>
        <v>Mop-like panicle</v>
      </c>
      <c r="E31" t="str">
        <f>VLOOKUP($A31,VLookUp!$A$2:$D$65,4,0)</f>
        <v>Half-open</v>
      </c>
    </row>
    <row r="32" spans="1:5" x14ac:dyDescent="0.35">
      <c r="A32" t="s">
        <v>146</v>
      </c>
      <c r="B32">
        <v>4</v>
      </c>
      <c r="C32" t="str">
        <f>VLOOKUP($A32,VLookUp!$A$2:$D$65,2,0)</f>
        <v>Hydrangea paniculata</v>
      </c>
      <c r="D32" t="str">
        <f>VLOOKUP($A32,VLookUp!$A$2:$D$65,3,0)</f>
        <v>Mop-like panicle</v>
      </c>
      <c r="E32" t="str">
        <f>VLOOKUP($A32,VLookUp!$A$2:$D$65,4,0)</f>
        <v>Very dense</v>
      </c>
    </row>
    <row r="33" spans="1:5" x14ac:dyDescent="0.35">
      <c r="A33" t="s">
        <v>238</v>
      </c>
      <c r="B33">
        <v>5</v>
      </c>
      <c r="C33" t="str">
        <f>VLOOKUP($A33,VLookUp!$A$2:$D$65,2,0)</f>
        <v>Hydrangea paniculata</v>
      </c>
      <c r="D33" t="str">
        <f>VLOOKUP($A33,VLookUp!$A$2:$D$65,3,0)</f>
        <v>Mop-like panicle</v>
      </c>
      <c r="E33" t="str">
        <f>VLOOKUP($A33,VLookUp!$A$2:$D$65,4,0)</f>
        <v>Very dense</v>
      </c>
    </row>
    <row r="34" spans="1:5" x14ac:dyDescent="0.35">
      <c r="A34" t="s">
        <v>206</v>
      </c>
      <c r="B34">
        <v>2</v>
      </c>
      <c r="C34" t="str">
        <f>VLOOKUP($A34,VLookUp!$A$2:$D$65,2,0)</f>
        <v>Hydrangea paniculata</v>
      </c>
      <c r="D34" t="str">
        <f>VLOOKUP($A34,VLookUp!$A$2:$D$65,3,0)</f>
        <v>Mop-like panicle</v>
      </c>
      <c r="E34" t="str">
        <f>VLOOKUP($A34,VLookUp!$A$2:$D$65,4,0)</f>
        <v>Half-open</v>
      </c>
    </row>
    <row r="35" spans="1:5" x14ac:dyDescent="0.35">
      <c r="A35" t="s">
        <v>129</v>
      </c>
      <c r="B35">
        <v>6</v>
      </c>
      <c r="C35" t="str">
        <f>VLOOKUP($A35,VLookUp!$A$2:$D$65,2,0)</f>
        <v>Hydrangea paniculata</v>
      </c>
      <c r="D35" t="str">
        <f>VLOOKUP($A35,VLookUp!$A$2:$D$65,3,0)</f>
        <v>Lacy panicle</v>
      </c>
      <c r="E35" t="str">
        <f>VLOOKUP($A35,VLookUp!$A$2:$D$65,4,0)</f>
        <v>Open</v>
      </c>
    </row>
    <row r="36" spans="1:5" x14ac:dyDescent="0.35">
      <c r="A36" t="s">
        <v>118</v>
      </c>
      <c r="B36">
        <v>8</v>
      </c>
      <c r="C36" t="str">
        <f>VLOOKUP($A36,VLookUp!$A$2:$D$65,2,0)</f>
        <v>Hydrangea paniculata</v>
      </c>
      <c r="D36" t="str">
        <f>VLOOKUP($A36,VLookUp!$A$2:$D$65,3,0)</f>
        <v>Mop-like panicle</v>
      </c>
      <c r="E36" t="str">
        <f>VLOOKUP($A36,VLookUp!$A$2:$D$65,4,0)</f>
        <v>Dense</v>
      </c>
    </row>
    <row r="37" spans="1:5" x14ac:dyDescent="0.35">
      <c r="A37" t="s">
        <v>235</v>
      </c>
      <c r="B37">
        <v>8</v>
      </c>
      <c r="C37" t="str">
        <f>VLOOKUP($A37,VLookUp!$A$2:$D$65,2,0)</f>
        <v>Hydrangea paniculata</v>
      </c>
      <c r="D37" t="str">
        <f>VLOOKUP($A37,VLookUp!$A$2:$D$65,3,0)</f>
        <v>Mop-like panicle</v>
      </c>
      <c r="E37" t="str">
        <f>VLOOKUP($A37,VLookUp!$A$2:$D$65,4,0)</f>
        <v>Half-open</v>
      </c>
    </row>
    <row r="38" spans="1:5" x14ac:dyDescent="0.35">
      <c r="A38" t="s">
        <v>220</v>
      </c>
      <c r="B38">
        <v>2</v>
      </c>
      <c r="C38" t="str">
        <f>VLOOKUP($A38,VLookUp!$A$2:$D$65,2,0)</f>
        <v>Hydrangea paniculata</v>
      </c>
      <c r="D38" t="str">
        <f>VLOOKUP($A38,VLookUp!$A$2:$D$65,3,0)</f>
        <v>Mop-like panicle</v>
      </c>
      <c r="E38" t="str">
        <f>VLOOKUP($A38,VLookUp!$A$2:$D$65,4,0)</f>
        <v>Very dense</v>
      </c>
    </row>
    <row r="39" spans="1:5" x14ac:dyDescent="0.35">
      <c r="A39" t="s">
        <v>263</v>
      </c>
      <c r="B39">
        <v>4</v>
      </c>
      <c r="C39" t="str">
        <f>VLOOKUP($A39,VLookUp!$A$2:$D$65,2,0)</f>
        <v>Hydrangea paniculata</v>
      </c>
      <c r="D39" t="str">
        <f>VLOOKUP($A39,VLookUp!$A$2:$D$65,3,0)</f>
        <v>Lacy panicle</v>
      </c>
      <c r="E39" t="str">
        <f>VLOOKUP($A39,VLookUp!$A$2:$D$65,4,0)</f>
        <v>Half-open</v>
      </c>
    </row>
    <row r="40" spans="1:5" x14ac:dyDescent="0.35">
      <c r="A40" t="s">
        <v>180</v>
      </c>
      <c r="B40">
        <v>6</v>
      </c>
      <c r="C40" t="str">
        <f>VLOOKUP($A40,VLookUp!$A$2:$D$65,2,0)</f>
        <v>Hydrangea paniculata</v>
      </c>
      <c r="D40" t="str">
        <f>VLOOKUP($A40,VLookUp!$A$2:$D$65,3,0)</f>
        <v>Mop-like panicle</v>
      </c>
      <c r="E40" t="str">
        <f>VLOOKUP($A40,VLookUp!$A$2:$D$65,4,0)</f>
        <v>Dense</v>
      </c>
    </row>
    <row r="41" spans="1:5" x14ac:dyDescent="0.35">
      <c r="A41" t="s">
        <v>292</v>
      </c>
      <c r="B41">
        <v>2</v>
      </c>
      <c r="C41" t="str">
        <f>VLOOKUP($A41,VLookUp!$A$2:$D$65,2,0)</f>
        <v>Hydrangea arborescens</v>
      </c>
      <c r="D41" t="str">
        <f>VLOOKUP($A41,VLookUp!$A$2:$D$65,3,0)</f>
        <v>Lacy</v>
      </c>
      <c r="E41" t="str">
        <f>VLOOKUP($A41,VLookUp!$A$2:$D$65,4,0)</f>
        <v>Half-open</v>
      </c>
    </row>
    <row r="42" spans="1:5" x14ac:dyDescent="0.35">
      <c r="A42" t="s">
        <v>140</v>
      </c>
      <c r="B42">
        <v>9</v>
      </c>
      <c r="C42" t="str">
        <f>VLOOKUP($A42,VLookUp!$A$2:$D$65,2,0)</f>
        <v>Hydrangea paniculata</v>
      </c>
      <c r="D42" t="str">
        <f>VLOOKUP($A42,VLookUp!$A$2:$D$65,3,0)</f>
        <v>Lacy panicle</v>
      </c>
      <c r="E42" t="str">
        <f>VLOOKUP($A42,VLookUp!$A$2:$D$65,4,0)</f>
        <v>Half-open</v>
      </c>
    </row>
    <row r="43" spans="1:5" x14ac:dyDescent="0.35">
      <c r="A43" t="s">
        <v>192</v>
      </c>
      <c r="B43">
        <v>4</v>
      </c>
      <c r="C43" t="str">
        <f>VLOOKUP($A43,VLookUp!$A$2:$D$65,2,0)</f>
        <v>Hydrangea paniculata</v>
      </c>
      <c r="D43" t="str">
        <f>VLOOKUP($A43,VLookUp!$A$2:$D$65,3,0)</f>
        <v>Mop-like panicle</v>
      </c>
      <c r="E43" t="str">
        <f>VLOOKUP($A43,VLookUp!$A$2:$D$65,4,0)</f>
        <v>Very dense</v>
      </c>
    </row>
    <row r="44" spans="1:5" x14ac:dyDescent="0.35">
      <c r="A44" t="s">
        <v>159</v>
      </c>
      <c r="B44">
        <v>5</v>
      </c>
      <c r="C44" t="str">
        <f>VLOOKUP($A44,VLookUp!$A$2:$D$65,2,0)</f>
        <v>Hydrangea paniculata</v>
      </c>
      <c r="D44" t="str">
        <f>VLOOKUP($A44,VLookUp!$A$2:$D$65,3,0)</f>
        <v>Mop-like panicle</v>
      </c>
      <c r="E44" t="str">
        <f>VLOOKUP($A44,VLookUp!$A$2:$D$65,4,0)</f>
        <v>Half-open</v>
      </c>
    </row>
    <row r="45" spans="1:5" x14ac:dyDescent="0.35">
      <c r="A45" t="s">
        <v>116</v>
      </c>
      <c r="B45">
        <v>9</v>
      </c>
      <c r="C45" t="str">
        <f>VLOOKUP($A45,VLookUp!$A$2:$D$65,2,0)</f>
        <v>Hydrangea paniculata</v>
      </c>
      <c r="D45" t="str">
        <f>VLOOKUP($A45,VLookUp!$A$2:$D$65,3,0)</f>
        <v>Lacy panicle</v>
      </c>
      <c r="E45" t="str">
        <f>VLOOKUP($A45,VLookUp!$A$2:$D$65,4,0)</f>
        <v>Open</v>
      </c>
    </row>
    <row r="46" spans="1:5" x14ac:dyDescent="0.35">
      <c r="A46" t="s">
        <v>202</v>
      </c>
      <c r="B46">
        <v>3</v>
      </c>
      <c r="C46" t="str">
        <f>VLOOKUP($A46,VLookUp!$A$2:$D$65,2,0)</f>
        <v>Hydrangea paniculata</v>
      </c>
      <c r="D46" t="str">
        <f>VLOOKUP($A46,VLookUp!$A$2:$D$65,3,0)</f>
        <v>Mop-like panicle</v>
      </c>
      <c r="E46" t="str">
        <f>VLOOKUP($A46,VLookUp!$A$2:$D$65,4,0)</f>
        <v>Dense</v>
      </c>
    </row>
    <row r="47" spans="1:5" x14ac:dyDescent="0.35">
      <c r="A47" t="s">
        <v>177</v>
      </c>
      <c r="B47">
        <v>2</v>
      </c>
      <c r="C47" t="str">
        <f>VLOOKUP($A47,VLookUp!$A$2:$D$65,2,0)</f>
        <v>Hydrangea arborescens</v>
      </c>
      <c r="D47" t="str">
        <f>VLOOKUP($A47,VLookUp!$A$2:$D$65,3,0)</f>
        <v>Lacy</v>
      </c>
      <c r="E47" t="str">
        <f>VLOOKUP($A47,VLookUp!$A$2:$D$65,4,0)</f>
        <v>Half-open</v>
      </c>
    </row>
    <row r="48" spans="1:5" x14ac:dyDescent="0.35">
      <c r="A48" t="s">
        <v>198</v>
      </c>
      <c r="B48">
        <v>6</v>
      </c>
      <c r="C48" t="str">
        <f>VLOOKUP($A48,VLookUp!$A$2:$D$65,2,0)</f>
        <v>Hydrangea paniculata</v>
      </c>
      <c r="D48" t="str">
        <f>VLOOKUP($A48,VLookUp!$A$2:$D$65,3,0)</f>
        <v>Mop-like panicle</v>
      </c>
      <c r="E48" t="str">
        <f>VLOOKUP($A48,VLookUp!$A$2:$D$65,4,0)</f>
        <v>Half-open</v>
      </c>
    </row>
    <row r="49" spans="1:5" x14ac:dyDescent="0.35">
      <c r="A49" t="s">
        <v>303</v>
      </c>
      <c r="B49">
        <v>1</v>
      </c>
      <c r="C49" t="str">
        <f>VLOOKUP($A49,VLookUp!$A$2:$D$65,2,0)</f>
        <v>Hydrangea arborescens</v>
      </c>
      <c r="D49" t="str">
        <f>VLOOKUP($A49,VLookUp!$A$2:$D$65,3,0)</f>
        <v>Mop</v>
      </c>
      <c r="E49" t="str">
        <f>VLOOKUP($A49,VLookUp!$A$2:$D$65,4,0)</f>
        <v>Dense</v>
      </c>
    </row>
    <row r="50" spans="1:5" x14ac:dyDescent="0.35">
      <c r="A50" t="s">
        <v>337</v>
      </c>
      <c r="B50">
        <v>4</v>
      </c>
      <c r="C50" t="str">
        <f>VLOOKUP($A50,VLookUp!$A$2:$D$65,2,0)</f>
        <v>Hydrangea arborescens</v>
      </c>
      <c r="D50" t="str">
        <f>VLOOKUP($A50,VLookUp!$A$2:$D$65,3,0)</f>
        <v>Mop</v>
      </c>
      <c r="E50" t="str">
        <f>VLOOKUP($A50,VLookUp!$A$2:$D$65,4,0)</f>
        <v>Dense</v>
      </c>
    </row>
    <row r="51" spans="1:5" x14ac:dyDescent="0.35">
      <c r="A51" t="s">
        <v>216</v>
      </c>
      <c r="B51">
        <v>3</v>
      </c>
      <c r="C51" t="str">
        <f>VLOOKUP($A51,VLookUp!$A$2:$D$65,2,0)</f>
        <v>Hydrangea paniculata</v>
      </c>
      <c r="D51" t="str">
        <f>VLOOKUP($A51,VLookUp!$A$2:$D$65,3,0)</f>
        <v>Mop-like panicle</v>
      </c>
      <c r="E51" t="str">
        <f>VLOOKUP($A51,VLookUp!$A$2:$D$65,4,0)</f>
        <v>Dense</v>
      </c>
    </row>
    <row r="52" spans="1:5" x14ac:dyDescent="0.35">
      <c r="A52" t="s">
        <v>142</v>
      </c>
      <c r="B52">
        <v>6</v>
      </c>
      <c r="C52" t="str">
        <f>VLOOKUP($A52,VLookUp!$A$2:$D$65,2,0)</f>
        <v>Hydrangea arborescens</v>
      </c>
      <c r="D52" t="str">
        <f>VLOOKUP($A52,VLookUp!$A$2:$D$65,3,0)</f>
        <v>Lacy</v>
      </c>
      <c r="E52" t="str">
        <f>VLOOKUP($A52,VLookUp!$A$2:$D$65,4,0)</f>
        <v>Open</v>
      </c>
    </row>
    <row r="53" spans="1:5" x14ac:dyDescent="0.35">
      <c r="A53" t="s">
        <v>108</v>
      </c>
      <c r="B53">
        <v>9</v>
      </c>
      <c r="C53" t="str">
        <f>VLOOKUP($A53,VLookUp!$A$2:$D$65,2,0)</f>
        <v>Hydrangea paniculata</v>
      </c>
      <c r="D53" t="str">
        <f>VLOOKUP($A53,VLookUp!$A$2:$D$65,3,0)</f>
        <v>Mop-like panicle</v>
      </c>
      <c r="E53" t="str">
        <f>VLOOKUP($A53,VLookUp!$A$2:$D$65,4,0)</f>
        <v>Very dense</v>
      </c>
    </row>
    <row r="54" spans="1:5" x14ac:dyDescent="0.35">
      <c r="A54" t="s">
        <v>167</v>
      </c>
      <c r="B54">
        <v>11</v>
      </c>
      <c r="C54" t="str">
        <f>VLOOKUP($A54,VLookUp!$A$2:$D$65,2,0)</f>
        <v>Hydrangea paniculata</v>
      </c>
      <c r="D54" t="str">
        <f>VLOOKUP($A54,VLookUp!$A$2:$D$65,3,0)</f>
        <v>Mop-like panicle</v>
      </c>
      <c r="E54" t="str">
        <f>VLOOKUP($A54,VLookUp!$A$2:$D$65,4,0)</f>
        <v>Open</v>
      </c>
    </row>
    <row r="55" spans="1:5" x14ac:dyDescent="0.35">
      <c r="A55" t="s">
        <v>186</v>
      </c>
      <c r="B55">
        <v>4</v>
      </c>
      <c r="C55" t="str">
        <f>VLOOKUP($A55,VLookUp!$A$2:$D$65,2,0)</f>
        <v>Hydrangea paniculata</v>
      </c>
      <c r="D55" t="str">
        <f>VLOOKUP($A55,VLookUp!$A$2:$D$65,3,0)</f>
        <v>Mop-like panicle</v>
      </c>
      <c r="E55" t="str">
        <f>VLOOKUP($A55,VLookUp!$A$2:$D$65,4,0)</f>
        <v>Dense</v>
      </c>
    </row>
    <row r="56" spans="1:5" x14ac:dyDescent="0.35">
      <c r="A56" t="s">
        <v>242</v>
      </c>
      <c r="B56">
        <v>8</v>
      </c>
      <c r="C56" t="str">
        <f>VLOOKUP($A56,VLookUp!$A$2:$D$65,2,0)</f>
        <v>Hydrangea paniculata</v>
      </c>
      <c r="D56" t="str">
        <f>VLOOKUP($A56,VLookUp!$A$2:$D$65,3,0)</f>
        <v>Lacy panicle</v>
      </c>
      <c r="E56" t="str">
        <f>VLOOKUP($A56,VLookUp!$A$2:$D$65,4,0)</f>
        <v>Half-open</v>
      </c>
    </row>
    <row r="57" spans="1:5" x14ac:dyDescent="0.35">
      <c r="A57" t="s">
        <v>213</v>
      </c>
      <c r="B57">
        <v>8</v>
      </c>
      <c r="C57" t="str">
        <f>VLOOKUP($A57,VLookUp!$A$2:$D$65,2,0)</f>
        <v>Hydrangea paniculata</v>
      </c>
      <c r="D57" t="str">
        <f>VLOOKUP($A57,VLookUp!$A$2:$D$65,3,0)</f>
        <v>Mop-like panicle</v>
      </c>
      <c r="E57" t="str">
        <f>VLOOKUP($A57,VLookUp!$A$2:$D$65,4,0)</f>
        <v>Dense</v>
      </c>
    </row>
    <row r="58" spans="1:5" x14ac:dyDescent="0.35">
      <c r="A58" t="s">
        <v>113</v>
      </c>
      <c r="B58">
        <v>7</v>
      </c>
      <c r="C58" t="str">
        <f>VLOOKUP($A58,VLookUp!$A$2:$D$65,2,0)</f>
        <v>Hydrangea paniculata</v>
      </c>
      <c r="D58" t="str">
        <f>VLOOKUP($A58,VLookUp!$A$2:$D$65,3,0)</f>
        <v>Mop-like panicle</v>
      </c>
      <c r="E58" t="str">
        <f>VLOOKUP($A58,VLookUp!$A$2:$D$65,4,0)</f>
        <v>Half-open</v>
      </c>
    </row>
    <row r="59" spans="1:5" x14ac:dyDescent="0.35">
      <c r="A59" t="s">
        <v>122</v>
      </c>
      <c r="B59">
        <v>4</v>
      </c>
      <c r="C59" t="str">
        <f>VLOOKUP($A59,VLookUp!$A$2:$D$65,2,0)</f>
        <v>Hydrangea arborescens</v>
      </c>
      <c r="D59" t="str">
        <f>VLOOKUP($A59,VLookUp!$A$2:$D$65,3,0)</f>
        <v>Lacy</v>
      </c>
      <c r="E59" t="str">
        <f>VLOOKUP($A59,VLookUp!$A$2:$D$65,4,0)</f>
        <v>Open</v>
      </c>
    </row>
    <row r="60" spans="1:5" x14ac:dyDescent="0.35">
      <c r="A60" t="s">
        <v>230</v>
      </c>
      <c r="B60">
        <v>3</v>
      </c>
      <c r="C60" t="str">
        <f>VLOOKUP($A60,VLookUp!$A$2:$D$65,2,0)</f>
        <v>Hydrangea paniculata</v>
      </c>
      <c r="D60" t="str">
        <f>VLOOKUP($A60,VLookUp!$A$2:$D$65,3,0)</f>
        <v>Mop-like panicle</v>
      </c>
      <c r="E60" t="str">
        <f>VLOOKUP($A60,VLookUp!$A$2:$D$65,4,0)</f>
        <v>Half-open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955F-93CD-4C4A-B839-775A725ED723}">
  <dimension ref="A1:D65"/>
  <sheetViews>
    <sheetView topLeftCell="A54" workbookViewId="0">
      <selection activeCell="A64" sqref="A64"/>
    </sheetView>
  </sheetViews>
  <sheetFormatPr defaultRowHeight="14.5" x14ac:dyDescent="0.35"/>
  <cols>
    <col min="1" max="1" width="25.36328125" bestFit="1" customWidth="1"/>
  </cols>
  <sheetData>
    <row r="1" spans="1:4" x14ac:dyDescent="0.35">
      <c r="A1" t="s">
        <v>328</v>
      </c>
      <c r="B1" t="s">
        <v>5</v>
      </c>
      <c r="C1" t="s">
        <v>329</v>
      </c>
      <c r="D1" t="s">
        <v>330</v>
      </c>
    </row>
    <row r="2" spans="1:4" x14ac:dyDescent="0.35">
      <c r="A2" t="s">
        <v>108</v>
      </c>
      <c r="B2" t="s">
        <v>97</v>
      </c>
      <c r="C2" t="s">
        <v>111</v>
      </c>
      <c r="D2" t="s">
        <v>110</v>
      </c>
    </row>
    <row r="3" spans="1:4" x14ac:dyDescent="0.35">
      <c r="A3" t="s">
        <v>225</v>
      </c>
      <c r="B3" t="s">
        <v>97</v>
      </c>
      <c r="C3" t="s">
        <v>99</v>
      </c>
      <c r="D3" t="s">
        <v>98</v>
      </c>
    </row>
    <row r="4" spans="1:4" x14ac:dyDescent="0.35">
      <c r="A4" t="s">
        <v>186</v>
      </c>
      <c r="B4" t="s">
        <v>97</v>
      </c>
      <c r="C4" t="s">
        <v>111</v>
      </c>
      <c r="D4" t="s">
        <v>105</v>
      </c>
    </row>
    <row r="5" spans="1:4" x14ac:dyDescent="0.35">
      <c r="A5" t="s">
        <v>113</v>
      </c>
      <c r="B5" t="s">
        <v>97</v>
      </c>
      <c r="C5" t="s">
        <v>111</v>
      </c>
      <c r="D5" t="s">
        <v>114</v>
      </c>
    </row>
    <row r="6" spans="1:4" x14ac:dyDescent="0.35">
      <c r="A6" t="s">
        <v>116</v>
      </c>
      <c r="B6" t="s">
        <v>97</v>
      </c>
      <c r="C6" t="s">
        <v>99</v>
      </c>
      <c r="D6" t="s">
        <v>98</v>
      </c>
    </row>
    <row r="7" spans="1:4" x14ac:dyDescent="0.35">
      <c r="A7" t="s">
        <v>188</v>
      </c>
      <c r="B7" t="s">
        <v>97</v>
      </c>
      <c r="C7" t="s">
        <v>99</v>
      </c>
      <c r="D7" t="s">
        <v>98</v>
      </c>
    </row>
    <row r="8" spans="1:4" x14ac:dyDescent="0.35">
      <c r="A8" t="s">
        <v>242</v>
      </c>
      <c r="B8" t="s">
        <v>97</v>
      </c>
      <c r="C8" t="s">
        <v>99</v>
      </c>
      <c r="D8" t="s">
        <v>114</v>
      </c>
    </row>
    <row r="9" spans="1:4" x14ac:dyDescent="0.35">
      <c r="A9" t="s">
        <v>118</v>
      </c>
      <c r="B9" t="s">
        <v>97</v>
      </c>
      <c r="C9" t="s">
        <v>111</v>
      </c>
      <c r="D9" t="s">
        <v>105</v>
      </c>
    </row>
    <row r="10" spans="1:4" x14ac:dyDescent="0.35">
      <c r="A10" t="s">
        <v>120</v>
      </c>
      <c r="B10" t="s">
        <v>97</v>
      </c>
      <c r="C10" t="s">
        <v>99</v>
      </c>
      <c r="D10" t="s">
        <v>98</v>
      </c>
    </row>
    <row r="11" spans="1:4" x14ac:dyDescent="0.35">
      <c r="A11" t="s">
        <v>140</v>
      </c>
      <c r="B11" t="s">
        <v>97</v>
      </c>
      <c r="C11" t="s">
        <v>99</v>
      </c>
      <c r="D11" t="s">
        <v>114</v>
      </c>
    </row>
    <row r="12" spans="1:4" x14ac:dyDescent="0.35">
      <c r="A12" t="s">
        <v>96</v>
      </c>
      <c r="B12" t="s">
        <v>97</v>
      </c>
      <c r="C12" t="s">
        <v>99</v>
      </c>
      <c r="D12" t="s">
        <v>98</v>
      </c>
    </row>
    <row r="13" spans="1:4" x14ac:dyDescent="0.35">
      <c r="A13" t="s">
        <v>182</v>
      </c>
      <c r="B13" t="s">
        <v>97</v>
      </c>
      <c r="C13" t="s">
        <v>111</v>
      </c>
      <c r="D13" t="s">
        <v>105</v>
      </c>
    </row>
    <row r="14" spans="1:4" x14ac:dyDescent="0.35">
      <c r="A14" t="s">
        <v>146</v>
      </c>
      <c r="B14" t="s">
        <v>97</v>
      </c>
      <c r="C14" t="s">
        <v>111</v>
      </c>
      <c r="D14" t="s">
        <v>110</v>
      </c>
    </row>
    <row r="15" spans="1:4" x14ac:dyDescent="0.35">
      <c r="A15" t="s">
        <v>235</v>
      </c>
      <c r="B15" t="s">
        <v>97</v>
      </c>
      <c r="C15" t="s">
        <v>111</v>
      </c>
      <c r="D15" t="s">
        <v>114</v>
      </c>
    </row>
    <row r="16" spans="1:4" x14ac:dyDescent="0.35">
      <c r="A16" t="s">
        <v>238</v>
      </c>
      <c r="B16" t="s">
        <v>97</v>
      </c>
      <c r="C16" t="s">
        <v>111</v>
      </c>
      <c r="D16" t="s">
        <v>110</v>
      </c>
    </row>
    <row r="17" spans="1:4" x14ac:dyDescent="0.35">
      <c r="A17" t="s">
        <v>331</v>
      </c>
      <c r="B17" t="s">
        <v>97</v>
      </c>
      <c r="C17" t="s">
        <v>99</v>
      </c>
      <c r="D17" t="s">
        <v>114</v>
      </c>
    </row>
    <row r="18" spans="1:4" x14ac:dyDescent="0.35">
      <c r="A18" t="s">
        <v>216</v>
      </c>
      <c r="B18" t="s">
        <v>97</v>
      </c>
      <c r="C18" t="s">
        <v>111</v>
      </c>
      <c r="D18" t="s">
        <v>105</v>
      </c>
    </row>
    <row r="19" spans="1:4" x14ac:dyDescent="0.35">
      <c r="A19" t="s">
        <v>180</v>
      </c>
      <c r="B19" t="s">
        <v>97</v>
      </c>
      <c r="C19" t="s">
        <v>111</v>
      </c>
      <c r="D19" t="s">
        <v>105</v>
      </c>
    </row>
    <row r="20" spans="1:4" x14ac:dyDescent="0.35">
      <c r="A20" t="s">
        <v>167</v>
      </c>
      <c r="B20" t="s">
        <v>97</v>
      </c>
      <c r="C20" t="s">
        <v>111</v>
      </c>
      <c r="D20" t="s">
        <v>98</v>
      </c>
    </row>
    <row r="21" spans="1:4" x14ac:dyDescent="0.35">
      <c r="A21" t="s">
        <v>213</v>
      </c>
      <c r="B21" t="s">
        <v>97</v>
      </c>
      <c r="C21" t="s">
        <v>111</v>
      </c>
      <c r="D21" t="s">
        <v>105</v>
      </c>
    </row>
    <row r="22" spans="1:4" x14ac:dyDescent="0.35">
      <c r="A22" t="s">
        <v>332</v>
      </c>
      <c r="B22" t="s">
        <v>97</v>
      </c>
      <c r="C22" t="s">
        <v>99</v>
      </c>
      <c r="D22" t="s">
        <v>105</v>
      </c>
    </row>
    <row r="23" spans="1:4" x14ac:dyDescent="0.35">
      <c r="A23" t="s">
        <v>230</v>
      </c>
      <c r="B23" t="s">
        <v>97</v>
      </c>
      <c r="C23" t="s">
        <v>111</v>
      </c>
      <c r="D23" t="s">
        <v>114</v>
      </c>
    </row>
    <row r="24" spans="1:4" x14ac:dyDescent="0.35">
      <c r="A24" t="s">
        <v>195</v>
      </c>
      <c r="B24" t="s">
        <v>97</v>
      </c>
      <c r="C24" t="s">
        <v>99</v>
      </c>
      <c r="D24" t="s">
        <v>105</v>
      </c>
    </row>
    <row r="25" spans="1:4" x14ac:dyDescent="0.35">
      <c r="A25" t="s">
        <v>265</v>
      </c>
      <c r="B25" t="s">
        <v>97</v>
      </c>
      <c r="C25" t="s">
        <v>111</v>
      </c>
      <c r="D25" t="s">
        <v>110</v>
      </c>
    </row>
    <row r="26" spans="1:4" x14ac:dyDescent="0.35">
      <c r="A26" t="s">
        <v>321</v>
      </c>
      <c r="B26" t="s">
        <v>97</v>
      </c>
      <c r="C26" t="s">
        <v>99</v>
      </c>
      <c r="D26" t="s">
        <v>105</v>
      </c>
    </row>
    <row r="27" spans="1:4" x14ac:dyDescent="0.35">
      <c r="A27" t="s">
        <v>129</v>
      </c>
      <c r="B27" t="s">
        <v>97</v>
      </c>
      <c r="C27" t="s">
        <v>99</v>
      </c>
      <c r="D27" t="s">
        <v>98</v>
      </c>
    </row>
    <row r="28" spans="1:4" x14ac:dyDescent="0.35">
      <c r="A28" t="s">
        <v>137</v>
      </c>
      <c r="B28" t="s">
        <v>97</v>
      </c>
      <c r="C28" t="s">
        <v>111</v>
      </c>
      <c r="D28" t="s">
        <v>114</v>
      </c>
    </row>
    <row r="29" spans="1:4" x14ac:dyDescent="0.35">
      <c r="A29" t="s">
        <v>233</v>
      </c>
      <c r="B29" t="s">
        <v>97</v>
      </c>
      <c r="C29" t="s">
        <v>99</v>
      </c>
      <c r="D29" t="s">
        <v>110</v>
      </c>
    </row>
    <row r="30" spans="1:4" x14ac:dyDescent="0.35">
      <c r="A30" t="s">
        <v>200</v>
      </c>
      <c r="B30" t="s">
        <v>97</v>
      </c>
      <c r="C30" t="s">
        <v>111</v>
      </c>
      <c r="D30" t="s">
        <v>114</v>
      </c>
    </row>
    <row r="31" spans="1:4" x14ac:dyDescent="0.35">
      <c r="A31" t="s">
        <v>202</v>
      </c>
      <c r="B31" t="s">
        <v>97</v>
      </c>
      <c r="C31" t="s">
        <v>111</v>
      </c>
      <c r="D31" t="s">
        <v>105</v>
      </c>
    </row>
    <row r="32" spans="1:4" x14ac:dyDescent="0.35">
      <c r="A32" t="s">
        <v>206</v>
      </c>
      <c r="B32" t="s">
        <v>97</v>
      </c>
      <c r="C32" t="s">
        <v>111</v>
      </c>
      <c r="D32" t="s">
        <v>114</v>
      </c>
    </row>
    <row r="33" spans="1:4" x14ac:dyDescent="0.35">
      <c r="A33" t="s">
        <v>163</v>
      </c>
      <c r="B33" t="s">
        <v>97</v>
      </c>
      <c r="C33" t="s">
        <v>99</v>
      </c>
      <c r="D33" t="s">
        <v>105</v>
      </c>
    </row>
    <row r="34" spans="1:4" x14ac:dyDescent="0.35">
      <c r="A34" t="s">
        <v>208</v>
      </c>
      <c r="B34" t="s">
        <v>97</v>
      </c>
      <c r="C34" t="s">
        <v>111</v>
      </c>
      <c r="D34" t="s">
        <v>114</v>
      </c>
    </row>
    <row r="35" spans="1:4" x14ac:dyDescent="0.35">
      <c r="A35" t="s">
        <v>198</v>
      </c>
      <c r="B35" t="s">
        <v>97</v>
      </c>
      <c r="C35" t="s">
        <v>111</v>
      </c>
      <c r="D35" t="s">
        <v>114</v>
      </c>
    </row>
    <row r="36" spans="1:4" x14ac:dyDescent="0.35">
      <c r="A36" t="s">
        <v>220</v>
      </c>
      <c r="B36" t="s">
        <v>97</v>
      </c>
      <c r="C36" t="s">
        <v>111</v>
      </c>
      <c r="D36" t="s">
        <v>110</v>
      </c>
    </row>
    <row r="37" spans="1:4" x14ac:dyDescent="0.35">
      <c r="A37" t="s">
        <v>125</v>
      </c>
      <c r="B37" t="s">
        <v>97</v>
      </c>
      <c r="C37" t="s">
        <v>111</v>
      </c>
      <c r="D37" t="s">
        <v>105</v>
      </c>
    </row>
    <row r="38" spans="1:4" x14ac:dyDescent="0.35">
      <c r="A38" t="s">
        <v>192</v>
      </c>
      <c r="B38" t="s">
        <v>97</v>
      </c>
      <c r="C38" t="s">
        <v>111</v>
      </c>
      <c r="D38" t="s">
        <v>110</v>
      </c>
    </row>
    <row r="39" spans="1:4" x14ac:dyDescent="0.35">
      <c r="A39" t="s">
        <v>247</v>
      </c>
      <c r="B39" t="s">
        <v>97</v>
      </c>
      <c r="C39" t="s">
        <v>99</v>
      </c>
      <c r="D39" t="s">
        <v>98</v>
      </c>
    </row>
    <row r="40" spans="1:4" x14ac:dyDescent="0.35">
      <c r="A40" t="s">
        <v>263</v>
      </c>
      <c r="B40" t="s">
        <v>97</v>
      </c>
      <c r="C40" t="s">
        <v>99</v>
      </c>
      <c r="D40" t="s">
        <v>114</v>
      </c>
    </row>
    <row r="41" spans="1:4" x14ac:dyDescent="0.35">
      <c r="A41" t="s">
        <v>267</v>
      </c>
      <c r="B41" t="s">
        <v>97</v>
      </c>
      <c r="C41" t="s">
        <v>99</v>
      </c>
      <c r="D41" t="s">
        <v>98</v>
      </c>
    </row>
    <row r="42" spans="1:4" x14ac:dyDescent="0.35">
      <c r="A42" t="s">
        <v>333</v>
      </c>
      <c r="B42" t="s">
        <v>97</v>
      </c>
      <c r="C42" t="s">
        <v>99</v>
      </c>
      <c r="D42" t="s">
        <v>114</v>
      </c>
    </row>
    <row r="43" spans="1:4" x14ac:dyDescent="0.35">
      <c r="A43" t="s">
        <v>127</v>
      </c>
      <c r="B43" t="s">
        <v>97</v>
      </c>
      <c r="C43" t="s">
        <v>111</v>
      </c>
      <c r="D43" t="s">
        <v>114</v>
      </c>
    </row>
    <row r="44" spans="1:4" x14ac:dyDescent="0.35">
      <c r="A44" t="s">
        <v>157</v>
      </c>
      <c r="B44" t="s">
        <v>97</v>
      </c>
      <c r="C44" t="s">
        <v>99</v>
      </c>
      <c r="D44" t="s">
        <v>98</v>
      </c>
    </row>
    <row r="45" spans="1:4" x14ac:dyDescent="0.35">
      <c r="A45" t="s">
        <v>334</v>
      </c>
      <c r="B45" t="s">
        <v>97</v>
      </c>
      <c r="C45" t="s">
        <v>99</v>
      </c>
      <c r="D45" t="s">
        <v>98</v>
      </c>
    </row>
    <row r="46" spans="1:4" x14ac:dyDescent="0.35">
      <c r="A46" t="s">
        <v>255</v>
      </c>
      <c r="B46" t="s">
        <v>97</v>
      </c>
      <c r="C46" t="s">
        <v>99</v>
      </c>
      <c r="D46" t="s">
        <v>98</v>
      </c>
    </row>
    <row r="47" spans="1:4" x14ac:dyDescent="0.35">
      <c r="A47" t="s">
        <v>159</v>
      </c>
      <c r="B47" t="s">
        <v>97</v>
      </c>
      <c r="C47" t="s">
        <v>111</v>
      </c>
      <c r="D47" t="s">
        <v>114</v>
      </c>
    </row>
    <row r="48" spans="1:4" x14ac:dyDescent="0.35">
      <c r="A48" t="s">
        <v>335</v>
      </c>
      <c r="B48" t="s">
        <v>103</v>
      </c>
      <c r="C48" t="s">
        <v>106</v>
      </c>
      <c r="D48" t="s">
        <v>105</v>
      </c>
    </row>
    <row r="49" spans="1:4" x14ac:dyDescent="0.35">
      <c r="A49" t="s">
        <v>171</v>
      </c>
      <c r="B49" t="s">
        <v>103</v>
      </c>
      <c r="C49" t="s">
        <v>106</v>
      </c>
      <c r="D49" t="s">
        <v>114</v>
      </c>
    </row>
    <row r="50" spans="1:4" x14ac:dyDescent="0.35">
      <c r="A50" t="s">
        <v>173</v>
      </c>
      <c r="B50" t="s">
        <v>103</v>
      </c>
      <c r="C50" t="s">
        <v>106</v>
      </c>
      <c r="D50" t="s">
        <v>110</v>
      </c>
    </row>
    <row r="51" spans="1:4" x14ac:dyDescent="0.35">
      <c r="A51" t="s">
        <v>175</v>
      </c>
      <c r="B51" t="s">
        <v>103</v>
      </c>
      <c r="C51" t="s">
        <v>106</v>
      </c>
      <c r="D51" t="s">
        <v>105</v>
      </c>
    </row>
    <row r="52" spans="1:4" x14ac:dyDescent="0.35">
      <c r="A52" t="s">
        <v>177</v>
      </c>
      <c r="B52" t="s">
        <v>103</v>
      </c>
      <c r="C52" t="s">
        <v>123</v>
      </c>
      <c r="D52" t="s">
        <v>114</v>
      </c>
    </row>
    <row r="53" spans="1:4" x14ac:dyDescent="0.35">
      <c r="A53" t="s">
        <v>284</v>
      </c>
      <c r="B53" t="s">
        <v>103</v>
      </c>
      <c r="C53" t="s">
        <v>106</v>
      </c>
      <c r="D53" t="s">
        <v>105</v>
      </c>
    </row>
    <row r="54" spans="1:4" x14ac:dyDescent="0.35">
      <c r="A54" t="s">
        <v>303</v>
      </c>
      <c r="B54" t="s">
        <v>103</v>
      </c>
      <c r="C54" t="s">
        <v>106</v>
      </c>
      <c r="D54" t="s">
        <v>105</v>
      </c>
    </row>
    <row r="55" spans="1:4" x14ac:dyDescent="0.35">
      <c r="A55" t="s">
        <v>336</v>
      </c>
      <c r="B55" t="s">
        <v>103</v>
      </c>
      <c r="C55" t="s">
        <v>106</v>
      </c>
      <c r="D55" t="s">
        <v>105</v>
      </c>
    </row>
    <row r="56" spans="1:4" x14ac:dyDescent="0.35">
      <c r="A56" t="s">
        <v>337</v>
      </c>
      <c r="B56" t="s">
        <v>103</v>
      </c>
      <c r="C56" t="s">
        <v>106</v>
      </c>
      <c r="D56" t="s">
        <v>105</v>
      </c>
    </row>
    <row r="57" spans="1:4" x14ac:dyDescent="0.35">
      <c r="A57" t="s">
        <v>300</v>
      </c>
      <c r="B57" t="s">
        <v>103</v>
      </c>
      <c r="C57" t="s">
        <v>106</v>
      </c>
      <c r="D57" t="s">
        <v>105</v>
      </c>
    </row>
    <row r="58" spans="1:4" x14ac:dyDescent="0.35">
      <c r="A58" t="s">
        <v>142</v>
      </c>
      <c r="B58" t="s">
        <v>103</v>
      </c>
      <c r="C58" t="s">
        <v>123</v>
      </c>
      <c r="D58" t="s">
        <v>98</v>
      </c>
    </row>
    <row r="59" spans="1:4" x14ac:dyDescent="0.35">
      <c r="A59" t="s">
        <v>338</v>
      </c>
      <c r="B59" t="s">
        <v>103</v>
      </c>
      <c r="C59" t="s">
        <v>106</v>
      </c>
      <c r="D59" t="s">
        <v>114</v>
      </c>
    </row>
    <row r="60" spans="1:4" x14ac:dyDescent="0.35">
      <c r="A60" t="s">
        <v>148</v>
      </c>
      <c r="B60" t="s">
        <v>103</v>
      </c>
      <c r="C60" t="s">
        <v>123</v>
      </c>
      <c r="D60" t="s">
        <v>98</v>
      </c>
    </row>
    <row r="61" spans="1:4" x14ac:dyDescent="0.35">
      <c r="A61" t="s">
        <v>339</v>
      </c>
      <c r="B61" t="s">
        <v>103</v>
      </c>
      <c r="C61" t="s">
        <v>106</v>
      </c>
      <c r="D61" t="s">
        <v>114</v>
      </c>
    </row>
    <row r="62" spans="1:4" x14ac:dyDescent="0.35">
      <c r="A62" t="s">
        <v>292</v>
      </c>
      <c r="B62" t="s">
        <v>103</v>
      </c>
      <c r="C62" t="s">
        <v>123</v>
      </c>
      <c r="D62" t="s">
        <v>114</v>
      </c>
    </row>
    <row r="63" spans="1:4" x14ac:dyDescent="0.35">
      <c r="A63" t="s">
        <v>340</v>
      </c>
      <c r="B63" t="s">
        <v>103</v>
      </c>
      <c r="C63" t="s">
        <v>106</v>
      </c>
      <c r="D63" t="s">
        <v>105</v>
      </c>
    </row>
    <row r="64" spans="1:4" x14ac:dyDescent="0.35">
      <c r="A64" t="s">
        <v>341</v>
      </c>
      <c r="B64" t="s">
        <v>103</v>
      </c>
      <c r="C64" t="s">
        <v>106</v>
      </c>
      <c r="D64" t="s">
        <v>110</v>
      </c>
    </row>
    <row r="65" spans="1:4" x14ac:dyDescent="0.35">
      <c r="A65" t="s">
        <v>342</v>
      </c>
      <c r="B65" t="s">
        <v>103</v>
      </c>
      <c r="C65" t="s">
        <v>123</v>
      </c>
      <c r="D65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09D9-32D9-487A-A38E-0EA32D740F05}">
  <dimension ref="A3:B64"/>
  <sheetViews>
    <sheetView workbookViewId="0">
      <selection activeCell="C57" sqref="C57"/>
    </sheetView>
  </sheetViews>
  <sheetFormatPr defaultRowHeight="14.5" x14ac:dyDescent="0.35"/>
  <cols>
    <col min="1" max="1" width="23.08984375" bestFit="1" customWidth="1"/>
    <col min="2" max="2" width="20.90625" bestFit="1" customWidth="1"/>
    <col min="3" max="3" width="19.1796875" bestFit="1" customWidth="1"/>
    <col min="4" max="4" width="5.08984375" bestFit="1" customWidth="1"/>
    <col min="5" max="5" width="10.7265625" bestFit="1" customWidth="1"/>
    <col min="6" max="6" width="20.6328125" bestFit="1" customWidth="1"/>
    <col min="7" max="7" width="9.453125" bestFit="1" customWidth="1"/>
    <col min="8" max="8" width="19.1796875" bestFit="1" customWidth="1"/>
    <col min="9" max="9" width="19.54296875" bestFit="1" customWidth="1"/>
    <col min="10" max="10" width="6.90625" bestFit="1" customWidth="1"/>
    <col min="11" max="11" width="9.81640625" bestFit="1" customWidth="1"/>
    <col min="12" max="12" width="10.7265625" bestFit="1" customWidth="1"/>
    <col min="13" max="13" width="20.6328125" bestFit="1" customWidth="1"/>
    <col min="14" max="14" width="9.453125" bestFit="1" customWidth="1"/>
    <col min="15" max="15" width="19.1796875" bestFit="1" customWidth="1"/>
    <col min="16" max="16" width="19.54296875" bestFit="1" customWidth="1"/>
    <col min="17" max="17" width="13.90625" bestFit="1" customWidth="1"/>
    <col min="18" max="18" width="20.6328125" bestFit="1" customWidth="1"/>
    <col min="19" max="19" width="9.08984375" bestFit="1" customWidth="1"/>
    <col min="20" max="20" width="19.1796875" bestFit="1" customWidth="1"/>
    <col min="21" max="21" width="15.54296875" bestFit="1" customWidth="1"/>
    <col min="22" max="22" width="19.1796875" bestFit="1" customWidth="1"/>
    <col min="23" max="23" width="19.54296875" bestFit="1" customWidth="1"/>
    <col min="24" max="24" width="10.08984375" bestFit="1" customWidth="1"/>
    <col min="25" max="25" width="19.1796875" bestFit="1" customWidth="1"/>
    <col min="26" max="26" width="15.54296875" bestFit="1" customWidth="1"/>
    <col min="27" max="27" width="20.6328125" bestFit="1" customWidth="1"/>
    <col min="28" max="28" width="9.453125" bestFit="1" customWidth="1"/>
    <col min="29" max="29" width="19.1796875" bestFit="1" customWidth="1"/>
    <col min="30" max="30" width="19.54296875" bestFit="1" customWidth="1"/>
    <col min="31" max="31" width="14.90625" bestFit="1" customWidth="1"/>
    <col min="32" max="32" width="6.90625" bestFit="1" customWidth="1"/>
    <col min="33" max="34" width="9.81640625" bestFit="1" customWidth="1"/>
    <col min="35" max="35" width="10.7265625" bestFit="1" customWidth="1"/>
  </cols>
  <sheetData>
    <row r="3" spans="1:2" x14ac:dyDescent="0.35">
      <c r="A3" s="1" t="s">
        <v>324</v>
      </c>
      <c r="B3" t="s">
        <v>327</v>
      </c>
    </row>
    <row r="4" spans="1:2" x14ac:dyDescent="0.35">
      <c r="A4" s="2" t="s">
        <v>175</v>
      </c>
      <c r="B4">
        <v>2</v>
      </c>
    </row>
    <row r="5" spans="1:2" x14ac:dyDescent="0.35">
      <c r="A5" s="2" t="s">
        <v>225</v>
      </c>
      <c r="B5">
        <v>4</v>
      </c>
    </row>
    <row r="6" spans="1:2" x14ac:dyDescent="0.35">
      <c r="A6" s="2" t="s">
        <v>150</v>
      </c>
      <c r="B6">
        <v>3</v>
      </c>
    </row>
    <row r="7" spans="1:2" x14ac:dyDescent="0.35">
      <c r="A7" s="2" t="s">
        <v>208</v>
      </c>
      <c r="B7">
        <v>2</v>
      </c>
    </row>
    <row r="8" spans="1:2" x14ac:dyDescent="0.35">
      <c r="A8" s="2" t="s">
        <v>321</v>
      </c>
      <c r="B8">
        <v>1</v>
      </c>
    </row>
    <row r="9" spans="1:2" x14ac:dyDescent="0.35">
      <c r="A9" s="2" t="s">
        <v>137</v>
      </c>
      <c r="B9">
        <v>5</v>
      </c>
    </row>
    <row r="10" spans="1:2" x14ac:dyDescent="0.35">
      <c r="A10" s="2" t="s">
        <v>171</v>
      </c>
      <c r="B10">
        <v>3</v>
      </c>
    </row>
    <row r="11" spans="1:2" x14ac:dyDescent="0.35">
      <c r="A11" s="2" t="s">
        <v>267</v>
      </c>
      <c r="B11">
        <v>5</v>
      </c>
    </row>
    <row r="12" spans="1:2" x14ac:dyDescent="0.35">
      <c r="A12" s="2" t="s">
        <v>182</v>
      </c>
      <c r="B12">
        <v>8</v>
      </c>
    </row>
    <row r="13" spans="1:2" x14ac:dyDescent="0.35">
      <c r="A13" s="2" t="s">
        <v>127</v>
      </c>
      <c r="B13">
        <v>4</v>
      </c>
    </row>
    <row r="14" spans="1:2" x14ac:dyDescent="0.35">
      <c r="A14" s="2" t="s">
        <v>96</v>
      </c>
      <c r="B14">
        <v>8</v>
      </c>
    </row>
    <row r="15" spans="1:2" x14ac:dyDescent="0.35">
      <c r="A15" s="2" t="s">
        <v>195</v>
      </c>
      <c r="B15">
        <v>3</v>
      </c>
    </row>
    <row r="16" spans="1:2" x14ac:dyDescent="0.35">
      <c r="A16" s="2" t="s">
        <v>163</v>
      </c>
      <c r="B16">
        <v>4</v>
      </c>
    </row>
    <row r="17" spans="1:2" x14ac:dyDescent="0.35">
      <c r="A17" s="2" t="s">
        <v>120</v>
      </c>
      <c r="B17">
        <v>3</v>
      </c>
    </row>
    <row r="18" spans="1:2" x14ac:dyDescent="0.35">
      <c r="A18" s="2" t="s">
        <v>125</v>
      </c>
      <c r="B18">
        <v>15</v>
      </c>
    </row>
    <row r="19" spans="1:2" x14ac:dyDescent="0.35">
      <c r="A19" s="2" t="s">
        <v>247</v>
      </c>
      <c r="B19">
        <v>4</v>
      </c>
    </row>
    <row r="20" spans="1:2" x14ac:dyDescent="0.35">
      <c r="A20" s="2" t="s">
        <v>233</v>
      </c>
      <c r="B20">
        <v>7</v>
      </c>
    </row>
    <row r="21" spans="1:2" x14ac:dyDescent="0.35">
      <c r="A21" s="2" t="s">
        <v>255</v>
      </c>
      <c r="B21">
        <v>4</v>
      </c>
    </row>
    <row r="22" spans="1:2" x14ac:dyDescent="0.35">
      <c r="A22" s="2" t="s">
        <v>148</v>
      </c>
      <c r="B22">
        <v>7</v>
      </c>
    </row>
    <row r="23" spans="1:2" x14ac:dyDescent="0.35">
      <c r="A23" s="2" t="s">
        <v>173</v>
      </c>
      <c r="B23">
        <v>1</v>
      </c>
    </row>
    <row r="24" spans="1:2" x14ac:dyDescent="0.35">
      <c r="A24" s="2" t="s">
        <v>188</v>
      </c>
      <c r="B24">
        <v>4</v>
      </c>
    </row>
    <row r="25" spans="1:2" x14ac:dyDescent="0.35">
      <c r="A25" s="2" t="s">
        <v>155</v>
      </c>
      <c r="B25">
        <v>8</v>
      </c>
    </row>
    <row r="26" spans="1:2" x14ac:dyDescent="0.35">
      <c r="A26" s="2" t="s">
        <v>222</v>
      </c>
      <c r="B26">
        <v>2</v>
      </c>
    </row>
    <row r="27" spans="1:2" x14ac:dyDescent="0.35">
      <c r="A27" s="2" t="s">
        <v>300</v>
      </c>
      <c r="B27">
        <v>1</v>
      </c>
    </row>
    <row r="28" spans="1:2" x14ac:dyDescent="0.35">
      <c r="A28" s="2" t="s">
        <v>261</v>
      </c>
      <c r="B28">
        <v>5</v>
      </c>
    </row>
    <row r="29" spans="1:2" x14ac:dyDescent="0.35">
      <c r="A29" s="2" t="s">
        <v>284</v>
      </c>
      <c r="B29">
        <v>1</v>
      </c>
    </row>
    <row r="30" spans="1:2" x14ac:dyDescent="0.35">
      <c r="A30" s="2" t="s">
        <v>157</v>
      </c>
      <c r="B30">
        <v>5</v>
      </c>
    </row>
    <row r="31" spans="1:2" x14ac:dyDescent="0.35">
      <c r="A31" s="2" t="s">
        <v>290</v>
      </c>
      <c r="B31">
        <v>3</v>
      </c>
    </row>
    <row r="32" spans="1:2" x14ac:dyDescent="0.35">
      <c r="A32" s="2" t="s">
        <v>265</v>
      </c>
      <c r="B32">
        <v>6</v>
      </c>
    </row>
    <row r="33" spans="1:2" x14ac:dyDescent="0.35">
      <c r="A33" s="2" t="s">
        <v>200</v>
      </c>
      <c r="B33">
        <v>4</v>
      </c>
    </row>
    <row r="34" spans="1:2" x14ac:dyDescent="0.35">
      <c r="A34" s="2" t="s">
        <v>146</v>
      </c>
      <c r="B34">
        <v>4</v>
      </c>
    </row>
    <row r="35" spans="1:2" x14ac:dyDescent="0.35">
      <c r="A35" s="2" t="s">
        <v>238</v>
      </c>
      <c r="B35">
        <v>5</v>
      </c>
    </row>
    <row r="36" spans="1:2" x14ac:dyDescent="0.35">
      <c r="A36" s="2" t="s">
        <v>206</v>
      </c>
      <c r="B36">
        <v>2</v>
      </c>
    </row>
    <row r="37" spans="1:2" x14ac:dyDescent="0.35">
      <c r="A37" s="2" t="s">
        <v>129</v>
      </c>
      <c r="B37">
        <v>6</v>
      </c>
    </row>
    <row r="38" spans="1:2" x14ac:dyDescent="0.35">
      <c r="A38" s="2" t="s">
        <v>118</v>
      </c>
      <c r="B38">
        <v>8</v>
      </c>
    </row>
    <row r="39" spans="1:2" x14ac:dyDescent="0.35">
      <c r="A39" s="2" t="s">
        <v>235</v>
      </c>
      <c r="B39">
        <v>8</v>
      </c>
    </row>
    <row r="40" spans="1:2" x14ac:dyDescent="0.35">
      <c r="A40" s="2" t="s">
        <v>220</v>
      </c>
      <c r="B40">
        <v>2</v>
      </c>
    </row>
    <row r="41" spans="1:2" x14ac:dyDescent="0.35">
      <c r="A41" s="2" t="s">
        <v>263</v>
      </c>
      <c r="B41">
        <v>4</v>
      </c>
    </row>
    <row r="42" spans="1:2" x14ac:dyDescent="0.35">
      <c r="A42" s="2" t="s">
        <v>180</v>
      </c>
      <c r="B42">
        <v>6</v>
      </c>
    </row>
    <row r="43" spans="1:2" x14ac:dyDescent="0.35">
      <c r="A43" s="2" t="s">
        <v>292</v>
      </c>
      <c r="B43">
        <v>2</v>
      </c>
    </row>
    <row r="44" spans="1:2" x14ac:dyDescent="0.35">
      <c r="A44" s="2" t="s">
        <v>140</v>
      </c>
      <c r="B44">
        <v>9</v>
      </c>
    </row>
    <row r="45" spans="1:2" x14ac:dyDescent="0.35">
      <c r="A45" s="2" t="s">
        <v>192</v>
      </c>
      <c r="B45">
        <v>4</v>
      </c>
    </row>
    <row r="46" spans="1:2" x14ac:dyDescent="0.35">
      <c r="A46" s="2" t="s">
        <v>159</v>
      </c>
      <c r="B46">
        <v>5</v>
      </c>
    </row>
    <row r="47" spans="1:2" x14ac:dyDescent="0.35">
      <c r="A47" s="2" t="s">
        <v>116</v>
      </c>
      <c r="B47">
        <v>9</v>
      </c>
    </row>
    <row r="48" spans="1:2" x14ac:dyDescent="0.35">
      <c r="A48" s="2" t="s">
        <v>202</v>
      </c>
      <c r="B48">
        <v>3</v>
      </c>
    </row>
    <row r="49" spans="1:2" x14ac:dyDescent="0.35">
      <c r="A49" s="2" t="s">
        <v>177</v>
      </c>
      <c r="B49">
        <v>2</v>
      </c>
    </row>
    <row r="50" spans="1:2" x14ac:dyDescent="0.35">
      <c r="A50" s="2" t="s">
        <v>198</v>
      </c>
      <c r="B50">
        <v>6</v>
      </c>
    </row>
    <row r="51" spans="1:2" x14ac:dyDescent="0.35">
      <c r="A51" s="2" t="s">
        <v>303</v>
      </c>
      <c r="B51">
        <v>1</v>
      </c>
    </row>
    <row r="52" spans="1:2" x14ac:dyDescent="0.35">
      <c r="A52" s="2" t="s">
        <v>102</v>
      </c>
      <c r="B52">
        <v>4</v>
      </c>
    </row>
    <row r="53" spans="1:2" x14ac:dyDescent="0.35">
      <c r="A53" s="2" t="s">
        <v>216</v>
      </c>
      <c r="B53">
        <v>3</v>
      </c>
    </row>
    <row r="54" spans="1:2" x14ac:dyDescent="0.35">
      <c r="A54" s="2" t="s">
        <v>142</v>
      </c>
      <c r="B54">
        <v>6</v>
      </c>
    </row>
    <row r="55" spans="1:2" x14ac:dyDescent="0.35">
      <c r="A55" s="2" t="s">
        <v>108</v>
      </c>
      <c r="B55">
        <v>9</v>
      </c>
    </row>
    <row r="56" spans="1:2" x14ac:dyDescent="0.35">
      <c r="A56" s="2" t="s">
        <v>167</v>
      </c>
      <c r="B56">
        <v>11</v>
      </c>
    </row>
    <row r="57" spans="1:2" x14ac:dyDescent="0.35">
      <c r="A57" s="2" t="s">
        <v>186</v>
      </c>
      <c r="B57">
        <v>4</v>
      </c>
    </row>
    <row r="58" spans="1:2" x14ac:dyDescent="0.35">
      <c r="A58" s="2" t="s">
        <v>242</v>
      </c>
      <c r="B58">
        <v>8</v>
      </c>
    </row>
    <row r="59" spans="1:2" x14ac:dyDescent="0.35">
      <c r="A59" s="2" t="s">
        <v>213</v>
      </c>
      <c r="B59">
        <v>8</v>
      </c>
    </row>
    <row r="60" spans="1:2" x14ac:dyDescent="0.35">
      <c r="A60" s="2" t="s">
        <v>113</v>
      </c>
      <c r="B60">
        <v>7</v>
      </c>
    </row>
    <row r="61" spans="1:2" x14ac:dyDescent="0.35">
      <c r="A61" s="2" t="s">
        <v>122</v>
      </c>
      <c r="B61">
        <v>4</v>
      </c>
    </row>
    <row r="62" spans="1:2" x14ac:dyDescent="0.35">
      <c r="A62" s="2" t="s">
        <v>230</v>
      </c>
      <c r="B62">
        <v>3</v>
      </c>
    </row>
    <row r="63" spans="1:2" x14ac:dyDescent="0.35">
      <c r="A63" s="2" t="s">
        <v>325</v>
      </c>
      <c r="B63">
        <v>2</v>
      </c>
    </row>
    <row r="64" spans="1:2" x14ac:dyDescent="0.35">
      <c r="A64" s="2" t="s">
        <v>326</v>
      </c>
      <c r="B64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9C0A-448C-412D-90A4-35B29012A22C}">
  <dimension ref="A1:CP288"/>
  <sheetViews>
    <sheetView topLeftCell="CB1" workbookViewId="0">
      <selection activeCell="Z1" sqref="Z1:CO1048576"/>
    </sheetView>
  </sheetViews>
  <sheetFormatPr defaultRowHeight="14.5" x14ac:dyDescent="0.35"/>
  <sheetData>
    <row r="1" spans="1:9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 x14ac:dyDescent="0.35">
      <c r="A2">
        <v>1</v>
      </c>
      <c r="B2">
        <v>45483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>
        <v>5026</v>
      </c>
      <c r="I2" t="s">
        <v>98</v>
      </c>
      <c r="J2">
        <v>4</v>
      </c>
      <c r="K2" t="s">
        <v>99</v>
      </c>
      <c r="M2" t="s">
        <v>100</v>
      </c>
      <c r="N2" t="s">
        <v>100</v>
      </c>
      <c r="O2" t="e">
        <v>#VALUE!</v>
      </c>
      <c r="P2" t="e">
        <v>#VALUE!</v>
      </c>
      <c r="Q2" t="e">
        <v>#VALUE!</v>
      </c>
      <c r="R2" t="e">
        <v>#VALUE!</v>
      </c>
      <c r="S2" t="s">
        <v>100</v>
      </c>
      <c r="T2">
        <v>0.52638888900000003</v>
      </c>
      <c r="U2">
        <v>0.529861111</v>
      </c>
      <c r="V2">
        <v>0</v>
      </c>
      <c r="W2">
        <v>1</v>
      </c>
      <c r="X2">
        <v>40</v>
      </c>
      <c r="Y2">
        <v>73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</row>
    <row r="3" spans="1:94" x14ac:dyDescent="0.35">
      <c r="A3">
        <v>2</v>
      </c>
      <c r="B3">
        <v>45483</v>
      </c>
      <c r="C3" t="s">
        <v>93</v>
      </c>
      <c r="D3" t="s">
        <v>101</v>
      </c>
      <c r="E3" t="s">
        <v>95</v>
      </c>
      <c r="F3" t="s">
        <v>102</v>
      </c>
      <c r="G3" t="s">
        <v>103</v>
      </c>
      <c r="H3" t="s">
        <v>104</v>
      </c>
      <c r="I3" t="s">
        <v>105</v>
      </c>
      <c r="J3">
        <v>4</v>
      </c>
      <c r="K3" t="s">
        <v>106</v>
      </c>
      <c r="M3" t="s">
        <v>100</v>
      </c>
      <c r="N3">
        <v>388.8</v>
      </c>
      <c r="O3">
        <v>8.3053000000000008</v>
      </c>
      <c r="P3">
        <v>0</v>
      </c>
      <c r="Q3">
        <v>0</v>
      </c>
      <c r="R3">
        <v>0</v>
      </c>
      <c r="S3" t="s">
        <v>100</v>
      </c>
      <c r="T3">
        <v>0.58263888900000005</v>
      </c>
      <c r="U3">
        <v>0.58611111100000002</v>
      </c>
      <c r="V3">
        <v>0</v>
      </c>
      <c r="W3">
        <v>2</v>
      </c>
      <c r="X3">
        <v>40</v>
      </c>
      <c r="Y3">
        <v>75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4" x14ac:dyDescent="0.35">
      <c r="A4">
        <v>3</v>
      </c>
      <c r="B4">
        <v>45483</v>
      </c>
      <c r="C4" t="s">
        <v>93</v>
      </c>
      <c r="D4" t="s">
        <v>107</v>
      </c>
      <c r="E4" t="s">
        <v>95</v>
      </c>
      <c r="F4" t="s">
        <v>108</v>
      </c>
      <c r="G4" t="s">
        <v>97</v>
      </c>
      <c r="H4" t="s">
        <v>109</v>
      </c>
      <c r="I4" t="s">
        <v>110</v>
      </c>
      <c r="J4">
        <v>4</v>
      </c>
      <c r="K4" t="s">
        <v>111</v>
      </c>
      <c r="M4" t="s">
        <v>100</v>
      </c>
      <c r="N4">
        <v>68.400000000000006</v>
      </c>
      <c r="O4">
        <v>4.1488433149999997</v>
      </c>
      <c r="P4">
        <v>0</v>
      </c>
      <c r="Q4">
        <v>0</v>
      </c>
      <c r="R4">
        <v>0</v>
      </c>
      <c r="S4" t="s">
        <v>100</v>
      </c>
      <c r="T4">
        <v>0.49722222199999999</v>
      </c>
      <c r="U4">
        <v>0.50069444399999996</v>
      </c>
      <c r="V4">
        <v>0</v>
      </c>
      <c r="W4">
        <v>1</v>
      </c>
      <c r="X4">
        <v>10</v>
      </c>
      <c r="Y4">
        <v>72</v>
      </c>
      <c r="Z4">
        <v>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4" x14ac:dyDescent="0.35">
      <c r="A5">
        <v>4</v>
      </c>
      <c r="B5">
        <v>45483</v>
      </c>
      <c r="C5" t="s">
        <v>93</v>
      </c>
      <c r="D5" t="s">
        <v>112</v>
      </c>
      <c r="E5" t="s">
        <v>95</v>
      </c>
      <c r="F5" t="s">
        <v>113</v>
      </c>
      <c r="G5" t="s">
        <v>97</v>
      </c>
      <c r="H5">
        <v>11045</v>
      </c>
      <c r="I5" t="s">
        <v>114</v>
      </c>
      <c r="J5">
        <v>4</v>
      </c>
      <c r="K5" t="s">
        <v>111</v>
      </c>
      <c r="M5" t="s">
        <v>100</v>
      </c>
      <c r="N5">
        <v>31</v>
      </c>
      <c r="O5">
        <v>9.0432000000000006</v>
      </c>
      <c r="P5">
        <v>0</v>
      </c>
      <c r="Q5">
        <v>0</v>
      </c>
      <c r="R5">
        <v>0</v>
      </c>
      <c r="S5" t="s">
        <v>100</v>
      </c>
      <c r="T5">
        <v>0.50833333300000005</v>
      </c>
      <c r="U5">
        <v>0.51180555599999999</v>
      </c>
      <c r="V5">
        <v>0</v>
      </c>
      <c r="W5">
        <v>1</v>
      </c>
      <c r="X5">
        <v>10</v>
      </c>
      <c r="Y5">
        <v>72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</row>
    <row r="6" spans="1:94" x14ac:dyDescent="0.35">
      <c r="A6">
        <v>5</v>
      </c>
      <c r="B6">
        <v>45483</v>
      </c>
      <c r="C6" t="s">
        <v>93</v>
      </c>
      <c r="D6" t="s">
        <v>115</v>
      </c>
      <c r="E6" t="s">
        <v>95</v>
      </c>
      <c r="F6" t="s">
        <v>116</v>
      </c>
      <c r="G6" t="s">
        <v>97</v>
      </c>
      <c r="H6">
        <v>5079</v>
      </c>
      <c r="I6" t="s">
        <v>98</v>
      </c>
      <c r="J6">
        <v>4</v>
      </c>
      <c r="K6" t="s">
        <v>99</v>
      </c>
      <c r="M6" t="s">
        <v>100</v>
      </c>
      <c r="N6">
        <v>98.6</v>
      </c>
      <c r="O6">
        <v>14.13</v>
      </c>
      <c r="P6">
        <v>0</v>
      </c>
      <c r="Q6">
        <v>0</v>
      </c>
      <c r="R6">
        <v>0</v>
      </c>
      <c r="S6" t="s">
        <v>100</v>
      </c>
      <c r="T6">
        <v>0.48749999999999999</v>
      </c>
      <c r="U6">
        <v>0.49097222200000001</v>
      </c>
      <c r="V6">
        <v>0</v>
      </c>
      <c r="W6">
        <v>1</v>
      </c>
      <c r="X6">
        <v>10</v>
      </c>
      <c r="Y6">
        <v>72</v>
      </c>
      <c r="Z6">
        <v>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4" x14ac:dyDescent="0.35">
      <c r="A7">
        <v>6</v>
      </c>
      <c r="B7">
        <v>45483</v>
      </c>
      <c r="C7" t="s">
        <v>93</v>
      </c>
      <c r="D7" t="s">
        <v>117</v>
      </c>
      <c r="E7" t="s">
        <v>95</v>
      </c>
      <c r="F7" t="s">
        <v>118</v>
      </c>
      <c r="G7" t="s">
        <v>97</v>
      </c>
      <c r="H7">
        <v>1128</v>
      </c>
      <c r="I7" t="s">
        <v>105</v>
      </c>
      <c r="J7">
        <v>4</v>
      </c>
      <c r="K7" t="s">
        <v>111</v>
      </c>
      <c r="M7" t="s">
        <v>100</v>
      </c>
      <c r="N7">
        <v>36.1</v>
      </c>
      <c r="O7">
        <v>8.3053000000000008</v>
      </c>
      <c r="P7">
        <v>0</v>
      </c>
      <c r="Q7">
        <v>0</v>
      </c>
      <c r="R7">
        <v>0</v>
      </c>
      <c r="S7" t="s">
        <v>100</v>
      </c>
      <c r="T7">
        <v>0.51805555599999997</v>
      </c>
      <c r="U7">
        <v>0.52152777800000005</v>
      </c>
      <c r="V7">
        <v>0</v>
      </c>
      <c r="W7">
        <v>1</v>
      </c>
      <c r="X7">
        <v>40</v>
      </c>
      <c r="Y7">
        <v>73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4" x14ac:dyDescent="0.35">
      <c r="A8">
        <v>7</v>
      </c>
      <c r="B8">
        <v>45483</v>
      </c>
      <c r="C8" t="s">
        <v>93</v>
      </c>
      <c r="D8" t="s">
        <v>119</v>
      </c>
      <c r="E8" t="s">
        <v>95</v>
      </c>
      <c r="F8" t="s">
        <v>120</v>
      </c>
      <c r="G8" t="s">
        <v>97</v>
      </c>
      <c r="H8">
        <v>12021</v>
      </c>
      <c r="I8" t="s">
        <v>98</v>
      </c>
      <c r="J8">
        <v>4</v>
      </c>
      <c r="K8" t="s">
        <v>99</v>
      </c>
      <c r="M8" t="s">
        <v>100</v>
      </c>
      <c r="N8">
        <v>97.8</v>
      </c>
      <c r="O8">
        <v>6.28</v>
      </c>
      <c r="P8">
        <v>0</v>
      </c>
      <c r="Q8">
        <v>0</v>
      </c>
      <c r="R8">
        <v>0</v>
      </c>
      <c r="S8" t="s">
        <v>100</v>
      </c>
      <c r="T8">
        <v>0.47777777799999999</v>
      </c>
      <c r="U8">
        <v>0.49097222200000001</v>
      </c>
      <c r="V8">
        <v>0</v>
      </c>
      <c r="W8">
        <v>1</v>
      </c>
      <c r="X8">
        <v>10</v>
      </c>
      <c r="Y8">
        <v>72</v>
      </c>
      <c r="Z8">
        <v>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</row>
    <row r="9" spans="1:94" x14ac:dyDescent="0.35">
      <c r="A9">
        <v>8</v>
      </c>
      <c r="B9">
        <v>45486</v>
      </c>
      <c r="C9" t="s">
        <v>93</v>
      </c>
      <c r="D9" t="s">
        <v>121</v>
      </c>
      <c r="E9" t="s">
        <v>95</v>
      </c>
      <c r="F9" t="s">
        <v>122</v>
      </c>
      <c r="G9" t="s">
        <v>103</v>
      </c>
      <c r="H9">
        <v>2068</v>
      </c>
      <c r="I9" t="s">
        <v>98</v>
      </c>
      <c r="J9">
        <v>4</v>
      </c>
      <c r="K9" t="s">
        <v>123</v>
      </c>
      <c r="M9" t="s">
        <v>100</v>
      </c>
      <c r="N9">
        <v>278.5</v>
      </c>
      <c r="O9" t="e">
        <v>#VALUE!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>
        <v>9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4" x14ac:dyDescent="0.35">
      <c r="A10">
        <v>9</v>
      </c>
      <c r="B10">
        <v>45490</v>
      </c>
      <c r="C10" t="s">
        <v>93</v>
      </c>
      <c r="D10" t="s">
        <v>124</v>
      </c>
      <c r="E10" t="s">
        <v>95</v>
      </c>
      <c r="F10" t="s">
        <v>125</v>
      </c>
      <c r="G10" t="s">
        <v>97</v>
      </c>
      <c r="H10">
        <v>14026</v>
      </c>
      <c r="I10" t="s">
        <v>105</v>
      </c>
      <c r="J10">
        <v>4</v>
      </c>
      <c r="K10" t="s">
        <v>111</v>
      </c>
      <c r="M10" t="s">
        <v>100</v>
      </c>
      <c r="N10">
        <v>76.5</v>
      </c>
      <c r="O10">
        <v>8.5731957570000006</v>
      </c>
      <c r="P10">
        <v>0</v>
      </c>
      <c r="Q10">
        <v>0</v>
      </c>
      <c r="R10">
        <v>0</v>
      </c>
      <c r="S10" t="s">
        <v>100</v>
      </c>
      <c r="T10">
        <v>0.43541666699999998</v>
      </c>
      <c r="U10">
        <v>0.438888889</v>
      </c>
      <c r="V10">
        <v>0</v>
      </c>
      <c r="W10">
        <v>2</v>
      </c>
      <c r="X10">
        <v>0</v>
      </c>
      <c r="Y10">
        <v>71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4" x14ac:dyDescent="0.35">
      <c r="A11">
        <v>10</v>
      </c>
      <c r="B11">
        <v>45490</v>
      </c>
      <c r="C11" t="s">
        <v>93</v>
      </c>
      <c r="D11" t="s">
        <v>126</v>
      </c>
      <c r="E11" t="s">
        <v>95</v>
      </c>
      <c r="F11" t="s">
        <v>127</v>
      </c>
      <c r="G11" t="s">
        <v>97</v>
      </c>
      <c r="H11">
        <v>17047</v>
      </c>
      <c r="I11" t="s">
        <v>114</v>
      </c>
      <c r="J11">
        <v>4</v>
      </c>
      <c r="K11" t="s">
        <v>111</v>
      </c>
      <c r="M11" t="s">
        <v>100</v>
      </c>
      <c r="N11">
        <v>109</v>
      </c>
      <c r="O11">
        <v>9.3348974590000005</v>
      </c>
      <c r="P11">
        <v>0</v>
      </c>
      <c r="Q11">
        <v>0</v>
      </c>
      <c r="R11">
        <v>0</v>
      </c>
      <c r="S11" t="s">
        <v>100</v>
      </c>
      <c r="T11">
        <v>0.65833333299999997</v>
      </c>
      <c r="U11">
        <v>0.66180555600000002</v>
      </c>
      <c r="V11">
        <v>0</v>
      </c>
      <c r="W11">
        <v>2</v>
      </c>
      <c r="X11">
        <v>40</v>
      </c>
      <c r="Y11">
        <v>77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4" x14ac:dyDescent="0.35">
      <c r="A12">
        <v>11</v>
      </c>
      <c r="B12">
        <v>45490</v>
      </c>
      <c r="C12" t="s">
        <v>93</v>
      </c>
      <c r="D12" t="s">
        <v>126</v>
      </c>
      <c r="E12" t="s">
        <v>95</v>
      </c>
      <c r="F12" t="s">
        <v>127</v>
      </c>
      <c r="G12" t="s">
        <v>97</v>
      </c>
      <c r="H12">
        <v>17047</v>
      </c>
      <c r="I12" t="s">
        <v>114</v>
      </c>
      <c r="J12">
        <v>4</v>
      </c>
      <c r="K12" t="s">
        <v>111</v>
      </c>
      <c r="M12" t="s">
        <v>100</v>
      </c>
      <c r="N12">
        <v>109</v>
      </c>
      <c r="O12">
        <v>9.3348974590000005</v>
      </c>
      <c r="P12">
        <v>0</v>
      </c>
      <c r="Q12">
        <v>0</v>
      </c>
      <c r="R12">
        <v>0</v>
      </c>
      <c r="S12" t="s">
        <v>100</v>
      </c>
      <c r="T12">
        <v>0.65833333299999997</v>
      </c>
      <c r="U12">
        <v>0.66180555600000002</v>
      </c>
      <c r="V12">
        <v>0</v>
      </c>
      <c r="W12">
        <v>2</v>
      </c>
      <c r="X12">
        <v>40</v>
      </c>
      <c r="Y12">
        <v>77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4" x14ac:dyDescent="0.35">
      <c r="A13">
        <v>12</v>
      </c>
      <c r="B13">
        <v>45490</v>
      </c>
      <c r="C13" t="s">
        <v>93</v>
      </c>
      <c r="D13" t="s">
        <v>128</v>
      </c>
      <c r="E13" t="s">
        <v>95</v>
      </c>
      <c r="F13" t="s">
        <v>129</v>
      </c>
      <c r="G13" t="s">
        <v>97</v>
      </c>
      <c r="H13">
        <v>14010</v>
      </c>
      <c r="I13" t="s">
        <v>98</v>
      </c>
      <c r="J13">
        <v>4</v>
      </c>
      <c r="K13" t="s">
        <v>99</v>
      </c>
      <c r="M13" t="s">
        <v>100</v>
      </c>
      <c r="N13">
        <v>59.7</v>
      </c>
      <c r="O13">
        <v>5.5466469710000004</v>
      </c>
      <c r="P13">
        <v>0</v>
      </c>
      <c r="Q13">
        <v>0</v>
      </c>
      <c r="R13">
        <v>0</v>
      </c>
      <c r="S13" t="s">
        <v>100</v>
      </c>
      <c r="T13">
        <v>0.42361111099999998</v>
      </c>
      <c r="U13">
        <v>0.42708333300000001</v>
      </c>
      <c r="V13">
        <v>0</v>
      </c>
      <c r="W13">
        <v>2</v>
      </c>
      <c r="X13">
        <v>0</v>
      </c>
      <c r="Y13">
        <v>71</v>
      </c>
      <c r="Z13">
        <v>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4" x14ac:dyDescent="0.35">
      <c r="A14">
        <v>13</v>
      </c>
      <c r="B14">
        <v>45490</v>
      </c>
      <c r="C14" t="s">
        <v>93</v>
      </c>
      <c r="D14" t="s">
        <v>121</v>
      </c>
      <c r="E14" t="s">
        <v>95</v>
      </c>
      <c r="F14" t="s">
        <v>122</v>
      </c>
      <c r="G14" t="s">
        <v>103</v>
      </c>
      <c r="H14">
        <v>2068</v>
      </c>
      <c r="I14" t="s">
        <v>98</v>
      </c>
      <c r="J14">
        <v>4</v>
      </c>
      <c r="K14" t="s">
        <v>123</v>
      </c>
      <c r="M14" t="s">
        <v>100</v>
      </c>
      <c r="N14">
        <v>278.5</v>
      </c>
      <c r="O14" t="e">
        <v>#VALUE!</v>
      </c>
      <c r="P14" t="e">
        <v>#VALUE!</v>
      </c>
      <c r="Q14">
        <v>0</v>
      </c>
      <c r="R14" t="e">
        <v>#VALUE!</v>
      </c>
      <c r="S14" t="s">
        <v>100</v>
      </c>
      <c r="T14">
        <v>0.49652777799999998</v>
      </c>
      <c r="U14">
        <v>0.5</v>
      </c>
      <c r="V14">
        <v>0</v>
      </c>
      <c r="W14">
        <v>1</v>
      </c>
      <c r="X14">
        <v>20</v>
      </c>
      <c r="Y14">
        <v>73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4" x14ac:dyDescent="0.35">
      <c r="A15">
        <v>14</v>
      </c>
      <c r="B15">
        <v>45490</v>
      </c>
      <c r="C15" t="s">
        <v>93</v>
      </c>
      <c r="D15" t="s">
        <v>130</v>
      </c>
      <c r="E15" t="s">
        <v>95</v>
      </c>
      <c r="F15" t="s">
        <v>125</v>
      </c>
      <c r="G15" t="s">
        <v>97</v>
      </c>
      <c r="H15" t="s">
        <v>131</v>
      </c>
      <c r="I15" t="s">
        <v>110</v>
      </c>
      <c r="J15" t="s">
        <v>100</v>
      </c>
      <c r="K15" t="s">
        <v>111</v>
      </c>
      <c r="M15" t="s">
        <v>100</v>
      </c>
      <c r="N15">
        <v>71.400000000000006</v>
      </c>
      <c r="O15">
        <v>8.9499950029999997</v>
      </c>
      <c r="P15">
        <v>0</v>
      </c>
      <c r="Q15">
        <v>0</v>
      </c>
      <c r="R15">
        <v>0</v>
      </c>
      <c r="S15" t="s">
        <v>100</v>
      </c>
      <c r="T15">
        <v>0.396527778</v>
      </c>
      <c r="U15">
        <v>0.4</v>
      </c>
      <c r="V15">
        <v>0</v>
      </c>
      <c r="W15">
        <v>2</v>
      </c>
      <c r="X15">
        <v>0</v>
      </c>
      <c r="Y15">
        <v>71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4" x14ac:dyDescent="0.35">
      <c r="A16">
        <v>15</v>
      </c>
      <c r="B16">
        <v>45490</v>
      </c>
      <c r="C16" t="s">
        <v>93</v>
      </c>
      <c r="D16" t="s">
        <v>132</v>
      </c>
      <c r="E16" t="s">
        <v>95</v>
      </c>
      <c r="F16" t="s">
        <v>125</v>
      </c>
      <c r="G16" t="s">
        <v>97</v>
      </c>
      <c r="H16" t="s">
        <v>133</v>
      </c>
      <c r="I16" t="s">
        <v>105</v>
      </c>
      <c r="J16">
        <v>4</v>
      </c>
      <c r="K16" t="s">
        <v>111</v>
      </c>
      <c r="M16" t="s">
        <v>100</v>
      </c>
      <c r="N16">
        <v>94.3</v>
      </c>
      <c r="O16">
        <v>8.5731957570000006</v>
      </c>
      <c r="P16">
        <v>0</v>
      </c>
      <c r="Q16">
        <v>0</v>
      </c>
      <c r="R16">
        <v>0</v>
      </c>
      <c r="S16" t="s">
        <v>100</v>
      </c>
      <c r="T16">
        <v>0.40625</v>
      </c>
      <c r="U16">
        <v>0.40972222200000002</v>
      </c>
      <c r="V16">
        <v>0</v>
      </c>
      <c r="W16">
        <v>2</v>
      </c>
      <c r="X16">
        <v>0</v>
      </c>
      <c r="Y16">
        <v>71</v>
      </c>
      <c r="Z16">
        <v>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4" x14ac:dyDescent="0.35">
      <c r="A17">
        <v>16</v>
      </c>
      <c r="B17">
        <v>45490</v>
      </c>
      <c r="C17" t="s">
        <v>93</v>
      </c>
      <c r="D17" t="s">
        <v>134</v>
      </c>
      <c r="E17" t="s">
        <v>95</v>
      </c>
      <c r="F17" t="s">
        <v>116</v>
      </c>
      <c r="G17" t="s">
        <v>97</v>
      </c>
      <c r="H17">
        <v>14001</v>
      </c>
      <c r="I17" t="s">
        <v>98</v>
      </c>
      <c r="J17">
        <v>4</v>
      </c>
      <c r="K17" t="s">
        <v>99</v>
      </c>
      <c r="M17" t="s">
        <v>100</v>
      </c>
      <c r="N17">
        <v>25.9</v>
      </c>
      <c r="O17">
        <v>8.2044997199999994</v>
      </c>
      <c r="P17">
        <v>0</v>
      </c>
      <c r="Q17">
        <v>0</v>
      </c>
      <c r="R17">
        <v>0</v>
      </c>
      <c r="S17" t="s">
        <v>100</v>
      </c>
      <c r="T17">
        <v>0.64652777800000005</v>
      </c>
      <c r="U17">
        <v>0.65</v>
      </c>
      <c r="V17">
        <v>0</v>
      </c>
      <c r="W17">
        <v>2</v>
      </c>
      <c r="X17">
        <v>25</v>
      </c>
      <c r="Y17">
        <v>73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4" x14ac:dyDescent="0.35">
      <c r="A18">
        <v>17</v>
      </c>
      <c r="B18">
        <v>45490</v>
      </c>
      <c r="C18" t="s">
        <v>93</v>
      </c>
      <c r="D18" t="s">
        <v>134</v>
      </c>
      <c r="E18" t="s">
        <v>95</v>
      </c>
      <c r="F18" t="s">
        <v>116</v>
      </c>
      <c r="G18" t="s">
        <v>97</v>
      </c>
      <c r="H18">
        <v>14001</v>
      </c>
      <c r="I18" t="s">
        <v>98</v>
      </c>
      <c r="J18">
        <v>4</v>
      </c>
      <c r="K18" t="s">
        <v>99</v>
      </c>
      <c r="M18" t="s">
        <v>100</v>
      </c>
      <c r="N18">
        <v>25.9</v>
      </c>
      <c r="O18">
        <v>8.2044997199999994</v>
      </c>
      <c r="P18">
        <v>0</v>
      </c>
      <c r="Q18">
        <v>0</v>
      </c>
      <c r="R18">
        <v>0</v>
      </c>
      <c r="S18" t="s">
        <v>100</v>
      </c>
      <c r="T18">
        <v>0.46805555599999998</v>
      </c>
      <c r="U18">
        <v>0.47152777800000001</v>
      </c>
      <c r="V18">
        <v>0</v>
      </c>
      <c r="W18">
        <v>2</v>
      </c>
      <c r="X18">
        <v>5</v>
      </c>
      <c r="Y18">
        <v>73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t="s">
        <v>135</v>
      </c>
    </row>
    <row r="19" spans="1:94" x14ac:dyDescent="0.35">
      <c r="A19">
        <v>18</v>
      </c>
      <c r="B19">
        <v>45490</v>
      </c>
      <c r="C19" t="s">
        <v>93</v>
      </c>
      <c r="D19" t="s">
        <v>136</v>
      </c>
      <c r="E19" t="s">
        <v>95</v>
      </c>
      <c r="F19" t="s">
        <v>137</v>
      </c>
      <c r="G19" t="s">
        <v>97</v>
      </c>
      <c r="H19" t="s">
        <v>138</v>
      </c>
      <c r="I19" t="s">
        <v>114</v>
      </c>
      <c r="J19">
        <v>4</v>
      </c>
      <c r="K19" t="s">
        <v>111</v>
      </c>
      <c r="M19" t="s">
        <v>100</v>
      </c>
      <c r="N19">
        <v>72.099999999999994</v>
      </c>
      <c r="O19">
        <v>6.162490901</v>
      </c>
      <c r="P19">
        <v>0</v>
      </c>
      <c r="Q19">
        <v>0</v>
      </c>
      <c r="R19">
        <v>0</v>
      </c>
      <c r="S19" t="s">
        <v>100</v>
      </c>
      <c r="T19">
        <v>0.67638888900000005</v>
      </c>
      <c r="U19">
        <v>0.67986111100000002</v>
      </c>
      <c r="V19">
        <v>0</v>
      </c>
      <c r="W19">
        <v>2</v>
      </c>
      <c r="X19">
        <v>40</v>
      </c>
      <c r="Y19">
        <v>77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4" x14ac:dyDescent="0.35">
      <c r="A20">
        <v>19</v>
      </c>
      <c r="B20">
        <v>45490</v>
      </c>
      <c r="C20" t="s">
        <v>93</v>
      </c>
      <c r="D20" t="s">
        <v>139</v>
      </c>
      <c r="E20" t="s">
        <v>95</v>
      </c>
      <c r="F20" t="s">
        <v>140</v>
      </c>
      <c r="G20" t="s">
        <v>97</v>
      </c>
      <c r="H20">
        <v>14022</v>
      </c>
      <c r="I20" t="s">
        <v>114</v>
      </c>
      <c r="J20">
        <v>4</v>
      </c>
      <c r="K20" t="s">
        <v>111</v>
      </c>
      <c r="M20" t="s">
        <v>100</v>
      </c>
      <c r="N20">
        <v>47.1</v>
      </c>
      <c r="O20">
        <v>5.5466469710000004</v>
      </c>
      <c r="P20">
        <v>0</v>
      </c>
      <c r="Q20">
        <v>0</v>
      </c>
      <c r="R20">
        <v>0</v>
      </c>
      <c r="S20" t="s">
        <v>100</v>
      </c>
      <c r="T20">
        <v>0.48055555599999999</v>
      </c>
      <c r="U20">
        <v>0.48402777800000002</v>
      </c>
      <c r="V20">
        <v>0</v>
      </c>
      <c r="W20">
        <v>2</v>
      </c>
      <c r="X20">
        <v>5</v>
      </c>
      <c r="Y20">
        <v>73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4" x14ac:dyDescent="0.35">
      <c r="A21">
        <v>20</v>
      </c>
      <c r="B21">
        <v>45490</v>
      </c>
      <c r="C21" t="s">
        <v>93</v>
      </c>
      <c r="D21" t="s">
        <v>141</v>
      </c>
      <c r="E21" t="s">
        <v>95</v>
      </c>
      <c r="F21" t="s">
        <v>142</v>
      </c>
      <c r="G21" t="s">
        <v>103</v>
      </c>
      <c r="H21" t="s">
        <v>143</v>
      </c>
      <c r="I21" t="s">
        <v>98</v>
      </c>
      <c r="J21">
        <v>4</v>
      </c>
      <c r="K21" t="s">
        <v>123</v>
      </c>
      <c r="M21" t="s">
        <v>100</v>
      </c>
      <c r="N21">
        <v>390.5</v>
      </c>
      <c r="O21">
        <v>3.6464443200000001</v>
      </c>
      <c r="P21">
        <v>0</v>
      </c>
      <c r="Q21">
        <v>0</v>
      </c>
      <c r="R21">
        <v>0</v>
      </c>
      <c r="S21" t="s">
        <v>100</v>
      </c>
      <c r="T21">
        <v>0.55625000000000002</v>
      </c>
      <c r="U21">
        <v>0.55972222199999999</v>
      </c>
      <c r="V21">
        <v>0</v>
      </c>
      <c r="W21">
        <v>2</v>
      </c>
      <c r="X21">
        <v>25</v>
      </c>
      <c r="Y21">
        <v>75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s">
        <v>144</v>
      </c>
    </row>
    <row r="22" spans="1:94" x14ac:dyDescent="0.35">
      <c r="A22">
        <v>21</v>
      </c>
      <c r="B22">
        <v>45490</v>
      </c>
      <c r="C22" t="s">
        <v>93</v>
      </c>
      <c r="D22" t="s">
        <v>141</v>
      </c>
      <c r="E22" t="s">
        <v>95</v>
      </c>
      <c r="F22" t="s">
        <v>142</v>
      </c>
      <c r="G22" t="s">
        <v>103</v>
      </c>
      <c r="H22" t="s">
        <v>143</v>
      </c>
      <c r="I22" t="s">
        <v>98</v>
      </c>
      <c r="J22">
        <v>4</v>
      </c>
      <c r="K22" t="s">
        <v>123</v>
      </c>
      <c r="M22" t="s">
        <v>100</v>
      </c>
      <c r="N22">
        <v>390.5</v>
      </c>
      <c r="O22">
        <v>3.6464443200000001</v>
      </c>
      <c r="P22">
        <v>0</v>
      </c>
      <c r="Q22">
        <v>0</v>
      </c>
      <c r="R22">
        <v>0</v>
      </c>
      <c r="S22" t="s">
        <v>100</v>
      </c>
      <c r="T22">
        <v>0.55625000000000002</v>
      </c>
      <c r="U22">
        <v>0.55972222199999999</v>
      </c>
      <c r="V22">
        <v>0</v>
      </c>
      <c r="W22">
        <v>2</v>
      </c>
      <c r="X22">
        <v>25</v>
      </c>
      <c r="Y22">
        <v>75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s">
        <v>144</v>
      </c>
    </row>
    <row r="23" spans="1:94" x14ac:dyDescent="0.35">
      <c r="A23">
        <v>22</v>
      </c>
      <c r="B23">
        <v>45490</v>
      </c>
      <c r="C23" t="s">
        <v>93</v>
      </c>
      <c r="D23" t="s">
        <v>145</v>
      </c>
      <c r="E23" t="s">
        <v>95</v>
      </c>
      <c r="F23" t="s">
        <v>146</v>
      </c>
      <c r="G23" t="s">
        <v>97</v>
      </c>
      <c r="H23">
        <v>4054</v>
      </c>
      <c r="I23" t="s">
        <v>110</v>
      </c>
      <c r="J23">
        <v>4</v>
      </c>
      <c r="K23" t="s">
        <v>111</v>
      </c>
      <c r="M23" t="s">
        <v>100</v>
      </c>
      <c r="N23">
        <v>50</v>
      </c>
      <c r="O23">
        <v>9.7279031249999992</v>
      </c>
      <c r="P23">
        <v>0</v>
      </c>
      <c r="Q23">
        <v>0</v>
      </c>
      <c r="R23">
        <v>0</v>
      </c>
      <c r="S23" t="s">
        <v>100</v>
      </c>
      <c r="T23">
        <v>0.45416666700000002</v>
      </c>
      <c r="U23">
        <v>0.45763888899999999</v>
      </c>
      <c r="V23">
        <v>0</v>
      </c>
      <c r="W23">
        <v>2</v>
      </c>
      <c r="X23">
        <v>5</v>
      </c>
      <c r="Y23">
        <v>73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4" x14ac:dyDescent="0.35">
      <c r="A24">
        <v>23</v>
      </c>
      <c r="B24">
        <v>45490</v>
      </c>
      <c r="C24" t="s">
        <v>93</v>
      </c>
      <c r="D24" t="s">
        <v>147</v>
      </c>
      <c r="E24" t="s">
        <v>95</v>
      </c>
      <c r="F24" t="s">
        <v>148</v>
      </c>
      <c r="G24" t="s">
        <v>103</v>
      </c>
      <c r="H24">
        <v>18022</v>
      </c>
      <c r="I24" t="s">
        <v>98</v>
      </c>
      <c r="J24">
        <v>3</v>
      </c>
      <c r="K24" t="s">
        <v>123</v>
      </c>
      <c r="M24" t="s">
        <v>100</v>
      </c>
      <c r="N24">
        <v>563.42857140000001</v>
      </c>
      <c r="O24">
        <v>9.3348974590000005</v>
      </c>
      <c r="P24">
        <v>0</v>
      </c>
      <c r="Q24">
        <v>0</v>
      </c>
      <c r="R24">
        <v>0</v>
      </c>
      <c r="S24" t="s">
        <v>100</v>
      </c>
      <c r="T24">
        <v>0.58055555599999997</v>
      </c>
      <c r="U24">
        <v>0.58402777800000005</v>
      </c>
      <c r="V24">
        <v>0</v>
      </c>
      <c r="W24">
        <v>2</v>
      </c>
      <c r="X24">
        <v>25</v>
      </c>
      <c r="Y24">
        <v>75</v>
      </c>
      <c r="Z24">
        <v>5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4" x14ac:dyDescent="0.35">
      <c r="A25">
        <v>24</v>
      </c>
      <c r="B25">
        <v>45490</v>
      </c>
      <c r="C25" t="s">
        <v>93</v>
      </c>
      <c r="D25" t="s">
        <v>149</v>
      </c>
      <c r="E25" t="s">
        <v>95</v>
      </c>
      <c r="F25" t="s">
        <v>150</v>
      </c>
      <c r="G25" t="s">
        <v>103</v>
      </c>
      <c r="H25">
        <v>10067</v>
      </c>
      <c r="I25" t="s">
        <v>114</v>
      </c>
      <c r="J25">
        <v>4</v>
      </c>
      <c r="K25" t="s">
        <v>106</v>
      </c>
      <c r="M25" t="s">
        <v>100</v>
      </c>
      <c r="N25">
        <v>88</v>
      </c>
      <c r="O25">
        <v>3.4073996370000001</v>
      </c>
      <c r="P25">
        <v>0</v>
      </c>
      <c r="Q25">
        <v>0</v>
      </c>
      <c r="R25">
        <v>0</v>
      </c>
      <c r="S25" t="s">
        <v>100</v>
      </c>
      <c r="T25">
        <v>0.59583333299999997</v>
      </c>
      <c r="U25">
        <v>0.59930555600000002</v>
      </c>
      <c r="V25">
        <v>0</v>
      </c>
      <c r="W25">
        <v>2</v>
      </c>
      <c r="X25">
        <v>25</v>
      </c>
      <c r="Y25">
        <v>75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4" x14ac:dyDescent="0.35">
      <c r="A26">
        <v>25</v>
      </c>
      <c r="B26">
        <v>45490</v>
      </c>
      <c r="C26" t="s">
        <v>93</v>
      </c>
      <c r="D26" t="s">
        <v>151</v>
      </c>
      <c r="E26" t="s">
        <v>95</v>
      </c>
      <c r="F26" t="s">
        <v>108</v>
      </c>
      <c r="G26" t="s">
        <v>97</v>
      </c>
      <c r="H26" t="s">
        <v>152</v>
      </c>
      <c r="I26" t="s">
        <v>110</v>
      </c>
      <c r="J26">
        <v>4</v>
      </c>
      <c r="K26" t="s">
        <v>111</v>
      </c>
      <c r="M26" t="s">
        <v>100</v>
      </c>
      <c r="N26">
        <v>27.1</v>
      </c>
      <c r="O26">
        <v>5.2508798209999998</v>
      </c>
      <c r="P26">
        <v>0</v>
      </c>
      <c r="Q26">
        <v>0</v>
      </c>
      <c r="R26">
        <v>0</v>
      </c>
      <c r="S26" t="s">
        <v>100</v>
      </c>
      <c r="T26">
        <v>0.445833333</v>
      </c>
      <c r="U26">
        <v>0.45624999999999999</v>
      </c>
      <c r="V26">
        <v>0</v>
      </c>
      <c r="W26">
        <v>2</v>
      </c>
      <c r="X26">
        <v>5</v>
      </c>
      <c r="Y26">
        <v>73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t="s">
        <v>153</v>
      </c>
    </row>
    <row r="27" spans="1:94" x14ac:dyDescent="0.35">
      <c r="A27">
        <v>26</v>
      </c>
      <c r="B27">
        <v>45490</v>
      </c>
      <c r="C27" t="s">
        <v>93</v>
      </c>
      <c r="D27" t="s">
        <v>154</v>
      </c>
      <c r="E27" t="s">
        <v>95</v>
      </c>
      <c r="F27" t="s">
        <v>155</v>
      </c>
      <c r="G27" t="s">
        <v>103</v>
      </c>
      <c r="H27">
        <v>9050</v>
      </c>
      <c r="I27" t="s">
        <v>105</v>
      </c>
      <c r="J27">
        <v>3</v>
      </c>
      <c r="K27" t="s">
        <v>106</v>
      </c>
      <c r="M27" t="s">
        <v>100</v>
      </c>
      <c r="N27">
        <v>557.4</v>
      </c>
      <c r="O27">
        <v>13.163664000000001</v>
      </c>
      <c r="P27">
        <v>0</v>
      </c>
      <c r="Q27">
        <v>0</v>
      </c>
      <c r="R27">
        <v>0</v>
      </c>
      <c r="S27" t="s">
        <v>100</v>
      </c>
      <c r="T27">
        <v>0.60486111099999995</v>
      </c>
      <c r="U27">
        <v>0.60902777799999996</v>
      </c>
      <c r="V27">
        <v>0</v>
      </c>
      <c r="W27">
        <v>2</v>
      </c>
      <c r="X27">
        <v>25</v>
      </c>
      <c r="Y27">
        <v>75</v>
      </c>
      <c r="Z27">
        <v>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4" x14ac:dyDescent="0.35">
      <c r="A28">
        <v>27</v>
      </c>
      <c r="B28">
        <v>45491</v>
      </c>
      <c r="C28" t="s">
        <v>93</v>
      </c>
      <c r="D28" t="s">
        <v>156</v>
      </c>
      <c r="E28" t="s">
        <v>95</v>
      </c>
      <c r="F28" t="s">
        <v>157</v>
      </c>
      <c r="G28" t="s">
        <v>97</v>
      </c>
      <c r="H28">
        <v>93021</v>
      </c>
      <c r="I28" t="s">
        <v>98</v>
      </c>
      <c r="J28" t="s">
        <v>100</v>
      </c>
      <c r="K28" t="s">
        <v>99</v>
      </c>
      <c r="M28" t="s">
        <v>100</v>
      </c>
      <c r="N28">
        <v>404.7</v>
      </c>
      <c r="O28">
        <v>9.3348974590000005</v>
      </c>
      <c r="P28">
        <v>0</v>
      </c>
      <c r="Q28">
        <v>0</v>
      </c>
      <c r="R28">
        <v>0</v>
      </c>
      <c r="S28" t="s">
        <v>100</v>
      </c>
      <c r="T28">
        <v>0.51458333300000003</v>
      </c>
      <c r="U28">
        <v>0.51805555599999997</v>
      </c>
      <c r="V28">
        <v>0</v>
      </c>
      <c r="W28">
        <v>2</v>
      </c>
      <c r="X28">
        <v>65</v>
      </c>
      <c r="Y28">
        <v>70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4" x14ac:dyDescent="0.35">
      <c r="A29">
        <v>28</v>
      </c>
      <c r="B29">
        <v>45491</v>
      </c>
      <c r="C29" t="s">
        <v>93</v>
      </c>
      <c r="D29" t="s">
        <v>158</v>
      </c>
      <c r="E29" t="s">
        <v>95</v>
      </c>
      <c r="F29" t="s">
        <v>159</v>
      </c>
      <c r="G29" t="s">
        <v>97</v>
      </c>
      <c r="H29" t="s">
        <v>160</v>
      </c>
      <c r="I29" t="s">
        <v>114</v>
      </c>
      <c r="J29">
        <v>4</v>
      </c>
      <c r="K29" t="s">
        <v>111</v>
      </c>
      <c r="M29" t="s">
        <v>100</v>
      </c>
      <c r="N29">
        <v>55.8</v>
      </c>
      <c r="O29">
        <v>2.3337243650000001</v>
      </c>
      <c r="P29">
        <v>0</v>
      </c>
      <c r="Q29">
        <v>0</v>
      </c>
      <c r="R29">
        <v>0</v>
      </c>
      <c r="S29" t="s">
        <v>100</v>
      </c>
      <c r="T29">
        <v>0.54236111099999995</v>
      </c>
      <c r="U29">
        <v>0.54583333300000003</v>
      </c>
      <c r="V29">
        <v>0</v>
      </c>
      <c r="W29">
        <v>2</v>
      </c>
      <c r="X29">
        <v>65</v>
      </c>
      <c r="Y29">
        <v>70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t="s">
        <v>161</v>
      </c>
    </row>
    <row r="30" spans="1:94" x14ac:dyDescent="0.35">
      <c r="A30">
        <v>29</v>
      </c>
      <c r="B30">
        <v>45491</v>
      </c>
      <c r="C30" t="s">
        <v>93</v>
      </c>
      <c r="D30" t="s">
        <v>162</v>
      </c>
      <c r="E30" t="s">
        <v>95</v>
      </c>
      <c r="F30" t="s">
        <v>163</v>
      </c>
      <c r="G30" t="s">
        <v>97</v>
      </c>
      <c r="H30" t="s">
        <v>164</v>
      </c>
      <c r="I30" t="s">
        <v>98</v>
      </c>
      <c r="J30">
        <v>4</v>
      </c>
      <c r="K30" t="s">
        <v>99</v>
      </c>
      <c r="M30" t="s">
        <v>100</v>
      </c>
      <c r="N30" t="s">
        <v>100</v>
      </c>
      <c r="O30">
        <v>1.0372108289999999</v>
      </c>
      <c r="P30">
        <v>0</v>
      </c>
      <c r="Q30" t="e">
        <v>#VALUE!</v>
      </c>
      <c r="R30" t="e">
        <v>#VALUE!</v>
      </c>
      <c r="S30" t="s">
        <v>100</v>
      </c>
      <c r="T30">
        <v>0.52500000000000002</v>
      </c>
      <c r="U30">
        <v>0.52847222199999999</v>
      </c>
      <c r="V30">
        <v>0</v>
      </c>
      <c r="W30">
        <v>2</v>
      </c>
      <c r="X30">
        <v>65</v>
      </c>
      <c r="Y30">
        <v>70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4" x14ac:dyDescent="0.35">
      <c r="A31">
        <v>30</v>
      </c>
      <c r="B31">
        <v>45491</v>
      </c>
      <c r="C31" t="s">
        <v>93</v>
      </c>
      <c r="D31" t="s">
        <v>165</v>
      </c>
      <c r="E31" t="s">
        <v>95</v>
      </c>
      <c r="F31" t="s">
        <v>96</v>
      </c>
      <c r="G31" t="s">
        <v>97</v>
      </c>
      <c r="H31">
        <v>5026</v>
      </c>
      <c r="I31" t="s">
        <v>98</v>
      </c>
      <c r="J31">
        <v>4</v>
      </c>
      <c r="K31" t="s">
        <v>99</v>
      </c>
      <c r="M31" t="s">
        <v>100</v>
      </c>
      <c r="N31">
        <v>5.5</v>
      </c>
      <c r="O31">
        <v>0.90683199999999997</v>
      </c>
      <c r="P31">
        <v>0</v>
      </c>
      <c r="Q31">
        <v>0</v>
      </c>
      <c r="R31">
        <v>0</v>
      </c>
      <c r="S31" t="s">
        <v>100</v>
      </c>
      <c r="T31">
        <v>0.54236111099999995</v>
      </c>
      <c r="U31">
        <v>0.54583333300000003</v>
      </c>
      <c r="V31">
        <v>0</v>
      </c>
      <c r="W31">
        <v>2</v>
      </c>
      <c r="X31">
        <v>35</v>
      </c>
      <c r="Y31">
        <v>73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</row>
    <row r="32" spans="1:94" x14ac:dyDescent="0.35">
      <c r="A32">
        <v>31</v>
      </c>
      <c r="B32">
        <v>45491</v>
      </c>
      <c r="C32" t="s">
        <v>93</v>
      </c>
      <c r="D32" t="s">
        <v>166</v>
      </c>
      <c r="E32" t="s">
        <v>95</v>
      </c>
      <c r="F32" t="s">
        <v>167</v>
      </c>
      <c r="G32" t="s">
        <v>97</v>
      </c>
      <c r="H32">
        <v>15055</v>
      </c>
      <c r="I32" t="s">
        <v>105</v>
      </c>
      <c r="J32">
        <v>4</v>
      </c>
      <c r="K32" t="s">
        <v>111</v>
      </c>
      <c r="M32" t="s">
        <v>100</v>
      </c>
      <c r="N32">
        <v>42.8</v>
      </c>
      <c r="O32">
        <v>11.8144796</v>
      </c>
      <c r="P32">
        <v>0</v>
      </c>
      <c r="Q32">
        <v>0</v>
      </c>
      <c r="R32">
        <v>0</v>
      </c>
      <c r="S32" t="s">
        <v>100</v>
      </c>
      <c r="T32">
        <v>0.53541666700000001</v>
      </c>
      <c r="U32">
        <v>0.53888888899999998</v>
      </c>
      <c r="V32">
        <v>0</v>
      </c>
      <c r="W32">
        <v>2</v>
      </c>
      <c r="X32">
        <v>65</v>
      </c>
      <c r="Y32">
        <v>70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</row>
    <row r="33" spans="1:94" x14ac:dyDescent="0.35">
      <c r="A33">
        <v>32</v>
      </c>
      <c r="B33">
        <v>45493</v>
      </c>
      <c r="C33" t="s">
        <v>93</v>
      </c>
      <c r="D33" t="s">
        <v>112</v>
      </c>
      <c r="E33" t="s">
        <v>95</v>
      </c>
      <c r="F33" t="s">
        <v>113</v>
      </c>
      <c r="G33" t="s">
        <v>97</v>
      </c>
      <c r="H33">
        <v>11045</v>
      </c>
      <c r="I33" t="s">
        <v>114</v>
      </c>
      <c r="J33">
        <v>4</v>
      </c>
      <c r="K33" t="s">
        <v>111</v>
      </c>
      <c r="M33" t="s">
        <v>100</v>
      </c>
      <c r="N33">
        <v>31</v>
      </c>
      <c r="O33">
        <v>9.0432000000000006</v>
      </c>
      <c r="T33" t="s">
        <v>100</v>
      </c>
      <c r="U33" t="s">
        <v>100</v>
      </c>
      <c r="V33" t="s">
        <v>100</v>
      </c>
      <c r="W33" t="s">
        <v>100</v>
      </c>
      <c r="X33" t="s">
        <v>100</v>
      </c>
      <c r="Y33" t="s">
        <v>100</v>
      </c>
      <c r="Z33">
        <v>9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</row>
    <row r="34" spans="1:94" x14ac:dyDescent="0.35">
      <c r="A34">
        <v>33</v>
      </c>
      <c r="B34">
        <v>45495</v>
      </c>
      <c r="C34" t="s">
        <v>93</v>
      </c>
      <c r="D34" t="s">
        <v>168</v>
      </c>
      <c r="E34" t="s">
        <v>95</v>
      </c>
      <c r="F34" t="s">
        <v>155</v>
      </c>
      <c r="G34" t="s">
        <v>103</v>
      </c>
      <c r="H34">
        <v>9050</v>
      </c>
      <c r="I34" t="s">
        <v>105</v>
      </c>
      <c r="J34">
        <v>4</v>
      </c>
      <c r="K34" t="s">
        <v>106</v>
      </c>
      <c r="L34">
        <v>9.33</v>
      </c>
      <c r="M34" t="s">
        <v>100</v>
      </c>
      <c r="N34">
        <v>1180.7</v>
      </c>
      <c r="O34">
        <v>9.0432000000000006</v>
      </c>
      <c r="P34">
        <v>84.373056000000005</v>
      </c>
      <c r="Q34">
        <v>0</v>
      </c>
      <c r="R34">
        <v>99619.267219999994</v>
      </c>
      <c r="S34">
        <v>99619.267219999994</v>
      </c>
      <c r="T34">
        <v>0.46875</v>
      </c>
      <c r="U34">
        <v>0.47222222200000002</v>
      </c>
      <c r="V34">
        <v>0</v>
      </c>
      <c r="W34">
        <v>1</v>
      </c>
      <c r="X34">
        <v>5</v>
      </c>
      <c r="Y34">
        <v>78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 t="s">
        <v>81</v>
      </c>
    </row>
    <row r="35" spans="1:94" x14ac:dyDescent="0.35">
      <c r="A35">
        <v>34</v>
      </c>
      <c r="B35">
        <v>45495</v>
      </c>
      <c r="C35" t="s">
        <v>93</v>
      </c>
      <c r="D35" t="s">
        <v>119</v>
      </c>
      <c r="E35" t="s">
        <v>169</v>
      </c>
      <c r="F35" t="s">
        <v>120</v>
      </c>
      <c r="G35" t="s">
        <v>97</v>
      </c>
      <c r="H35">
        <v>12021</v>
      </c>
      <c r="I35" t="s">
        <v>98</v>
      </c>
      <c r="J35">
        <v>4</v>
      </c>
      <c r="K35" t="s">
        <v>99</v>
      </c>
      <c r="L35">
        <v>12.3</v>
      </c>
      <c r="M35" t="s">
        <v>100</v>
      </c>
      <c r="N35">
        <v>97.8</v>
      </c>
      <c r="O35">
        <v>6.28</v>
      </c>
      <c r="P35">
        <v>77.244</v>
      </c>
      <c r="Q35">
        <v>0</v>
      </c>
      <c r="R35">
        <v>7554.4632000000001</v>
      </c>
      <c r="S35">
        <v>7554.4632000000001</v>
      </c>
      <c r="T35">
        <v>0.66527777799999999</v>
      </c>
      <c r="U35">
        <v>0.66874999999999996</v>
      </c>
      <c r="V35">
        <v>0</v>
      </c>
      <c r="W35">
        <v>1</v>
      </c>
      <c r="X35">
        <v>75</v>
      </c>
      <c r="Y35">
        <v>79</v>
      </c>
      <c r="Z35">
        <v>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</row>
    <row r="36" spans="1:94" x14ac:dyDescent="0.35">
      <c r="A36">
        <v>35</v>
      </c>
      <c r="B36">
        <v>45496</v>
      </c>
      <c r="C36" t="s">
        <v>93</v>
      </c>
      <c r="D36" t="s">
        <v>170</v>
      </c>
      <c r="E36" t="s">
        <v>95</v>
      </c>
      <c r="F36" t="s">
        <v>171</v>
      </c>
      <c r="G36" t="s">
        <v>103</v>
      </c>
      <c r="H36">
        <v>12019</v>
      </c>
      <c r="I36" t="s">
        <v>114</v>
      </c>
      <c r="J36">
        <v>4</v>
      </c>
      <c r="K36" t="s">
        <v>106</v>
      </c>
      <c r="L36">
        <v>5.6</v>
      </c>
      <c r="M36" t="s">
        <v>100</v>
      </c>
      <c r="N36">
        <v>528.4</v>
      </c>
      <c r="O36">
        <v>17.097300000000001</v>
      </c>
      <c r="P36">
        <v>95.744879999999995</v>
      </c>
      <c r="Q36">
        <v>0</v>
      </c>
      <c r="R36">
        <v>50591.594590000001</v>
      </c>
      <c r="S36">
        <v>50591.594590000001</v>
      </c>
      <c r="T36">
        <v>0.5625</v>
      </c>
      <c r="U36">
        <v>0.56597222199999997</v>
      </c>
      <c r="V36">
        <v>0</v>
      </c>
      <c r="W36">
        <v>1</v>
      </c>
      <c r="X36">
        <v>100</v>
      </c>
      <c r="Y36">
        <v>77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</row>
    <row r="37" spans="1:94" x14ac:dyDescent="0.35">
      <c r="A37">
        <v>36</v>
      </c>
      <c r="B37">
        <v>45496</v>
      </c>
      <c r="C37" t="s">
        <v>93</v>
      </c>
      <c r="D37" t="s">
        <v>172</v>
      </c>
      <c r="E37" t="s">
        <v>95</v>
      </c>
      <c r="F37" t="s">
        <v>173</v>
      </c>
      <c r="G37" t="s">
        <v>103</v>
      </c>
      <c r="H37">
        <v>7027</v>
      </c>
      <c r="I37" t="s">
        <v>110</v>
      </c>
      <c r="J37">
        <v>8</v>
      </c>
      <c r="K37" t="s">
        <v>106</v>
      </c>
      <c r="L37">
        <v>5</v>
      </c>
      <c r="M37" t="s">
        <v>100</v>
      </c>
      <c r="N37">
        <v>0</v>
      </c>
      <c r="O37">
        <v>6.28</v>
      </c>
      <c r="P37">
        <v>31.4</v>
      </c>
      <c r="Q37">
        <v>0</v>
      </c>
      <c r="R37">
        <v>0</v>
      </c>
      <c r="S37">
        <v>0</v>
      </c>
      <c r="T37">
        <v>0.55347222200000001</v>
      </c>
      <c r="U37">
        <v>0.55694444399999998</v>
      </c>
      <c r="V37">
        <v>0</v>
      </c>
      <c r="W37">
        <v>1</v>
      </c>
      <c r="X37">
        <v>100</v>
      </c>
      <c r="Y37">
        <v>77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</row>
    <row r="38" spans="1:94" x14ac:dyDescent="0.35">
      <c r="A38">
        <v>37</v>
      </c>
      <c r="B38">
        <v>45496</v>
      </c>
      <c r="C38" t="s">
        <v>93</v>
      </c>
      <c r="D38" t="s">
        <v>174</v>
      </c>
      <c r="E38" t="s">
        <v>95</v>
      </c>
      <c r="F38" t="s">
        <v>175</v>
      </c>
      <c r="G38" t="s">
        <v>103</v>
      </c>
      <c r="H38">
        <v>65169</v>
      </c>
      <c r="I38" t="s">
        <v>105</v>
      </c>
      <c r="J38">
        <v>4</v>
      </c>
      <c r="K38" t="s">
        <v>106</v>
      </c>
      <c r="L38">
        <v>7</v>
      </c>
      <c r="M38" t="s">
        <v>100</v>
      </c>
      <c r="N38">
        <v>478.5</v>
      </c>
      <c r="O38">
        <v>36.172800000000002</v>
      </c>
      <c r="P38">
        <v>253.20959999999999</v>
      </c>
      <c r="Q38">
        <v>0</v>
      </c>
      <c r="R38">
        <v>121160.7936</v>
      </c>
      <c r="S38">
        <v>121160.7936</v>
      </c>
      <c r="T38">
        <v>0.58263888900000005</v>
      </c>
      <c r="U38">
        <v>0.58611111100000002</v>
      </c>
      <c r="V38">
        <v>0</v>
      </c>
      <c r="W38">
        <v>1</v>
      </c>
      <c r="X38">
        <v>100</v>
      </c>
      <c r="Y38">
        <v>77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</row>
    <row r="39" spans="1:94" x14ac:dyDescent="0.35">
      <c r="A39">
        <v>38</v>
      </c>
      <c r="B39">
        <v>45496</v>
      </c>
      <c r="C39" t="s">
        <v>93</v>
      </c>
      <c r="D39" t="s">
        <v>176</v>
      </c>
      <c r="E39" t="s">
        <v>95</v>
      </c>
      <c r="F39" t="s">
        <v>177</v>
      </c>
      <c r="G39" t="s">
        <v>103</v>
      </c>
      <c r="H39">
        <v>8036</v>
      </c>
      <c r="I39" t="s">
        <v>114</v>
      </c>
      <c r="J39">
        <v>4</v>
      </c>
      <c r="K39" t="s">
        <v>123</v>
      </c>
      <c r="L39">
        <v>8.33</v>
      </c>
      <c r="M39" t="s">
        <v>100</v>
      </c>
      <c r="N39">
        <v>97.5</v>
      </c>
      <c r="O39">
        <v>12.3088</v>
      </c>
      <c r="P39">
        <v>102.532304</v>
      </c>
      <c r="Q39">
        <v>0</v>
      </c>
      <c r="R39">
        <v>9996.8996399999996</v>
      </c>
      <c r="S39">
        <v>9996.8996399999996</v>
      </c>
      <c r="T39">
        <v>0.48055555599999999</v>
      </c>
      <c r="U39">
        <v>0.48402777800000002</v>
      </c>
      <c r="V39">
        <v>0</v>
      </c>
      <c r="W39">
        <v>1</v>
      </c>
      <c r="X39">
        <v>100</v>
      </c>
      <c r="Y39">
        <v>74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</row>
    <row r="40" spans="1:94" x14ac:dyDescent="0.35">
      <c r="A40">
        <v>39</v>
      </c>
      <c r="B40">
        <v>45496</v>
      </c>
      <c r="C40" t="s">
        <v>93</v>
      </c>
      <c r="D40" t="s">
        <v>176</v>
      </c>
      <c r="E40" t="s">
        <v>95</v>
      </c>
      <c r="F40" t="s">
        <v>177</v>
      </c>
      <c r="G40" t="s">
        <v>103</v>
      </c>
      <c r="H40">
        <v>8036</v>
      </c>
      <c r="I40" t="s">
        <v>114</v>
      </c>
      <c r="J40">
        <v>4</v>
      </c>
      <c r="K40" t="s">
        <v>123</v>
      </c>
      <c r="L40">
        <v>8.33</v>
      </c>
      <c r="M40" t="s">
        <v>100</v>
      </c>
      <c r="N40">
        <v>97.5</v>
      </c>
      <c r="O40">
        <v>12.3088</v>
      </c>
      <c r="P40">
        <v>102.532304</v>
      </c>
      <c r="Q40">
        <v>0</v>
      </c>
      <c r="R40">
        <v>9996.8996399999996</v>
      </c>
      <c r="S40">
        <v>9996.8996399999996</v>
      </c>
      <c r="T40">
        <v>0.48055555599999999</v>
      </c>
      <c r="U40">
        <v>0.48402777800000002</v>
      </c>
      <c r="V40">
        <v>0</v>
      </c>
      <c r="W40">
        <v>1</v>
      </c>
      <c r="X40">
        <v>100</v>
      </c>
      <c r="Y40">
        <v>74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94" x14ac:dyDescent="0.35">
      <c r="A41">
        <v>40</v>
      </c>
      <c r="B41">
        <v>45496</v>
      </c>
      <c r="C41" t="s">
        <v>93</v>
      </c>
      <c r="D41" t="s">
        <v>178</v>
      </c>
      <c r="E41" t="s">
        <v>169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14.6</v>
      </c>
      <c r="M41" t="s">
        <v>100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>
        <v>0.60416666699999999</v>
      </c>
      <c r="U41">
        <v>0.60694444400000003</v>
      </c>
      <c r="V41">
        <v>0</v>
      </c>
      <c r="W41">
        <v>1</v>
      </c>
      <c r="X41">
        <v>75</v>
      </c>
      <c r="Y41">
        <v>78</v>
      </c>
      <c r="Z41">
        <v>4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</row>
    <row r="42" spans="1:94" x14ac:dyDescent="0.35">
      <c r="A42">
        <v>41</v>
      </c>
      <c r="B42">
        <v>45498</v>
      </c>
      <c r="C42" t="s">
        <v>93</v>
      </c>
      <c r="D42" t="s">
        <v>179</v>
      </c>
      <c r="E42" t="s">
        <v>95</v>
      </c>
      <c r="F42" t="s">
        <v>180</v>
      </c>
      <c r="G42" t="s">
        <v>97</v>
      </c>
      <c r="H42">
        <v>1005</v>
      </c>
      <c r="I42" t="s">
        <v>105</v>
      </c>
      <c r="J42">
        <v>4</v>
      </c>
      <c r="K42" t="s">
        <v>111</v>
      </c>
      <c r="L42">
        <v>5</v>
      </c>
      <c r="M42" t="s">
        <v>100</v>
      </c>
      <c r="N42">
        <v>125.2</v>
      </c>
      <c r="O42">
        <v>3.8207520000000001</v>
      </c>
      <c r="P42">
        <v>19.103760000000001</v>
      </c>
      <c r="Q42">
        <v>0</v>
      </c>
      <c r="R42">
        <v>2391.7907519999999</v>
      </c>
      <c r="S42">
        <v>2391.7907519999999</v>
      </c>
      <c r="T42">
        <v>0.71180555599999995</v>
      </c>
      <c r="U42">
        <v>0.71527777800000003</v>
      </c>
      <c r="V42">
        <v>0</v>
      </c>
      <c r="W42">
        <v>1</v>
      </c>
      <c r="X42">
        <v>35</v>
      </c>
      <c r="Y42">
        <v>79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</row>
    <row r="43" spans="1:94" x14ac:dyDescent="0.35">
      <c r="A43">
        <v>42</v>
      </c>
      <c r="B43">
        <v>45498</v>
      </c>
      <c r="C43" t="s">
        <v>93</v>
      </c>
      <c r="D43" t="s">
        <v>94</v>
      </c>
      <c r="E43" t="s">
        <v>95</v>
      </c>
      <c r="F43" t="s">
        <v>96</v>
      </c>
      <c r="G43" t="s">
        <v>97</v>
      </c>
      <c r="H43">
        <v>5026</v>
      </c>
      <c r="I43" t="s">
        <v>98</v>
      </c>
      <c r="J43">
        <v>4</v>
      </c>
      <c r="K43" t="s">
        <v>99</v>
      </c>
      <c r="L43">
        <v>33</v>
      </c>
      <c r="M43" t="s">
        <v>100</v>
      </c>
      <c r="N43" t="s">
        <v>100</v>
      </c>
      <c r="O43" t="e">
        <v>#VALUE!</v>
      </c>
      <c r="P43" t="e">
        <v>#VALUE!</v>
      </c>
      <c r="Q43" t="e">
        <v>#VALUE!</v>
      </c>
      <c r="R43" t="e">
        <v>#VALUE!</v>
      </c>
      <c r="S43" t="s">
        <v>100</v>
      </c>
      <c r="T43">
        <v>0.54861111100000004</v>
      </c>
      <c r="U43">
        <v>0.55208333300000001</v>
      </c>
      <c r="V43">
        <v>0</v>
      </c>
      <c r="W43">
        <v>1</v>
      </c>
      <c r="X43">
        <v>40</v>
      </c>
      <c r="Y43">
        <v>77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</row>
    <row r="44" spans="1:94" x14ac:dyDescent="0.35">
      <c r="A44">
        <v>43</v>
      </c>
      <c r="B44">
        <v>45498</v>
      </c>
      <c r="C44" t="s">
        <v>93</v>
      </c>
      <c r="D44" t="s">
        <v>181</v>
      </c>
      <c r="E44" t="s">
        <v>95</v>
      </c>
      <c r="F44" t="s">
        <v>182</v>
      </c>
      <c r="G44" t="s">
        <v>97</v>
      </c>
      <c r="H44">
        <v>20012</v>
      </c>
      <c r="I44" t="s">
        <v>105</v>
      </c>
      <c r="J44">
        <v>4</v>
      </c>
      <c r="K44" t="s">
        <v>111</v>
      </c>
      <c r="L44">
        <v>11.3</v>
      </c>
      <c r="M44" t="s">
        <v>100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s">
        <v>100</v>
      </c>
      <c r="T44">
        <v>0.61527777800000005</v>
      </c>
      <c r="U44">
        <v>0.61875000000000002</v>
      </c>
      <c r="V44">
        <v>0</v>
      </c>
      <c r="W44">
        <v>2</v>
      </c>
      <c r="X44">
        <v>35</v>
      </c>
      <c r="Y44">
        <v>78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</row>
    <row r="45" spans="1:94" x14ac:dyDescent="0.35">
      <c r="A45">
        <v>44</v>
      </c>
      <c r="B45">
        <v>45498</v>
      </c>
      <c r="C45" t="s">
        <v>93</v>
      </c>
      <c r="D45" t="s">
        <v>183</v>
      </c>
      <c r="E45" t="s">
        <v>95</v>
      </c>
      <c r="F45" t="s">
        <v>140</v>
      </c>
      <c r="G45" t="s">
        <v>97</v>
      </c>
      <c r="H45">
        <v>7045</v>
      </c>
      <c r="I45" t="s">
        <v>105</v>
      </c>
      <c r="J45">
        <v>5</v>
      </c>
      <c r="K45" t="s">
        <v>99</v>
      </c>
      <c r="L45">
        <v>3</v>
      </c>
      <c r="M45" t="s">
        <v>100</v>
      </c>
      <c r="N45">
        <v>91.2</v>
      </c>
      <c r="O45">
        <v>1.6981120000000001</v>
      </c>
      <c r="P45">
        <v>5.0943360000000002</v>
      </c>
      <c r="Q45">
        <v>0</v>
      </c>
      <c r="R45">
        <v>464.60344320000002</v>
      </c>
      <c r="S45">
        <v>464.60344320000002</v>
      </c>
      <c r="T45">
        <v>0.74583333299999999</v>
      </c>
      <c r="U45">
        <v>0.74930555600000004</v>
      </c>
      <c r="V45">
        <v>0</v>
      </c>
      <c r="W45">
        <v>1</v>
      </c>
      <c r="X45">
        <v>35</v>
      </c>
      <c r="Y45">
        <v>79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</row>
    <row r="46" spans="1:94" x14ac:dyDescent="0.35">
      <c r="A46">
        <v>45</v>
      </c>
      <c r="B46">
        <v>45498</v>
      </c>
      <c r="C46" t="s">
        <v>93</v>
      </c>
      <c r="D46" t="s">
        <v>184</v>
      </c>
      <c r="E46" t="s">
        <v>95</v>
      </c>
      <c r="F46" t="s">
        <v>129</v>
      </c>
      <c r="G46" t="s">
        <v>97</v>
      </c>
      <c r="H46">
        <v>14010</v>
      </c>
      <c r="I46" t="s">
        <v>98</v>
      </c>
      <c r="J46" t="s">
        <v>100</v>
      </c>
      <c r="K46" t="s">
        <v>99</v>
      </c>
      <c r="L46">
        <v>17.3</v>
      </c>
      <c r="M46" t="s">
        <v>100</v>
      </c>
      <c r="N46">
        <v>69.400000000000006</v>
      </c>
      <c r="O46">
        <v>4.0191999999999997</v>
      </c>
      <c r="P46">
        <v>69.532160000000005</v>
      </c>
      <c r="Q46">
        <v>0</v>
      </c>
      <c r="R46">
        <v>4825.5319040000004</v>
      </c>
      <c r="S46">
        <v>4825.5319040000004</v>
      </c>
      <c r="T46">
        <v>0.70416666699999997</v>
      </c>
      <c r="U46">
        <v>0.70763888900000005</v>
      </c>
      <c r="V46">
        <v>0</v>
      </c>
      <c r="W46">
        <v>2</v>
      </c>
      <c r="X46">
        <v>40</v>
      </c>
      <c r="Y46">
        <v>79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</row>
    <row r="47" spans="1:94" x14ac:dyDescent="0.35">
      <c r="A47">
        <v>46</v>
      </c>
      <c r="B47">
        <v>45498</v>
      </c>
      <c r="C47" t="s">
        <v>93</v>
      </c>
      <c r="D47" t="s">
        <v>107</v>
      </c>
      <c r="E47" t="s">
        <v>95</v>
      </c>
      <c r="F47" t="s">
        <v>108</v>
      </c>
      <c r="G47" t="s">
        <v>97</v>
      </c>
      <c r="H47" t="s">
        <v>109</v>
      </c>
      <c r="I47" t="s">
        <v>110</v>
      </c>
      <c r="J47">
        <v>4</v>
      </c>
      <c r="K47" t="s">
        <v>111</v>
      </c>
      <c r="L47">
        <v>19.600000000000001</v>
      </c>
      <c r="M47" t="s">
        <v>100</v>
      </c>
      <c r="N47">
        <v>68.400000000000006</v>
      </c>
      <c r="O47">
        <v>4.1488433149999997</v>
      </c>
      <c r="P47">
        <v>81.317328979999999</v>
      </c>
      <c r="Q47">
        <v>0</v>
      </c>
      <c r="R47">
        <v>5562.1053019999999</v>
      </c>
      <c r="S47">
        <v>5562.1053019999999</v>
      </c>
      <c r="T47">
        <v>0.626388889</v>
      </c>
      <c r="U47">
        <v>0.62986111099999997</v>
      </c>
      <c r="V47">
        <v>0</v>
      </c>
      <c r="W47">
        <v>1</v>
      </c>
      <c r="X47">
        <v>35</v>
      </c>
      <c r="Y47">
        <v>79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</row>
    <row r="48" spans="1:94" x14ac:dyDescent="0.35">
      <c r="A48">
        <v>47</v>
      </c>
      <c r="B48">
        <v>45498</v>
      </c>
      <c r="C48" t="s">
        <v>93</v>
      </c>
      <c r="D48" t="s">
        <v>185</v>
      </c>
      <c r="E48" t="s">
        <v>95</v>
      </c>
      <c r="F48" t="s">
        <v>186</v>
      </c>
      <c r="G48" t="s">
        <v>97</v>
      </c>
      <c r="H48">
        <v>12022</v>
      </c>
      <c r="I48" t="s">
        <v>105</v>
      </c>
      <c r="J48">
        <v>4</v>
      </c>
      <c r="K48" t="s">
        <v>111</v>
      </c>
      <c r="L48">
        <v>9</v>
      </c>
      <c r="M48" t="s">
        <v>100</v>
      </c>
      <c r="N48">
        <v>361</v>
      </c>
      <c r="O48">
        <v>8.3053000000000008</v>
      </c>
      <c r="P48">
        <v>74.747699999999995</v>
      </c>
      <c r="Q48">
        <v>0</v>
      </c>
      <c r="R48">
        <v>26983.919699999999</v>
      </c>
      <c r="S48">
        <v>26983.919699999999</v>
      </c>
      <c r="T48">
        <v>0.63472222199999995</v>
      </c>
      <c r="U48">
        <v>0.63819444400000003</v>
      </c>
      <c r="V48">
        <v>0</v>
      </c>
      <c r="W48">
        <v>1</v>
      </c>
      <c r="X48">
        <v>35</v>
      </c>
      <c r="Y48">
        <v>79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</row>
    <row r="49" spans="1:94" x14ac:dyDescent="0.35">
      <c r="A49">
        <v>48</v>
      </c>
      <c r="B49">
        <v>45498</v>
      </c>
      <c r="C49" t="s">
        <v>93</v>
      </c>
      <c r="D49" t="s">
        <v>112</v>
      </c>
      <c r="E49" t="s">
        <v>95</v>
      </c>
      <c r="F49" t="s">
        <v>113</v>
      </c>
      <c r="G49" t="s">
        <v>97</v>
      </c>
      <c r="H49">
        <v>11045</v>
      </c>
      <c r="I49" t="s">
        <v>114</v>
      </c>
      <c r="J49">
        <v>4</v>
      </c>
      <c r="K49" t="s">
        <v>111</v>
      </c>
      <c r="M49" t="s">
        <v>100</v>
      </c>
      <c r="N49">
        <v>31</v>
      </c>
      <c r="O49">
        <v>9.0432000000000006</v>
      </c>
      <c r="T49" t="s">
        <v>100</v>
      </c>
      <c r="U49" t="s">
        <v>100</v>
      </c>
      <c r="V49" t="s">
        <v>100</v>
      </c>
      <c r="W49" t="s">
        <v>100</v>
      </c>
      <c r="X49" t="s">
        <v>100</v>
      </c>
      <c r="Y49" t="s">
        <v>100</v>
      </c>
      <c r="Z49">
        <v>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</row>
    <row r="50" spans="1:94" x14ac:dyDescent="0.35">
      <c r="A50">
        <v>49</v>
      </c>
      <c r="B50">
        <v>45498</v>
      </c>
      <c r="C50" t="s">
        <v>93</v>
      </c>
      <c r="D50" t="s">
        <v>115</v>
      </c>
      <c r="E50" t="s">
        <v>95</v>
      </c>
      <c r="F50" t="s">
        <v>116</v>
      </c>
      <c r="G50" t="s">
        <v>97</v>
      </c>
      <c r="H50">
        <v>5079</v>
      </c>
      <c r="I50" t="s">
        <v>98</v>
      </c>
      <c r="J50">
        <v>4</v>
      </c>
      <c r="K50" t="s">
        <v>99</v>
      </c>
      <c r="L50">
        <v>19.3</v>
      </c>
      <c r="M50" t="s">
        <v>100</v>
      </c>
      <c r="N50">
        <v>98.6</v>
      </c>
      <c r="O50">
        <v>14.13</v>
      </c>
      <c r="P50">
        <v>272.709</v>
      </c>
      <c r="Q50">
        <v>0</v>
      </c>
      <c r="R50">
        <v>26889.107400000001</v>
      </c>
      <c r="S50">
        <v>26889.107400000001</v>
      </c>
      <c r="T50">
        <v>0.65069444399999998</v>
      </c>
      <c r="U50">
        <v>0.64930555599999995</v>
      </c>
      <c r="V50">
        <v>0</v>
      </c>
      <c r="W50">
        <v>1</v>
      </c>
      <c r="X50">
        <v>35</v>
      </c>
      <c r="Y50">
        <v>78</v>
      </c>
      <c r="Z50">
        <v>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</row>
    <row r="51" spans="1:94" x14ac:dyDescent="0.35">
      <c r="A51">
        <v>50</v>
      </c>
      <c r="B51">
        <v>45498</v>
      </c>
      <c r="C51" t="s">
        <v>93</v>
      </c>
      <c r="D51" t="s">
        <v>165</v>
      </c>
      <c r="E51" t="s">
        <v>95</v>
      </c>
      <c r="F51" t="s">
        <v>96</v>
      </c>
      <c r="G51" t="s">
        <v>97</v>
      </c>
      <c r="H51">
        <v>5026</v>
      </c>
      <c r="I51" t="s">
        <v>98</v>
      </c>
      <c r="J51">
        <v>4</v>
      </c>
      <c r="K51" t="s">
        <v>99</v>
      </c>
      <c r="L51">
        <v>15.6</v>
      </c>
      <c r="M51" t="s">
        <v>100</v>
      </c>
      <c r="N51">
        <v>5.5</v>
      </c>
      <c r="O51">
        <v>0.90683199999999997</v>
      </c>
      <c r="P51">
        <v>14.1465792</v>
      </c>
      <c r="Q51">
        <v>0</v>
      </c>
      <c r="R51">
        <v>77.806185600000006</v>
      </c>
      <c r="S51">
        <v>77.806185600000006</v>
      </c>
      <c r="T51">
        <v>0.72916666699999999</v>
      </c>
      <c r="U51">
        <v>0.73263888899999996</v>
      </c>
      <c r="V51">
        <v>0</v>
      </c>
      <c r="W51">
        <v>1</v>
      </c>
      <c r="X51">
        <v>35</v>
      </c>
      <c r="Y51">
        <v>79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</row>
    <row r="52" spans="1:94" x14ac:dyDescent="0.35">
      <c r="A52">
        <v>51</v>
      </c>
      <c r="B52">
        <v>45498</v>
      </c>
      <c r="C52" t="s">
        <v>93</v>
      </c>
      <c r="D52" t="s">
        <v>187</v>
      </c>
      <c r="E52" t="s">
        <v>95</v>
      </c>
      <c r="F52" t="s">
        <v>188</v>
      </c>
      <c r="G52" t="s">
        <v>97</v>
      </c>
      <c r="H52">
        <v>11031</v>
      </c>
      <c r="I52" t="s">
        <v>98</v>
      </c>
      <c r="J52">
        <v>4</v>
      </c>
      <c r="K52" t="s">
        <v>99</v>
      </c>
      <c r="L52">
        <v>4</v>
      </c>
      <c r="M52" t="s">
        <v>100</v>
      </c>
      <c r="N52">
        <v>189.5</v>
      </c>
      <c r="O52">
        <v>15.0877</v>
      </c>
      <c r="P52">
        <v>60.3508</v>
      </c>
      <c r="Q52">
        <v>0</v>
      </c>
      <c r="R52">
        <v>11436.4766</v>
      </c>
      <c r="S52">
        <v>11436.4766</v>
      </c>
      <c r="T52">
        <v>0.57083333300000005</v>
      </c>
      <c r="U52">
        <v>0.57430555599999999</v>
      </c>
      <c r="V52">
        <v>0</v>
      </c>
      <c r="W52">
        <v>1</v>
      </c>
      <c r="X52">
        <v>40</v>
      </c>
      <c r="Y52">
        <v>79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94" x14ac:dyDescent="0.35">
      <c r="A53">
        <v>52</v>
      </c>
      <c r="B53">
        <v>45498</v>
      </c>
      <c r="C53" t="s">
        <v>93</v>
      </c>
      <c r="D53" t="s">
        <v>189</v>
      </c>
      <c r="E53" t="s">
        <v>95</v>
      </c>
      <c r="F53" t="s">
        <v>118</v>
      </c>
      <c r="G53" t="s">
        <v>97</v>
      </c>
      <c r="H53">
        <v>1128</v>
      </c>
      <c r="I53" t="s">
        <v>114</v>
      </c>
      <c r="J53">
        <v>4</v>
      </c>
      <c r="K53" t="s">
        <v>99</v>
      </c>
      <c r="L53">
        <v>6.6666666670000003</v>
      </c>
      <c r="M53" t="s">
        <v>100</v>
      </c>
      <c r="N53">
        <v>154.80000000000001</v>
      </c>
      <c r="O53">
        <v>1.1077920000000001</v>
      </c>
      <c r="P53">
        <v>7.3852799999999998</v>
      </c>
      <c r="Q53">
        <v>0</v>
      </c>
      <c r="R53">
        <v>1143.241344</v>
      </c>
      <c r="S53">
        <v>1143.241344</v>
      </c>
      <c r="T53">
        <v>0.72222222199999997</v>
      </c>
      <c r="U53">
        <v>0.72569444400000005</v>
      </c>
      <c r="V53">
        <v>0</v>
      </c>
      <c r="W53">
        <v>1</v>
      </c>
      <c r="X53">
        <v>35</v>
      </c>
      <c r="Y53">
        <v>79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94" x14ac:dyDescent="0.35">
      <c r="A54">
        <v>53</v>
      </c>
      <c r="B54">
        <v>45498</v>
      </c>
      <c r="C54" t="s">
        <v>93</v>
      </c>
      <c r="D54" t="s">
        <v>117</v>
      </c>
      <c r="E54" t="s">
        <v>95</v>
      </c>
      <c r="F54" t="s">
        <v>118</v>
      </c>
      <c r="G54" t="s">
        <v>97</v>
      </c>
      <c r="H54">
        <v>1128</v>
      </c>
      <c r="I54" t="s">
        <v>105</v>
      </c>
      <c r="J54">
        <v>4</v>
      </c>
      <c r="K54" t="s">
        <v>111</v>
      </c>
      <c r="L54">
        <v>9.6</v>
      </c>
      <c r="M54" t="s">
        <v>100</v>
      </c>
      <c r="N54">
        <v>36.1</v>
      </c>
      <c r="O54">
        <v>8.3053000000000008</v>
      </c>
      <c r="P54">
        <v>79.730879999999999</v>
      </c>
      <c r="Q54">
        <v>0</v>
      </c>
      <c r="R54">
        <v>2878.284768</v>
      </c>
      <c r="S54">
        <v>2878.284768</v>
      </c>
      <c r="T54">
        <v>0.55555555599999995</v>
      </c>
      <c r="U54">
        <v>0.51736111100000004</v>
      </c>
      <c r="V54">
        <v>0</v>
      </c>
      <c r="W54">
        <v>1</v>
      </c>
      <c r="X54">
        <v>40</v>
      </c>
      <c r="Y54">
        <v>77</v>
      </c>
      <c r="Z54">
        <v>6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</row>
    <row r="55" spans="1:94" x14ac:dyDescent="0.35">
      <c r="A55">
        <v>54</v>
      </c>
      <c r="B55">
        <v>45498</v>
      </c>
      <c r="C55" t="s">
        <v>93</v>
      </c>
      <c r="D55" t="s">
        <v>190</v>
      </c>
      <c r="E55" t="s">
        <v>95</v>
      </c>
      <c r="F55" t="s">
        <v>155</v>
      </c>
      <c r="G55" t="s">
        <v>103</v>
      </c>
      <c r="H55">
        <v>9090</v>
      </c>
      <c r="I55" t="s">
        <v>105</v>
      </c>
      <c r="J55">
        <v>4</v>
      </c>
      <c r="K55" t="s">
        <v>106</v>
      </c>
      <c r="L55">
        <v>0.33300000000000002</v>
      </c>
      <c r="M55" t="s">
        <v>100</v>
      </c>
      <c r="N55">
        <v>1248</v>
      </c>
      <c r="O55">
        <v>20.347200000000001</v>
      </c>
      <c r="P55">
        <v>6.7756176000000004</v>
      </c>
      <c r="Q55">
        <v>0</v>
      </c>
      <c r="R55">
        <v>8455.970765</v>
      </c>
      <c r="S55">
        <v>8455.970765</v>
      </c>
      <c r="T55">
        <v>0.52291666699999995</v>
      </c>
      <c r="U55">
        <v>0.52638888900000003</v>
      </c>
      <c r="V55">
        <v>0</v>
      </c>
      <c r="W55">
        <v>1</v>
      </c>
      <c r="X55">
        <v>40</v>
      </c>
      <c r="Y55">
        <v>74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</row>
    <row r="56" spans="1:94" x14ac:dyDescent="0.35">
      <c r="A56">
        <v>55</v>
      </c>
      <c r="B56">
        <v>45499</v>
      </c>
      <c r="C56" t="s">
        <v>93</v>
      </c>
      <c r="D56" t="s">
        <v>128</v>
      </c>
      <c r="E56" t="s">
        <v>95</v>
      </c>
      <c r="F56" t="s">
        <v>129</v>
      </c>
      <c r="G56" t="s">
        <v>97</v>
      </c>
      <c r="H56">
        <v>14010</v>
      </c>
      <c r="I56" t="s">
        <v>98</v>
      </c>
      <c r="J56">
        <v>4</v>
      </c>
      <c r="K56" t="s">
        <v>99</v>
      </c>
      <c r="L56">
        <v>13.66666667</v>
      </c>
      <c r="M56" t="s">
        <v>100</v>
      </c>
      <c r="N56">
        <v>59.7</v>
      </c>
      <c r="O56">
        <v>5.5466469710000004</v>
      </c>
      <c r="P56">
        <v>75.804175270000002</v>
      </c>
      <c r="Q56">
        <v>0</v>
      </c>
      <c r="R56">
        <v>4525.5092640000003</v>
      </c>
      <c r="S56">
        <v>4525.5092640000003</v>
      </c>
      <c r="T56">
        <v>0.76319444400000003</v>
      </c>
      <c r="U56">
        <v>0.76666666699999997</v>
      </c>
      <c r="V56">
        <v>0</v>
      </c>
      <c r="W56">
        <v>1</v>
      </c>
      <c r="X56">
        <v>0</v>
      </c>
      <c r="Y56">
        <v>81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94" x14ac:dyDescent="0.35">
      <c r="A57">
        <v>56</v>
      </c>
      <c r="B57">
        <v>45499</v>
      </c>
      <c r="C57" t="s">
        <v>93</v>
      </c>
      <c r="D57" t="s">
        <v>191</v>
      </c>
      <c r="E57" t="s">
        <v>95</v>
      </c>
      <c r="F57" t="s">
        <v>192</v>
      </c>
      <c r="G57" t="s">
        <v>97</v>
      </c>
      <c r="H57">
        <v>13029</v>
      </c>
      <c r="I57" t="s">
        <v>110</v>
      </c>
      <c r="J57">
        <v>4</v>
      </c>
      <c r="K57" t="s">
        <v>111</v>
      </c>
      <c r="L57">
        <v>3.6666666669999999</v>
      </c>
      <c r="M57" t="s">
        <v>100</v>
      </c>
      <c r="N57">
        <v>4.5</v>
      </c>
      <c r="O57">
        <v>5.8505173309999998</v>
      </c>
      <c r="P57">
        <v>21.45189688</v>
      </c>
      <c r="Q57">
        <v>0</v>
      </c>
      <c r="R57">
        <v>96.533535959999995</v>
      </c>
      <c r="S57">
        <v>96.533535959999995</v>
      </c>
      <c r="T57">
        <v>0.76805555599999997</v>
      </c>
      <c r="U57">
        <v>0.77152777800000005</v>
      </c>
      <c r="V57">
        <v>0</v>
      </c>
      <c r="W57">
        <v>1</v>
      </c>
      <c r="X57">
        <v>0</v>
      </c>
      <c r="Y57">
        <v>81</v>
      </c>
      <c r="Z57">
        <v>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94" x14ac:dyDescent="0.35">
      <c r="A58">
        <v>57</v>
      </c>
      <c r="B58">
        <v>45499</v>
      </c>
      <c r="C58" t="s">
        <v>93</v>
      </c>
      <c r="D58" t="s">
        <v>130</v>
      </c>
      <c r="E58" t="s">
        <v>95</v>
      </c>
      <c r="F58" t="s">
        <v>125</v>
      </c>
      <c r="G58" t="s">
        <v>97</v>
      </c>
      <c r="H58" t="s">
        <v>131</v>
      </c>
      <c r="I58" t="s">
        <v>110</v>
      </c>
      <c r="J58" t="s">
        <v>100</v>
      </c>
      <c r="K58" t="s">
        <v>111</v>
      </c>
      <c r="L58">
        <v>11.3</v>
      </c>
      <c r="M58" t="s">
        <v>100</v>
      </c>
      <c r="N58">
        <v>71.400000000000006</v>
      </c>
      <c r="O58">
        <v>8.9499950029999997</v>
      </c>
      <c r="P58">
        <v>101.13494350000001</v>
      </c>
      <c r="Q58">
        <v>0</v>
      </c>
      <c r="R58">
        <v>7221.0349679999999</v>
      </c>
      <c r="S58">
        <v>7221.0349679999999</v>
      </c>
      <c r="T58">
        <v>0.47569444399999999</v>
      </c>
      <c r="U58">
        <v>0.47916666699999999</v>
      </c>
      <c r="V58">
        <v>0</v>
      </c>
      <c r="W58">
        <v>1</v>
      </c>
      <c r="X58">
        <v>0</v>
      </c>
      <c r="Y58">
        <v>75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 t="s">
        <v>193</v>
      </c>
    </row>
    <row r="59" spans="1:94" x14ac:dyDescent="0.35">
      <c r="A59">
        <v>58</v>
      </c>
      <c r="B59">
        <v>45499</v>
      </c>
      <c r="C59" t="s">
        <v>93</v>
      </c>
      <c r="D59" t="s">
        <v>132</v>
      </c>
      <c r="E59" t="s">
        <v>95</v>
      </c>
      <c r="F59" t="s">
        <v>125</v>
      </c>
      <c r="G59" t="s">
        <v>97</v>
      </c>
      <c r="H59" t="s">
        <v>133</v>
      </c>
      <c r="I59" t="s">
        <v>105</v>
      </c>
      <c r="J59">
        <v>4</v>
      </c>
      <c r="K59" t="s">
        <v>111</v>
      </c>
      <c r="L59">
        <v>12.3</v>
      </c>
      <c r="M59" t="s">
        <v>100</v>
      </c>
      <c r="N59">
        <v>94.3</v>
      </c>
      <c r="O59">
        <v>8.5731957570000006</v>
      </c>
      <c r="P59">
        <v>105.4503078</v>
      </c>
      <c r="Q59">
        <v>0</v>
      </c>
      <c r="R59">
        <v>9943.9640259999996</v>
      </c>
      <c r="S59">
        <v>9943.9640259999996</v>
      </c>
      <c r="T59">
        <v>0.48263888900000002</v>
      </c>
      <c r="U59">
        <v>0.48611111099999998</v>
      </c>
      <c r="V59">
        <v>0</v>
      </c>
      <c r="W59">
        <v>1</v>
      </c>
      <c r="X59">
        <v>0</v>
      </c>
      <c r="Y59">
        <v>75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94" x14ac:dyDescent="0.35">
      <c r="A60">
        <v>59</v>
      </c>
      <c r="B60">
        <v>45499</v>
      </c>
      <c r="C60" t="s">
        <v>93</v>
      </c>
      <c r="D60" t="s">
        <v>132</v>
      </c>
      <c r="E60" t="s">
        <v>95</v>
      </c>
      <c r="F60" t="s">
        <v>125</v>
      </c>
      <c r="G60" t="s">
        <v>97</v>
      </c>
      <c r="H60" t="s">
        <v>133</v>
      </c>
      <c r="I60" t="s">
        <v>105</v>
      </c>
      <c r="J60">
        <v>4</v>
      </c>
      <c r="K60" t="s">
        <v>111</v>
      </c>
      <c r="L60">
        <v>12.3</v>
      </c>
      <c r="M60" t="s">
        <v>100</v>
      </c>
      <c r="N60">
        <v>94.3</v>
      </c>
      <c r="O60">
        <v>8.5731957570000006</v>
      </c>
      <c r="P60">
        <v>105.4503078</v>
      </c>
      <c r="Q60">
        <v>0</v>
      </c>
      <c r="R60">
        <v>9943.9640259999996</v>
      </c>
      <c r="S60">
        <v>9943.9640259999996</v>
      </c>
      <c r="T60">
        <v>0.48263888900000002</v>
      </c>
      <c r="U60">
        <v>0.48611111099999998</v>
      </c>
      <c r="V60">
        <v>0</v>
      </c>
      <c r="W60">
        <v>1</v>
      </c>
      <c r="X60">
        <v>0</v>
      </c>
      <c r="Y60">
        <v>75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94" x14ac:dyDescent="0.35">
      <c r="A61">
        <v>60</v>
      </c>
      <c r="B61">
        <v>45499</v>
      </c>
      <c r="C61" t="s">
        <v>93</v>
      </c>
      <c r="D61" t="s">
        <v>194</v>
      </c>
      <c r="E61" t="s">
        <v>95</v>
      </c>
      <c r="F61" t="s">
        <v>195</v>
      </c>
      <c r="G61" t="s">
        <v>97</v>
      </c>
      <c r="H61">
        <v>1127</v>
      </c>
      <c r="I61" t="s">
        <v>105</v>
      </c>
      <c r="J61">
        <v>4</v>
      </c>
      <c r="K61" t="s">
        <v>99</v>
      </c>
      <c r="L61">
        <v>1.3333333329999999</v>
      </c>
      <c r="M61" t="s">
        <v>100</v>
      </c>
      <c r="N61">
        <v>126.2</v>
      </c>
      <c r="O61">
        <v>2.9899079999999998</v>
      </c>
      <c r="P61">
        <v>3.9865439999999999</v>
      </c>
      <c r="Q61">
        <v>0</v>
      </c>
      <c r="R61">
        <v>503.10185280000002</v>
      </c>
      <c r="S61">
        <v>503.10185280000002</v>
      </c>
      <c r="T61">
        <v>0.38541666699999999</v>
      </c>
      <c r="U61">
        <v>0.38888888900000002</v>
      </c>
      <c r="V61">
        <v>0</v>
      </c>
      <c r="W61">
        <v>1</v>
      </c>
      <c r="X61">
        <v>0</v>
      </c>
      <c r="Y61">
        <v>69</v>
      </c>
      <c r="Z61">
        <v>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94" x14ac:dyDescent="0.35">
      <c r="A62">
        <v>61</v>
      </c>
      <c r="B62">
        <v>45499</v>
      </c>
      <c r="C62" t="s">
        <v>93</v>
      </c>
      <c r="D62" t="s">
        <v>134</v>
      </c>
      <c r="E62" t="s">
        <v>95</v>
      </c>
      <c r="F62" t="s">
        <v>116</v>
      </c>
      <c r="G62" t="s">
        <v>97</v>
      </c>
      <c r="H62">
        <v>14001</v>
      </c>
      <c r="I62" t="s">
        <v>98</v>
      </c>
      <c r="J62">
        <v>4</v>
      </c>
      <c r="K62" t="s">
        <v>99</v>
      </c>
      <c r="L62" t="s">
        <v>196</v>
      </c>
      <c r="M62" t="s">
        <v>100</v>
      </c>
      <c r="N62">
        <v>25.9</v>
      </c>
      <c r="O62">
        <v>8.2044997199999994</v>
      </c>
      <c r="P62" t="e">
        <v>#VALUE!</v>
      </c>
      <c r="Q62">
        <v>0</v>
      </c>
      <c r="R62" t="e">
        <v>#VALUE!</v>
      </c>
      <c r="S62" t="s">
        <v>100</v>
      </c>
      <c r="T62">
        <v>0.70486111100000004</v>
      </c>
      <c r="U62">
        <v>0.70833333300000001</v>
      </c>
      <c r="V62">
        <v>0</v>
      </c>
      <c r="W62">
        <v>1</v>
      </c>
      <c r="X62">
        <v>0</v>
      </c>
      <c r="Y62">
        <v>81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94" x14ac:dyDescent="0.35">
      <c r="A63">
        <v>62</v>
      </c>
      <c r="B63">
        <v>45499</v>
      </c>
      <c r="C63" t="s">
        <v>93</v>
      </c>
      <c r="D63" t="s">
        <v>158</v>
      </c>
      <c r="E63" t="s">
        <v>95</v>
      </c>
      <c r="F63" t="s">
        <v>159</v>
      </c>
      <c r="G63" t="s">
        <v>97</v>
      </c>
      <c r="H63" t="s">
        <v>160</v>
      </c>
      <c r="I63" t="s">
        <v>114</v>
      </c>
      <c r="J63">
        <v>4</v>
      </c>
      <c r="K63" t="s">
        <v>111</v>
      </c>
      <c r="L63">
        <v>11</v>
      </c>
      <c r="M63" t="s">
        <v>100</v>
      </c>
      <c r="N63">
        <v>55.8</v>
      </c>
      <c r="O63">
        <v>2.3337243650000001</v>
      </c>
      <c r="P63">
        <v>25.670968009999999</v>
      </c>
      <c r="Q63">
        <v>0</v>
      </c>
      <c r="R63">
        <v>1432.4400149999999</v>
      </c>
      <c r="S63">
        <v>1432.4400149999999</v>
      </c>
      <c r="T63">
        <v>0.71388888900000003</v>
      </c>
      <c r="U63">
        <v>0.717361111</v>
      </c>
      <c r="V63">
        <v>0</v>
      </c>
      <c r="W63">
        <v>2</v>
      </c>
      <c r="X63">
        <v>0</v>
      </c>
      <c r="Y63">
        <v>81</v>
      </c>
      <c r="Z63">
        <v>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</row>
    <row r="64" spans="1:94" x14ac:dyDescent="0.35">
      <c r="A64">
        <v>63</v>
      </c>
      <c r="B64">
        <v>45499</v>
      </c>
      <c r="C64" t="s">
        <v>93</v>
      </c>
      <c r="D64" t="s">
        <v>197</v>
      </c>
      <c r="E64" t="s">
        <v>95</v>
      </c>
      <c r="F64" t="s">
        <v>198</v>
      </c>
      <c r="G64" t="s">
        <v>97</v>
      </c>
      <c r="H64">
        <v>98053</v>
      </c>
      <c r="I64" t="s">
        <v>114</v>
      </c>
      <c r="J64" t="s">
        <v>100</v>
      </c>
      <c r="K64" t="s">
        <v>111</v>
      </c>
      <c r="L64">
        <v>10.3</v>
      </c>
      <c r="M64" t="s">
        <v>100</v>
      </c>
      <c r="N64">
        <v>46.2</v>
      </c>
      <c r="O64">
        <v>1.9609767229999999</v>
      </c>
      <c r="P64">
        <v>20.198060250000001</v>
      </c>
      <c r="Q64">
        <v>0</v>
      </c>
      <c r="R64">
        <v>933.15038349999998</v>
      </c>
      <c r="S64">
        <v>933.15038349999998</v>
      </c>
      <c r="T64">
        <v>0.46527777799999998</v>
      </c>
      <c r="U64">
        <v>0.46875</v>
      </c>
      <c r="V64">
        <v>0</v>
      </c>
      <c r="W64">
        <v>1</v>
      </c>
      <c r="X64">
        <v>30</v>
      </c>
      <c r="Y64">
        <v>75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94" x14ac:dyDescent="0.35">
      <c r="A65">
        <v>64</v>
      </c>
      <c r="B65">
        <v>45499</v>
      </c>
      <c r="C65" t="s">
        <v>93</v>
      </c>
      <c r="D65" t="s">
        <v>199</v>
      </c>
      <c r="E65" t="s">
        <v>95</v>
      </c>
      <c r="F65" t="s">
        <v>200</v>
      </c>
      <c r="G65" t="s">
        <v>97</v>
      </c>
      <c r="H65">
        <v>21039</v>
      </c>
      <c r="I65" t="s">
        <v>114</v>
      </c>
      <c r="J65">
        <v>4</v>
      </c>
      <c r="K65" t="s">
        <v>111</v>
      </c>
      <c r="L65">
        <v>2.6666666669999999</v>
      </c>
      <c r="M65" t="s">
        <v>100</v>
      </c>
      <c r="N65">
        <v>17.7</v>
      </c>
      <c r="O65">
        <v>1.9609767229999999</v>
      </c>
      <c r="P65">
        <v>5.2292712620000001</v>
      </c>
      <c r="Q65">
        <v>0</v>
      </c>
      <c r="R65">
        <v>92.558101339999993</v>
      </c>
      <c r="S65">
        <v>92.558101339999993</v>
      </c>
      <c r="T65">
        <v>0.44027777800000001</v>
      </c>
      <c r="U65">
        <v>0.44374999999999998</v>
      </c>
      <c r="V65">
        <v>0</v>
      </c>
      <c r="W65">
        <v>1</v>
      </c>
      <c r="X65">
        <v>5</v>
      </c>
      <c r="Y65">
        <v>73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</row>
    <row r="66" spans="1:94" x14ac:dyDescent="0.35">
      <c r="A66">
        <v>65</v>
      </c>
      <c r="B66">
        <v>45499</v>
      </c>
      <c r="C66" t="s">
        <v>93</v>
      </c>
      <c r="D66" t="s">
        <v>201</v>
      </c>
      <c r="E66" t="s">
        <v>95</v>
      </c>
      <c r="F66" t="s">
        <v>202</v>
      </c>
      <c r="G66" t="s">
        <v>97</v>
      </c>
      <c r="H66" t="s">
        <v>203</v>
      </c>
      <c r="I66" t="s">
        <v>105</v>
      </c>
      <c r="J66">
        <v>5</v>
      </c>
      <c r="K66" t="s">
        <v>111</v>
      </c>
      <c r="L66">
        <v>8</v>
      </c>
      <c r="M66" t="s">
        <v>100</v>
      </c>
      <c r="N66">
        <v>60.9</v>
      </c>
      <c r="O66">
        <v>4.4121976270000003</v>
      </c>
      <c r="P66">
        <v>35.297581020000003</v>
      </c>
      <c r="Q66">
        <v>0</v>
      </c>
      <c r="R66">
        <v>2149.6226839999999</v>
      </c>
      <c r="S66">
        <v>2149.6226839999999</v>
      </c>
      <c r="T66">
        <v>0.37222222199999999</v>
      </c>
      <c r="U66">
        <v>0.37569444400000002</v>
      </c>
      <c r="V66">
        <v>0</v>
      </c>
      <c r="W66">
        <v>1</v>
      </c>
      <c r="X66">
        <v>0</v>
      </c>
      <c r="Y66">
        <v>69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 t="s">
        <v>204</v>
      </c>
    </row>
    <row r="67" spans="1:94" x14ac:dyDescent="0.35">
      <c r="A67">
        <v>66</v>
      </c>
      <c r="B67">
        <v>45499</v>
      </c>
      <c r="C67" t="s">
        <v>93</v>
      </c>
      <c r="D67" t="s">
        <v>205</v>
      </c>
      <c r="E67" t="s">
        <v>95</v>
      </c>
      <c r="F67" t="s">
        <v>206</v>
      </c>
      <c r="G67" t="s">
        <v>97</v>
      </c>
      <c r="H67">
        <v>21040</v>
      </c>
      <c r="I67" t="s">
        <v>114</v>
      </c>
      <c r="J67">
        <v>4</v>
      </c>
      <c r="K67" t="s">
        <v>111</v>
      </c>
      <c r="L67">
        <v>4.6666666670000003</v>
      </c>
      <c r="M67" t="s">
        <v>100</v>
      </c>
      <c r="N67">
        <v>194.2</v>
      </c>
      <c r="O67">
        <v>3.6464443200000001</v>
      </c>
      <c r="P67">
        <v>17.016740160000001</v>
      </c>
      <c r="Q67">
        <v>0</v>
      </c>
      <c r="R67">
        <v>3304.6509390000001</v>
      </c>
      <c r="S67">
        <v>3304.6509390000001</v>
      </c>
      <c r="T67">
        <v>0.42361111099999998</v>
      </c>
      <c r="U67">
        <v>0.42708333300000001</v>
      </c>
      <c r="V67">
        <v>0</v>
      </c>
      <c r="W67">
        <v>1</v>
      </c>
      <c r="X67">
        <v>0</v>
      </c>
      <c r="Y67">
        <v>69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94" x14ac:dyDescent="0.35">
      <c r="A68">
        <v>67</v>
      </c>
      <c r="B68">
        <v>45499</v>
      </c>
      <c r="C68" t="s">
        <v>93</v>
      </c>
      <c r="D68" t="s">
        <v>207</v>
      </c>
      <c r="E68" t="s">
        <v>95</v>
      </c>
      <c r="F68" t="s">
        <v>208</v>
      </c>
      <c r="G68" t="s">
        <v>97</v>
      </c>
      <c r="H68">
        <v>21026</v>
      </c>
      <c r="I68" t="s">
        <v>114</v>
      </c>
      <c r="J68">
        <v>4</v>
      </c>
      <c r="K68" t="s">
        <v>111</v>
      </c>
      <c r="L68">
        <v>2.3333333330000001</v>
      </c>
      <c r="M68" t="s">
        <v>100</v>
      </c>
      <c r="N68">
        <v>86.428569999999993</v>
      </c>
      <c r="O68">
        <v>5.8505173309999998</v>
      </c>
      <c r="P68">
        <v>13.65120711</v>
      </c>
      <c r="Q68">
        <v>0</v>
      </c>
      <c r="R68">
        <v>1179.8543090000001</v>
      </c>
      <c r="S68">
        <v>1179.8543090000001</v>
      </c>
      <c r="T68">
        <v>0.45555555599999997</v>
      </c>
      <c r="U68">
        <v>0.459027778</v>
      </c>
      <c r="V68">
        <v>0</v>
      </c>
      <c r="W68">
        <v>1</v>
      </c>
      <c r="X68">
        <v>5</v>
      </c>
      <c r="Y68">
        <v>73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94" x14ac:dyDescent="0.35">
      <c r="A69">
        <v>68</v>
      </c>
      <c r="B69">
        <v>45499</v>
      </c>
      <c r="C69" t="s">
        <v>93</v>
      </c>
      <c r="D69" t="s">
        <v>209</v>
      </c>
      <c r="E69" t="s">
        <v>95</v>
      </c>
      <c r="F69" t="s">
        <v>182</v>
      </c>
      <c r="G69" t="s">
        <v>97</v>
      </c>
      <c r="H69" t="s">
        <v>210</v>
      </c>
      <c r="I69" t="s">
        <v>114</v>
      </c>
      <c r="J69">
        <v>4</v>
      </c>
      <c r="K69" t="s">
        <v>111</v>
      </c>
      <c r="L69">
        <v>7</v>
      </c>
      <c r="M69" t="s">
        <v>100</v>
      </c>
      <c r="N69">
        <v>15.1</v>
      </c>
      <c r="O69">
        <v>1.0372108289999999</v>
      </c>
      <c r="P69">
        <v>7.2604758020000002</v>
      </c>
      <c r="Q69">
        <v>0</v>
      </c>
      <c r="R69">
        <v>109.63318460000001</v>
      </c>
      <c r="S69">
        <v>109.63318460000001</v>
      </c>
      <c r="T69">
        <v>0.414583333</v>
      </c>
      <c r="U69">
        <v>0.41805555599999999</v>
      </c>
      <c r="V69">
        <v>0</v>
      </c>
      <c r="W69">
        <v>1</v>
      </c>
      <c r="X69">
        <v>0</v>
      </c>
      <c r="Y69">
        <v>69</v>
      </c>
      <c r="Z69">
        <v>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1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 t="s">
        <v>211</v>
      </c>
    </row>
    <row r="70" spans="1:94" x14ac:dyDescent="0.35">
      <c r="A70">
        <v>69</v>
      </c>
      <c r="B70">
        <v>45499</v>
      </c>
      <c r="C70" t="s">
        <v>93</v>
      </c>
      <c r="D70" t="s">
        <v>212</v>
      </c>
      <c r="E70" t="s">
        <v>95</v>
      </c>
      <c r="F70" t="s">
        <v>213</v>
      </c>
      <c r="G70" t="s">
        <v>97</v>
      </c>
      <c r="H70">
        <v>10063</v>
      </c>
      <c r="I70" t="s">
        <v>105</v>
      </c>
      <c r="J70">
        <v>5</v>
      </c>
      <c r="K70" t="s">
        <v>111</v>
      </c>
      <c r="L70">
        <v>2.3333333330000001</v>
      </c>
      <c r="M70" t="s">
        <v>100</v>
      </c>
      <c r="N70">
        <v>349.6</v>
      </c>
      <c r="O70">
        <v>18.187653950000001</v>
      </c>
      <c r="P70">
        <v>42.437859209999999</v>
      </c>
      <c r="Q70">
        <v>0</v>
      </c>
      <c r="R70">
        <v>14836.27558</v>
      </c>
      <c r="S70">
        <v>14836.27558</v>
      </c>
      <c r="T70">
        <v>0.71944444399999996</v>
      </c>
      <c r="U70">
        <v>0.72291666700000001</v>
      </c>
      <c r="V70">
        <v>0</v>
      </c>
      <c r="W70">
        <v>2</v>
      </c>
      <c r="X70">
        <v>0</v>
      </c>
      <c r="Y70">
        <v>81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94" x14ac:dyDescent="0.35">
      <c r="A71">
        <v>70</v>
      </c>
      <c r="B71">
        <v>45499</v>
      </c>
      <c r="C71" t="s">
        <v>93</v>
      </c>
      <c r="D71" t="s">
        <v>145</v>
      </c>
      <c r="E71" t="s">
        <v>95</v>
      </c>
      <c r="F71" t="s">
        <v>146</v>
      </c>
      <c r="G71" t="s">
        <v>97</v>
      </c>
      <c r="H71">
        <v>4054</v>
      </c>
      <c r="I71" t="s">
        <v>110</v>
      </c>
      <c r="J71">
        <v>4</v>
      </c>
      <c r="K71" t="s">
        <v>111</v>
      </c>
      <c r="L71">
        <v>9.6666666669999994</v>
      </c>
      <c r="M71" t="s">
        <v>100</v>
      </c>
      <c r="N71">
        <v>50</v>
      </c>
      <c r="O71">
        <v>9.7279031249999992</v>
      </c>
      <c r="P71">
        <v>94.036396870000004</v>
      </c>
      <c r="Q71">
        <v>0</v>
      </c>
      <c r="R71">
        <v>4701.8198439999996</v>
      </c>
      <c r="S71">
        <v>4701.8198439999996</v>
      </c>
      <c r="T71">
        <v>0.74305555599999995</v>
      </c>
      <c r="U71">
        <v>0.74652777800000003</v>
      </c>
      <c r="V71">
        <v>0</v>
      </c>
      <c r="W71">
        <v>1</v>
      </c>
      <c r="X71">
        <v>0</v>
      </c>
      <c r="Y71">
        <v>81</v>
      </c>
      <c r="Z71">
        <v>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94" x14ac:dyDescent="0.35">
      <c r="A72">
        <v>71</v>
      </c>
      <c r="B72">
        <v>45499</v>
      </c>
      <c r="C72" t="s">
        <v>93</v>
      </c>
      <c r="D72" t="s">
        <v>147</v>
      </c>
      <c r="E72" t="s">
        <v>95</v>
      </c>
      <c r="F72" t="s">
        <v>148</v>
      </c>
      <c r="G72" t="s">
        <v>103</v>
      </c>
      <c r="H72">
        <v>18022</v>
      </c>
      <c r="I72" t="s">
        <v>98</v>
      </c>
      <c r="J72">
        <v>3</v>
      </c>
      <c r="K72" t="s">
        <v>123</v>
      </c>
      <c r="L72">
        <v>1</v>
      </c>
      <c r="M72" t="s">
        <v>100</v>
      </c>
      <c r="N72">
        <v>563.42857140000001</v>
      </c>
      <c r="O72">
        <v>9.3348974590000005</v>
      </c>
      <c r="P72">
        <v>9.3348974590000005</v>
      </c>
      <c r="Q72">
        <v>0</v>
      </c>
      <c r="R72">
        <v>5259.5479400000004</v>
      </c>
      <c r="S72">
        <v>5259.5479400000004</v>
      </c>
      <c r="T72">
        <v>0.77847222199999999</v>
      </c>
      <c r="U72">
        <v>0.78194444399999996</v>
      </c>
      <c r="V72">
        <v>0</v>
      </c>
      <c r="W72">
        <v>1</v>
      </c>
      <c r="X72">
        <v>0</v>
      </c>
      <c r="Y72">
        <v>80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</row>
    <row r="73" spans="1:94" x14ac:dyDescent="0.35">
      <c r="A73">
        <v>72</v>
      </c>
      <c r="B73">
        <v>45499</v>
      </c>
      <c r="C73" t="s">
        <v>93</v>
      </c>
      <c r="D73" t="s">
        <v>149</v>
      </c>
      <c r="E73" t="s">
        <v>95</v>
      </c>
      <c r="F73" t="s">
        <v>150</v>
      </c>
      <c r="G73" t="s">
        <v>103</v>
      </c>
      <c r="H73">
        <v>10067</v>
      </c>
      <c r="I73" t="s">
        <v>114</v>
      </c>
      <c r="J73">
        <v>4</v>
      </c>
      <c r="K73" t="s">
        <v>106</v>
      </c>
      <c r="L73">
        <v>0.66</v>
      </c>
      <c r="M73" t="s">
        <v>100</v>
      </c>
      <c r="N73">
        <v>88</v>
      </c>
      <c r="O73">
        <v>3.4073996370000001</v>
      </c>
      <c r="P73">
        <v>2.24888376</v>
      </c>
      <c r="Q73">
        <v>0</v>
      </c>
      <c r="R73">
        <v>197.9017709</v>
      </c>
      <c r="S73">
        <v>197.9017709</v>
      </c>
      <c r="T73">
        <v>0.78472222199999997</v>
      </c>
      <c r="U73">
        <v>0.78819444400000005</v>
      </c>
      <c r="V73">
        <v>0</v>
      </c>
      <c r="W73">
        <v>1</v>
      </c>
      <c r="X73">
        <v>0</v>
      </c>
      <c r="Y73">
        <v>80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 t="s">
        <v>214</v>
      </c>
    </row>
    <row r="74" spans="1:94" x14ac:dyDescent="0.35">
      <c r="A74">
        <v>73</v>
      </c>
      <c r="B74">
        <v>45499</v>
      </c>
      <c r="C74" t="s">
        <v>93</v>
      </c>
      <c r="D74" t="s">
        <v>166</v>
      </c>
      <c r="E74" t="s">
        <v>95</v>
      </c>
      <c r="F74" t="s">
        <v>167</v>
      </c>
      <c r="G74" t="s">
        <v>97</v>
      </c>
      <c r="H74">
        <v>15055</v>
      </c>
      <c r="I74" t="s">
        <v>105</v>
      </c>
      <c r="J74">
        <v>4</v>
      </c>
      <c r="K74" t="s">
        <v>111</v>
      </c>
      <c r="L74">
        <v>14.6</v>
      </c>
      <c r="M74" t="s">
        <v>100</v>
      </c>
      <c r="N74">
        <v>42.8</v>
      </c>
      <c r="O74">
        <v>11.8144796</v>
      </c>
      <c r="P74">
        <v>172.49140209999999</v>
      </c>
      <c r="Q74">
        <v>0</v>
      </c>
      <c r="R74">
        <v>7382.6320100000003</v>
      </c>
      <c r="S74">
        <v>7382.6320100000003</v>
      </c>
      <c r="T74">
        <v>0.73333333300000003</v>
      </c>
      <c r="U74">
        <v>0.73680555599999997</v>
      </c>
      <c r="V74">
        <v>0</v>
      </c>
      <c r="W74">
        <v>2</v>
      </c>
      <c r="X74">
        <v>0</v>
      </c>
      <c r="Y74">
        <v>81</v>
      </c>
      <c r="Z74">
        <v>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4" x14ac:dyDescent="0.35">
      <c r="A75">
        <v>74</v>
      </c>
      <c r="B75">
        <v>45499</v>
      </c>
      <c r="C75" t="s">
        <v>93</v>
      </c>
      <c r="D75" t="s">
        <v>215</v>
      </c>
      <c r="E75" t="s">
        <v>95</v>
      </c>
      <c r="F75" t="s">
        <v>216</v>
      </c>
      <c r="G75" t="s">
        <v>97</v>
      </c>
      <c r="H75">
        <v>1006</v>
      </c>
      <c r="I75" t="s">
        <v>105</v>
      </c>
      <c r="J75">
        <v>4</v>
      </c>
      <c r="K75" t="s">
        <v>111</v>
      </c>
      <c r="L75">
        <v>5</v>
      </c>
      <c r="M75" t="s">
        <v>100</v>
      </c>
      <c r="N75">
        <v>41.2</v>
      </c>
      <c r="O75">
        <v>1.6981120000000001</v>
      </c>
      <c r="P75">
        <v>8.4905600000000003</v>
      </c>
      <c r="Q75">
        <v>0</v>
      </c>
      <c r="R75">
        <v>349.81107200000002</v>
      </c>
      <c r="S75">
        <v>349.81107200000002</v>
      </c>
      <c r="T75">
        <v>0.44791666699999999</v>
      </c>
      <c r="U75">
        <v>0.45138888900000002</v>
      </c>
      <c r="V75">
        <v>0</v>
      </c>
      <c r="W75">
        <v>1</v>
      </c>
      <c r="X75">
        <v>5</v>
      </c>
      <c r="Y75">
        <v>73</v>
      </c>
      <c r="Z75">
        <v>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4" x14ac:dyDescent="0.35">
      <c r="A76">
        <v>75</v>
      </c>
      <c r="B76">
        <v>45502</v>
      </c>
      <c r="C76" t="s">
        <v>93</v>
      </c>
      <c r="D76" t="s">
        <v>124</v>
      </c>
      <c r="E76" t="s">
        <v>95</v>
      </c>
      <c r="F76" t="s">
        <v>125</v>
      </c>
      <c r="G76" t="s">
        <v>97</v>
      </c>
      <c r="H76">
        <v>14026</v>
      </c>
      <c r="I76" t="s">
        <v>105</v>
      </c>
      <c r="J76">
        <v>4</v>
      </c>
      <c r="K76" t="s">
        <v>111</v>
      </c>
      <c r="L76">
        <v>5.6666666670000003</v>
      </c>
      <c r="M76" t="s">
        <v>100</v>
      </c>
      <c r="N76">
        <v>76.5</v>
      </c>
      <c r="O76">
        <v>8.5731957570000006</v>
      </c>
      <c r="P76">
        <v>48.581442619999997</v>
      </c>
      <c r="Q76">
        <v>0</v>
      </c>
      <c r="R76">
        <v>3716.4803609999999</v>
      </c>
      <c r="S76">
        <v>3716.4803609999999</v>
      </c>
      <c r="T76">
        <v>0.66180555600000002</v>
      </c>
      <c r="U76">
        <v>0.66527777799999999</v>
      </c>
      <c r="V76">
        <v>0</v>
      </c>
      <c r="W76">
        <v>1</v>
      </c>
      <c r="X76">
        <v>30</v>
      </c>
      <c r="Y76">
        <v>80</v>
      </c>
      <c r="Z76">
        <v>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4" x14ac:dyDescent="0.35">
      <c r="A77">
        <v>76</v>
      </c>
      <c r="B77">
        <v>45502</v>
      </c>
      <c r="C77" t="s">
        <v>93</v>
      </c>
      <c r="D77" t="s">
        <v>128</v>
      </c>
      <c r="E77" t="s">
        <v>95</v>
      </c>
      <c r="F77" t="s">
        <v>129</v>
      </c>
      <c r="G77" t="s">
        <v>97</v>
      </c>
      <c r="H77">
        <v>14010</v>
      </c>
      <c r="I77" t="s">
        <v>98</v>
      </c>
      <c r="J77">
        <v>4</v>
      </c>
      <c r="K77" t="s">
        <v>99</v>
      </c>
      <c r="L77">
        <v>12.66666667</v>
      </c>
      <c r="M77" t="s">
        <v>100</v>
      </c>
      <c r="N77">
        <v>59.7</v>
      </c>
      <c r="O77">
        <v>5.5466469710000004</v>
      </c>
      <c r="P77">
        <v>70.257528300000004</v>
      </c>
      <c r="Q77">
        <v>0</v>
      </c>
      <c r="R77">
        <v>4194.3744399999996</v>
      </c>
      <c r="S77">
        <v>4194.3744399999996</v>
      </c>
      <c r="T77">
        <v>0.67013888899999996</v>
      </c>
      <c r="U77">
        <v>0.67361111100000004</v>
      </c>
      <c r="V77">
        <v>0</v>
      </c>
      <c r="W77">
        <v>1</v>
      </c>
      <c r="X77">
        <v>30</v>
      </c>
      <c r="Y77">
        <v>80</v>
      </c>
      <c r="Z77">
        <v>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</row>
    <row r="78" spans="1:94" x14ac:dyDescent="0.35">
      <c r="A78">
        <v>77</v>
      </c>
      <c r="B78">
        <v>45502</v>
      </c>
      <c r="C78" t="s">
        <v>93</v>
      </c>
      <c r="D78" t="s">
        <v>191</v>
      </c>
      <c r="E78" t="s">
        <v>95</v>
      </c>
      <c r="F78" t="s">
        <v>192</v>
      </c>
      <c r="G78" t="s">
        <v>97</v>
      </c>
      <c r="H78">
        <v>13029</v>
      </c>
      <c r="I78" t="s">
        <v>110</v>
      </c>
      <c r="J78">
        <v>4</v>
      </c>
      <c r="K78" t="s">
        <v>111</v>
      </c>
      <c r="L78">
        <v>6</v>
      </c>
      <c r="M78" t="s">
        <v>100</v>
      </c>
      <c r="N78">
        <v>4.5</v>
      </c>
      <c r="O78">
        <v>5.8505173309999998</v>
      </c>
      <c r="P78">
        <v>35.103103990000001</v>
      </c>
      <c r="Q78">
        <v>0</v>
      </c>
      <c r="R78">
        <v>157.9639679</v>
      </c>
      <c r="S78">
        <v>157.9639679</v>
      </c>
      <c r="T78">
        <v>0.67847222200000001</v>
      </c>
      <c r="U78">
        <v>0.68194444399999998</v>
      </c>
      <c r="V78">
        <v>0</v>
      </c>
      <c r="W78">
        <v>1</v>
      </c>
      <c r="X78">
        <v>30</v>
      </c>
      <c r="Y78">
        <v>80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4" x14ac:dyDescent="0.35">
      <c r="A79">
        <v>78</v>
      </c>
      <c r="B79">
        <v>45502</v>
      </c>
      <c r="C79" t="s">
        <v>93</v>
      </c>
      <c r="D79" t="s">
        <v>130</v>
      </c>
      <c r="E79" t="s">
        <v>95</v>
      </c>
      <c r="F79" t="s">
        <v>125</v>
      </c>
      <c r="G79" t="s">
        <v>97</v>
      </c>
      <c r="H79" t="s">
        <v>131</v>
      </c>
      <c r="I79" t="s">
        <v>110</v>
      </c>
      <c r="J79" t="s">
        <v>100</v>
      </c>
      <c r="K79" t="s">
        <v>111</v>
      </c>
      <c r="L79">
        <v>9.3333333330000006</v>
      </c>
      <c r="M79" t="s">
        <v>100</v>
      </c>
      <c r="N79">
        <v>71.400000000000006</v>
      </c>
      <c r="O79">
        <v>8.9499950029999997</v>
      </c>
      <c r="P79">
        <v>83.533286700000005</v>
      </c>
      <c r="Q79">
        <v>0</v>
      </c>
      <c r="R79">
        <v>5964.2766700000002</v>
      </c>
      <c r="S79">
        <v>5964.2766700000002</v>
      </c>
      <c r="T79">
        <v>0.62013888900000003</v>
      </c>
      <c r="U79">
        <v>0.623611111</v>
      </c>
      <c r="V79">
        <v>0</v>
      </c>
      <c r="W79">
        <v>1</v>
      </c>
      <c r="X79">
        <v>65</v>
      </c>
      <c r="Y79">
        <v>78</v>
      </c>
      <c r="Z79">
        <v>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4" x14ac:dyDescent="0.35">
      <c r="A80">
        <v>79</v>
      </c>
      <c r="B80">
        <v>45502</v>
      </c>
      <c r="C80" t="s">
        <v>93</v>
      </c>
      <c r="D80" t="s">
        <v>132</v>
      </c>
      <c r="E80" t="s">
        <v>95</v>
      </c>
      <c r="F80" t="s">
        <v>125</v>
      </c>
      <c r="G80" t="s">
        <v>97</v>
      </c>
      <c r="H80" t="s">
        <v>133</v>
      </c>
      <c r="I80" t="s">
        <v>105</v>
      </c>
      <c r="J80">
        <v>4</v>
      </c>
      <c r="K80" t="s">
        <v>111</v>
      </c>
      <c r="L80">
        <v>17.333333329999999</v>
      </c>
      <c r="M80" t="s">
        <v>100</v>
      </c>
      <c r="N80">
        <v>94.3</v>
      </c>
      <c r="O80">
        <v>8.5731957570000006</v>
      </c>
      <c r="P80">
        <v>148.60205980000001</v>
      </c>
      <c r="Q80">
        <v>0</v>
      </c>
      <c r="R80">
        <v>14013.17424</v>
      </c>
      <c r="S80">
        <v>14013.17424</v>
      </c>
      <c r="T80">
        <v>0.63124999999999998</v>
      </c>
      <c r="U80">
        <v>0.63472222199999995</v>
      </c>
      <c r="V80">
        <v>0</v>
      </c>
      <c r="W80">
        <v>1</v>
      </c>
      <c r="X80">
        <v>65</v>
      </c>
      <c r="Y80">
        <v>78</v>
      </c>
      <c r="Z80">
        <v>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4" x14ac:dyDescent="0.35">
      <c r="A81">
        <v>80</v>
      </c>
      <c r="B81">
        <v>45502</v>
      </c>
      <c r="C81" t="s">
        <v>93</v>
      </c>
      <c r="D81" t="s">
        <v>197</v>
      </c>
      <c r="E81" t="s">
        <v>95</v>
      </c>
      <c r="F81" t="s">
        <v>198</v>
      </c>
      <c r="G81" t="s">
        <v>97</v>
      </c>
      <c r="H81">
        <v>98053</v>
      </c>
      <c r="I81" t="s">
        <v>114</v>
      </c>
      <c r="J81" t="s">
        <v>100</v>
      </c>
      <c r="K81" t="s">
        <v>111</v>
      </c>
      <c r="L81">
        <v>1.3333333329999999</v>
      </c>
      <c r="M81" t="s">
        <v>100</v>
      </c>
      <c r="N81">
        <v>46.2</v>
      </c>
      <c r="O81">
        <v>1.9609767229999999</v>
      </c>
      <c r="P81">
        <v>2.6146356310000001</v>
      </c>
      <c r="Q81">
        <v>0</v>
      </c>
      <c r="R81">
        <v>120.79616609999999</v>
      </c>
      <c r="S81">
        <v>120.79616609999999</v>
      </c>
      <c r="T81">
        <v>0.60763888899999996</v>
      </c>
      <c r="U81">
        <v>0.61111111100000004</v>
      </c>
      <c r="V81">
        <v>1</v>
      </c>
      <c r="W81">
        <v>1</v>
      </c>
      <c r="X81">
        <v>65</v>
      </c>
      <c r="Y81">
        <v>78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 t="s">
        <v>217</v>
      </c>
    </row>
    <row r="82" spans="1:94" x14ac:dyDescent="0.35">
      <c r="A82">
        <v>81</v>
      </c>
      <c r="B82">
        <v>45502</v>
      </c>
      <c r="C82" t="s">
        <v>93</v>
      </c>
      <c r="D82" t="s">
        <v>139</v>
      </c>
      <c r="E82" t="s">
        <v>95</v>
      </c>
      <c r="F82" t="s">
        <v>140</v>
      </c>
      <c r="G82" t="s">
        <v>97</v>
      </c>
      <c r="H82">
        <v>14022</v>
      </c>
      <c r="I82" t="s">
        <v>114</v>
      </c>
      <c r="J82">
        <v>4</v>
      </c>
      <c r="K82" t="s">
        <v>111</v>
      </c>
      <c r="L82">
        <v>7</v>
      </c>
      <c r="M82" t="s">
        <v>100</v>
      </c>
      <c r="N82">
        <v>47.1</v>
      </c>
      <c r="O82">
        <v>5.5466469710000004</v>
      </c>
      <c r="P82">
        <v>38.826528799999998</v>
      </c>
      <c r="Q82">
        <v>0</v>
      </c>
      <c r="R82">
        <v>1828.7295059999999</v>
      </c>
      <c r="S82">
        <v>1828.7295059999999</v>
      </c>
      <c r="T82">
        <v>0.70069444400000003</v>
      </c>
      <c r="U82">
        <v>0.70416666699999997</v>
      </c>
      <c r="V82">
        <v>0</v>
      </c>
      <c r="W82">
        <v>1</v>
      </c>
      <c r="X82">
        <v>30</v>
      </c>
      <c r="Y82">
        <v>80</v>
      </c>
      <c r="Z82">
        <v>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4" x14ac:dyDescent="0.35">
      <c r="A83">
        <v>82</v>
      </c>
      <c r="B83">
        <v>45502</v>
      </c>
      <c r="C83" t="s">
        <v>93</v>
      </c>
      <c r="D83" t="s">
        <v>139</v>
      </c>
      <c r="E83" t="s">
        <v>95</v>
      </c>
      <c r="F83" t="s">
        <v>140</v>
      </c>
      <c r="G83" t="s">
        <v>97</v>
      </c>
      <c r="H83">
        <v>14022</v>
      </c>
      <c r="I83" t="s">
        <v>114</v>
      </c>
      <c r="J83">
        <v>4</v>
      </c>
      <c r="K83" t="s">
        <v>111</v>
      </c>
      <c r="L83">
        <v>7</v>
      </c>
      <c r="M83" t="s">
        <v>100</v>
      </c>
      <c r="N83">
        <v>47.1</v>
      </c>
      <c r="O83">
        <v>5.5466469710000004</v>
      </c>
      <c r="P83">
        <v>38.826528799999998</v>
      </c>
      <c r="Q83">
        <v>0</v>
      </c>
      <c r="R83">
        <v>1828.7295059999999</v>
      </c>
      <c r="S83">
        <v>1828.7295059999999</v>
      </c>
      <c r="T83">
        <v>0.70069444400000003</v>
      </c>
      <c r="U83">
        <v>0.70416666699999997</v>
      </c>
      <c r="V83">
        <v>0</v>
      </c>
      <c r="W83">
        <v>1</v>
      </c>
      <c r="X83">
        <v>30</v>
      </c>
      <c r="Y83">
        <v>80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4" x14ac:dyDescent="0.35">
      <c r="A84">
        <v>83</v>
      </c>
      <c r="B84">
        <v>45502</v>
      </c>
      <c r="C84" t="s">
        <v>93</v>
      </c>
      <c r="D84" t="s">
        <v>170</v>
      </c>
      <c r="E84" t="s">
        <v>95</v>
      </c>
      <c r="F84" t="s">
        <v>171</v>
      </c>
      <c r="G84" t="s">
        <v>103</v>
      </c>
      <c r="H84">
        <v>12019</v>
      </c>
      <c r="I84" t="s">
        <v>114</v>
      </c>
      <c r="J84">
        <v>4</v>
      </c>
      <c r="K84" t="s">
        <v>106</v>
      </c>
      <c r="L84">
        <v>0.66666666699999999</v>
      </c>
      <c r="M84" t="s">
        <v>100</v>
      </c>
      <c r="N84">
        <v>528.4</v>
      </c>
      <c r="O84">
        <v>17.097300000000001</v>
      </c>
      <c r="P84">
        <v>11.398199999999999</v>
      </c>
      <c r="Q84">
        <v>0</v>
      </c>
      <c r="R84">
        <v>6022.8088799999996</v>
      </c>
      <c r="S84">
        <v>6022.8088799999996</v>
      </c>
      <c r="T84">
        <v>0.72361111099999997</v>
      </c>
      <c r="U84">
        <v>0.72638888899999998</v>
      </c>
      <c r="V84">
        <v>0</v>
      </c>
      <c r="W84">
        <v>1</v>
      </c>
      <c r="X84">
        <v>25</v>
      </c>
      <c r="Y84">
        <v>81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4" x14ac:dyDescent="0.35">
      <c r="A85">
        <v>84</v>
      </c>
      <c r="B85">
        <v>45502</v>
      </c>
      <c r="C85" t="s">
        <v>93</v>
      </c>
      <c r="D85" t="s">
        <v>145</v>
      </c>
      <c r="E85" t="s">
        <v>95</v>
      </c>
      <c r="F85" t="s">
        <v>146</v>
      </c>
      <c r="G85" t="s">
        <v>97</v>
      </c>
      <c r="H85">
        <v>4054</v>
      </c>
      <c r="I85" t="s">
        <v>110</v>
      </c>
      <c r="J85">
        <v>4</v>
      </c>
      <c r="K85" t="s">
        <v>111</v>
      </c>
      <c r="L85">
        <v>12</v>
      </c>
      <c r="M85" t="s">
        <v>100</v>
      </c>
      <c r="N85">
        <v>50</v>
      </c>
      <c r="O85">
        <v>9.7279031249999992</v>
      </c>
      <c r="P85">
        <v>116.7348375</v>
      </c>
      <c r="Q85">
        <v>0</v>
      </c>
      <c r="R85">
        <v>5836.7418749999997</v>
      </c>
      <c r="S85">
        <v>5836.7418749999997</v>
      </c>
      <c r="T85">
        <v>0.68958333299999997</v>
      </c>
      <c r="U85">
        <v>0.69305555600000002</v>
      </c>
      <c r="V85">
        <v>0</v>
      </c>
      <c r="W85">
        <v>1</v>
      </c>
      <c r="X85">
        <v>30</v>
      </c>
      <c r="Y85">
        <v>80</v>
      </c>
      <c r="Z85">
        <v>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4" x14ac:dyDescent="0.35">
      <c r="A86">
        <v>85</v>
      </c>
      <c r="B86">
        <v>45502</v>
      </c>
      <c r="C86" t="s">
        <v>93</v>
      </c>
      <c r="D86" t="s">
        <v>174</v>
      </c>
      <c r="E86" t="s">
        <v>95</v>
      </c>
      <c r="F86" t="s">
        <v>175</v>
      </c>
      <c r="G86" t="s">
        <v>103</v>
      </c>
      <c r="H86">
        <v>65169</v>
      </c>
      <c r="I86" t="s">
        <v>105</v>
      </c>
      <c r="J86">
        <v>4</v>
      </c>
      <c r="K86" t="s">
        <v>106</v>
      </c>
      <c r="M86">
        <v>3</v>
      </c>
      <c r="N86">
        <v>478.5</v>
      </c>
      <c r="O86">
        <v>36.172800000000002</v>
      </c>
      <c r="P86">
        <v>0</v>
      </c>
      <c r="Q86">
        <v>1435.5</v>
      </c>
      <c r="R86">
        <v>0</v>
      </c>
      <c r="S86">
        <v>1435.5</v>
      </c>
      <c r="T86">
        <v>0.73333333300000003</v>
      </c>
      <c r="U86">
        <v>0.73680555599999997</v>
      </c>
      <c r="V86">
        <v>0</v>
      </c>
      <c r="W86">
        <v>1</v>
      </c>
      <c r="X86">
        <v>25</v>
      </c>
      <c r="Y86">
        <v>81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4" x14ac:dyDescent="0.35">
      <c r="A87">
        <v>86</v>
      </c>
      <c r="B87">
        <v>45502</v>
      </c>
      <c r="C87" t="s">
        <v>93</v>
      </c>
      <c r="D87" t="s">
        <v>151</v>
      </c>
      <c r="E87" t="s">
        <v>95</v>
      </c>
      <c r="F87" t="s">
        <v>108</v>
      </c>
      <c r="G87" t="s">
        <v>97</v>
      </c>
      <c r="H87" t="s">
        <v>152</v>
      </c>
      <c r="I87" t="s">
        <v>110</v>
      </c>
      <c r="J87">
        <v>4</v>
      </c>
      <c r="K87" t="s">
        <v>111</v>
      </c>
      <c r="L87">
        <v>8.6666666669999994</v>
      </c>
      <c r="M87" t="s">
        <v>100</v>
      </c>
      <c r="N87">
        <v>27.1</v>
      </c>
      <c r="O87">
        <v>5.2508798209999998</v>
      </c>
      <c r="P87">
        <v>45.507625109999999</v>
      </c>
      <c r="Q87">
        <v>0</v>
      </c>
      <c r="R87">
        <v>1233.2566409999999</v>
      </c>
      <c r="S87">
        <v>1233.2566409999999</v>
      </c>
      <c r="T87">
        <v>0.64444444400000001</v>
      </c>
      <c r="U87">
        <v>0.64791666699999995</v>
      </c>
      <c r="V87">
        <v>0</v>
      </c>
      <c r="W87">
        <v>1</v>
      </c>
      <c r="X87">
        <v>30</v>
      </c>
      <c r="Y87">
        <v>80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 t="s">
        <v>218</v>
      </c>
    </row>
    <row r="88" spans="1:94" x14ac:dyDescent="0.35">
      <c r="A88">
        <v>87</v>
      </c>
      <c r="B88">
        <v>45502</v>
      </c>
      <c r="C88" t="s">
        <v>93</v>
      </c>
      <c r="D88" t="s">
        <v>219</v>
      </c>
      <c r="E88" t="s">
        <v>95</v>
      </c>
      <c r="F88" t="s">
        <v>220</v>
      </c>
      <c r="G88" t="s">
        <v>97</v>
      </c>
      <c r="H88">
        <v>14021</v>
      </c>
      <c r="I88" t="s">
        <v>110</v>
      </c>
      <c r="J88">
        <v>4</v>
      </c>
      <c r="K88" t="s">
        <v>111</v>
      </c>
      <c r="L88">
        <v>3.3333333330000001</v>
      </c>
      <c r="M88" t="s">
        <v>100</v>
      </c>
      <c r="N88">
        <v>120.2</v>
      </c>
      <c r="O88">
        <v>6.4825676799999998</v>
      </c>
      <c r="P88">
        <v>21.608558930000001</v>
      </c>
      <c r="Q88">
        <v>0</v>
      </c>
      <c r="R88">
        <v>2597.3487839999998</v>
      </c>
      <c r="S88">
        <v>2597.3487839999998</v>
      </c>
      <c r="T88">
        <v>0.65277777800000003</v>
      </c>
      <c r="U88">
        <v>0.65625</v>
      </c>
      <c r="V88">
        <v>0</v>
      </c>
      <c r="W88">
        <v>1</v>
      </c>
      <c r="X88">
        <v>30</v>
      </c>
      <c r="Y88">
        <v>80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4" x14ac:dyDescent="0.35">
      <c r="A89">
        <v>88</v>
      </c>
      <c r="B89">
        <v>45476</v>
      </c>
      <c r="C89" t="s">
        <v>93</v>
      </c>
      <c r="D89" t="s">
        <v>221</v>
      </c>
      <c r="E89" t="s">
        <v>95</v>
      </c>
      <c r="F89" t="s">
        <v>222</v>
      </c>
      <c r="G89" t="s">
        <v>103</v>
      </c>
      <c r="H89">
        <v>16026</v>
      </c>
      <c r="I89" t="s">
        <v>110</v>
      </c>
      <c r="J89">
        <v>4</v>
      </c>
      <c r="K89" t="s">
        <v>106</v>
      </c>
      <c r="M89">
        <v>82</v>
      </c>
      <c r="N89">
        <v>119</v>
      </c>
      <c r="O89">
        <v>2.1432989390000001</v>
      </c>
      <c r="P89">
        <v>0</v>
      </c>
      <c r="Q89">
        <v>9758</v>
      </c>
      <c r="R89">
        <v>0</v>
      </c>
      <c r="S89">
        <v>9758</v>
      </c>
      <c r="T89">
        <v>0.66736111099999995</v>
      </c>
      <c r="U89">
        <v>0.67291666699999997</v>
      </c>
      <c r="V89">
        <v>0</v>
      </c>
      <c r="W89">
        <v>2</v>
      </c>
      <c r="X89">
        <v>10</v>
      </c>
      <c r="Y89">
        <v>85</v>
      </c>
      <c r="Z89">
        <v>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 t="s">
        <v>223</v>
      </c>
    </row>
    <row r="90" spans="1:94" x14ac:dyDescent="0.35">
      <c r="A90">
        <v>89</v>
      </c>
      <c r="B90">
        <v>45476</v>
      </c>
      <c r="C90" t="s">
        <v>93</v>
      </c>
      <c r="D90" t="s">
        <v>141</v>
      </c>
      <c r="E90" t="s">
        <v>95</v>
      </c>
      <c r="F90" t="s">
        <v>142</v>
      </c>
      <c r="G90" t="s">
        <v>103</v>
      </c>
      <c r="H90" t="s">
        <v>143</v>
      </c>
      <c r="I90" t="s">
        <v>98</v>
      </c>
      <c r="J90">
        <v>4</v>
      </c>
      <c r="K90" t="s">
        <v>123</v>
      </c>
      <c r="M90">
        <v>52</v>
      </c>
      <c r="N90">
        <v>390.5</v>
      </c>
      <c r="O90">
        <v>3.6464443200000001</v>
      </c>
      <c r="P90">
        <v>0</v>
      </c>
      <c r="Q90">
        <v>20306</v>
      </c>
      <c r="R90">
        <v>0</v>
      </c>
      <c r="S90">
        <v>20306</v>
      </c>
      <c r="T90">
        <v>0.654861111</v>
      </c>
      <c r="U90">
        <v>0.66041666700000001</v>
      </c>
      <c r="V90">
        <v>0</v>
      </c>
      <c r="W90">
        <v>2</v>
      </c>
      <c r="X90">
        <v>10</v>
      </c>
      <c r="Y90">
        <v>85</v>
      </c>
      <c r="Z90">
        <v>12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1</v>
      </c>
      <c r="BO90">
        <v>0</v>
      </c>
      <c r="BP90">
        <v>1</v>
      </c>
      <c r="BQ90">
        <v>1</v>
      </c>
      <c r="BR90">
        <v>1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4" x14ac:dyDescent="0.35">
      <c r="A91">
        <v>90</v>
      </c>
      <c r="B91">
        <v>45503</v>
      </c>
      <c r="C91" t="s">
        <v>93</v>
      </c>
      <c r="D91" t="s">
        <v>101</v>
      </c>
      <c r="E91" t="s">
        <v>95</v>
      </c>
      <c r="F91" t="s">
        <v>102</v>
      </c>
      <c r="G91" t="s">
        <v>103</v>
      </c>
      <c r="H91" t="s">
        <v>104</v>
      </c>
      <c r="I91" t="s">
        <v>105</v>
      </c>
      <c r="J91">
        <v>4</v>
      </c>
      <c r="K91" t="s">
        <v>106</v>
      </c>
      <c r="L91">
        <v>0.66666666699999999</v>
      </c>
      <c r="M91" t="s">
        <v>100</v>
      </c>
      <c r="N91">
        <v>388.8</v>
      </c>
      <c r="O91">
        <v>8.3053000000000008</v>
      </c>
      <c r="P91">
        <v>5.536866667</v>
      </c>
      <c r="Q91">
        <v>0</v>
      </c>
      <c r="R91">
        <v>2152.7337600000001</v>
      </c>
      <c r="S91">
        <v>2152.7337600000001</v>
      </c>
      <c r="T91">
        <v>0.70347222200000004</v>
      </c>
      <c r="U91">
        <v>0.70694444400000001</v>
      </c>
      <c r="V91">
        <v>0</v>
      </c>
      <c r="W91">
        <v>2</v>
      </c>
      <c r="X91">
        <v>80</v>
      </c>
      <c r="Y91">
        <v>87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94" x14ac:dyDescent="0.35">
      <c r="A92">
        <v>91</v>
      </c>
      <c r="B92">
        <v>45503</v>
      </c>
      <c r="C92" t="s">
        <v>93</v>
      </c>
      <c r="D92" t="s">
        <v>224</v>
      </c>
      <c r="E92" t="s">
        <v>95</v>
      </c>
      <c r="F92" t="s">
        <v>225</v>
      </c>
      <c r="G92" t="s">
        <v>97</v>
      </c>
      <c r="H92">
        <v>16012</v>
      </c>
      <c r="I92" t="s">
        <v>98</v>
      </c>
      <c r="J92">
        <v>4</v>
      </c>
      <c r="K92" t="s">
        <v>99</v>
      </c>
      <c r="L92">
        <v>2.6666666669999999</v>
      </c>
      <c r="M92" t="s">
        <v>100</v>
      </c>
      <c r="N92" t="s">
        <v>100</v>
      </c>
      <c r="O92" t="e">
        <v>#VALUE!</v>
      </c>
      <c r="P92" t="e">
        <v>#VALUE!</v>
      </c>
      <c r="Q92" t="e">
        <v>#VALUE!</v>
      </c>
      <c r="R92" t="e">
        <v>#VALUE!</v>
      </c>
      <c r="S92" t="s">
        <v>100</v>
      </c>
      <c r="T92">
        <v>0.73819444400000001</v>
      </c>
      <c r="U92">
        <v>0.74166666699999995</v>
      </c>
      <c r="V92">
        <v>0</v>
      </c>
      <c r="W92">
        <v>2</v>
      </c>
      <c r="X92">
        <v>80</v>
      </c>
      <c r="Y92">
        <v>87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4" x14ac:dyDescent="0.35">
      <c r="A93">
        <v>92</v>
      </c>
      <c r="B93">
        <v>45503</v>
      </c>
      <c r="C93" t="s">
        <v>93</v>
      </c>
      <c r="D93" t="s">
        <v>187</v>
      </c>
      <c r="E93" t="s">
        <v>95</v>
      </c>
      <c r="F93" t="s">
        <v>188</v>
      </c>
      <c r="G93" t="s">
        <v>97</v>
      </c>
      <c r="H93">
        <v>11031</v>
      </c>
      <c r="I93" t="s">
        <v>98</v>
      </c>
      <c r="J93">
        <v>4</v>
      </c>
      <c r="K93" t="s">
        <v>99</v>
      </c>
      <c r="L93">
        <v>5.6666666670000003</v>
      </c>
      <c r="M93" t="s">
        <v>100</v>
      </c>
      <c r="N93">
        <v>189.5</v>
      </c>
      <c r="O93">
        <v>15.0877</v>
      </c>
      <c r="P93">
        <v>85.496966670000006</v>
      </c>
      <c r="Q93">
        <v>0</v>
      </c>
      <c r="R93">
        <v>16201.67518</v>
      </c>
      <c r="S93">
        <v>16201.67518</v>
      </c>
      <c r="T93">
        <v>0.72152777800000001</v>
      </c>
      <c r="U93">
        <v>0.72499999999999998</v>
      </c>
      <c r="V93">
        <v>0</v>
      </c>
      <c r="W93">
        <v>2</v>
      </c>
      <c r="X93">
        <v>80</v>
      </c>
      <c r="Y93">
        <v>87</v>
      </c>
      <c r="Z93">
        <v>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  <row r="94" spans="1:94" x14ac:dyDescent="0.35">
      <c r="A94">
        <v>93</v>
      </c>
      <c r="B94">
        <v>45503</v>
      </c>
      <c r="C94" t="s">
        <v>93</v>
      </c>
      <c r="D94" t="s">
        <v>117</v>
      </c>
      <c r="E94" t="s">
        <v>95</v>
      </c>
      <c r="F94" t="s">
        <v>118</v>
      </c>
      <c r="G94" t="s">
        <v>97</v>
      </c>
      <c r="H94">
        <v>1128</v>
      </c>
      <c r="I94" t="s">
        <v>105</v>
      </c>
      <c r="J94">
        <v>4</v>
      </c>
      <c r="K94" t="s">
        <v>111</v>
      </c>
      <c r="L94">
        <v>11.33333333</v>
      </c>
      <c r="M94" t="s">
        <v>100</v>
      </c>
      <c r="N94">
        <v>36.1</v>
      </c>
      <c r="O94">
        <v>8.3053000000000008</v>
      </c>
      <c r="P94">
        <v>94.126733329999993</v>
      </c>
      <c r="Q94">
        <v>0</v>
      </c>
      <c r="R94">
        <v>3397.9750730000001</v>
      </c>
      <c r="S94">
        <v>3397.9750730000001</v>
      </c>
      <c r="T94">
        <v>0.71319444399999998</v>
      </c>
      <c r="U94">
        <v>0.71666666700000003</v>
      </c>
      <c r="V94">
        <v>0</v>
      </c>
      <c r="W94">
        <v>2</v>
      </c>
      <c r="X94">
        <v>80</v>
      </c>
      <c r="Y94">
        <v>87</v>
      </c>
      <c r="Z94">
        <v>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</row>
    <row r="95" spans="1:94" x14ac:dyDescent="0.35">
      <c r="A95">
        <v>94</v>
      </c>
      <c r="B95">
        <v>45504</v>
      </c>
      <c r="C95" t="s">
        <v>93</v>
      </c>
      <c r="D95" t="s">
        <v>181</v>
      </c>
      <c r="E95" t="s">
        <v>95</v>
      </c>
      <c r="F95" t="s">
        <v>182</v>
      </c>
      <c r="G95" t="s">
        <v>97</v>
      </c>
      <c r="H95">
        <v>20012</v>
      </c>
      <c r="I95" t="s">
        <v>105</v>
      </c>
      <c r="J95">
        <v>4</v>
      </c>
      <c r="K95" t="s">
        <v>111</v>
      </c>
      <c r="L95">
        <v>8</v>
      </c>
      <c r="M95" t="s">
        <v>100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s">
        <v>100</v>
      </c>
      <c r="T95">
        <v>0.74027777800000005</v>
      </c>
      <c r="U95">
        <v>0.74375000000000002</v>
      </c>
      <c r="V95">
        <v>0</v>
      </c>
      <c r="W95">
        <v>2</v>
      </c>
      <c r="X95">
        <v>10</v>
      </c>
      <c r="Y95">
        <v>91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</row>
    <row r="96" spans="1:94" x14ac:dyDescent="0.35">
      <c r="A96">
        <v>95</v>
      </c>
      <c r="B96">
        <v>45481</v>
      </c>
      <c r="C96" t="s">
        <v>93</v>
      </c>
      <c r="D96" t="s">
        <v>94</v>
      </c>
      <c r="E96" t="s">
        <v>95</v>
      </c>
      <c r="F96" t="s">
        <v>96</v>
      </c>
      <c r="G96" t="s">
        <v>97</v>
      </c>
      <c r="H96">
        <v>5026</v>
      </c>
      <c r="I96" t="s">
        <v>98</v>
      </c>
      <c r="J96">
        <v>4</v>
      </c>
      <c r="K96" t="s">
        <v>99</v>
      </c>
      <c r="M96" t="s">
        <v>100</v>
      </c>
      <c r="N96" t="s">
        <v>100</v>
      </c>
      <c r="O96" t="e">
        <v>#VALUE!</v>
      </c>
      <c r="T96" t="s">
        <v>100</v>
      </c>
      <c r="U96" t="s">
        <v>100</v>
      </c>
      <c r="V96" t="s">
        <v>100</v>
      </c>
      <c r="W96" t="s">
        <v>100</v>
      </c>
      <c r="X96" t="s">
        <v>100</v>
      </c>
      <c r="Y96" t="s">
        <v>100</v>
      </c>
      <c r="Z96">
        <v>10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</row>
    <row r="97" spans="1:94" x14ac:dyDescent="0.35">
      <c r="A97">
        <v>96</v>
      </c>
      <c r="B97">
        <v>45481</v>
      </c>
      <c r="C97" t="s">
        <v>93</v>
      </c>
      <c r="D97" t="s">
        <v>134</v>
      </c>
      <c r="E97" t="s">
        <v>95</v>
      </c>
      <c r="F97" t="s">
        <v>116</v>
      </c>
      <c r="G97" t="s">
        <v>97</v>
      </c>
      <c r="H97">
        <v>14001</v>
      </c>
      <c r="I97" t="s">
        <v>98</v>
      </c>
      <c r="J97">
        <v>4</v>
      </c>
      <c r="K97" t="s">
        <v>99</v>
      </c>
      <c r="M97" t="s">
        <v>100</v>
      </c>
      <c r="N97">
        <v>25.9</v>
      </c>
      <c r="O97">
        <v>8.2044997199999994</v>
      </c>
      <c r="Q97" t="s">
        <v>100</v>
      </c>
      <c r="R97" t="s">
        <v>100</v>
      </c>
      <c r="S97" t="s">
        <v>100</v>
      </c>
      <c r="T97">
        <v>0.66111111099999997</v>
      </c>
      <c r="U97">
        <v>0.66666666699999999</v>
      </c>
      <c r="V97">
        <v>0</v>
      </c>
      <c r="W97">
        <v>1</v>
      </c>
      <c r="X97">
        <v>10</v>
      </c>
      <c r="Y97">
        <v>80</v>
      </c>
      <c r="Z97">
        <v>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</row>
    <row r="98" spans="1:94" x14ac:dyDescent="0.35">
      <c r="A98">
        <v>97</v>
      </c>
      <c r="B98">
        <v>45481</v>
      </c>
      <c r="C98" t="s">
        <v>93</v>
      </c>
      <c r="D98" t="s">
        <v>165</v>
      </c>
      <c r="E98" t="s">
        <v>95</v>
      </c>
      <c r="F98" t="s">
        <v>96</v>
      </c>
      <c r="G98" t="s">
        <v>97</v>
      </c>
      <c r="H98">
        <v>5026</v>
      </c>
      <c r="I98" t="s">
        <v>98</v>
      </c>
      <c r="J98">
        <v>4</v>
      </c>
      <c r="K98" t="s">
        <v>99</v>
      </c>
      <c r="M98">
        <v>318</v>
      </c>
      <c r="N98">
        <v>5.5</v>
      </c>
      <c r="O98">
        <v>0.90683199999999997</v>
      </c>
      <c r="P98">
        <v>0</v>
      </c>
      <c r="Q98">
        <v>1749</v>
      </c>
      <c r="R98">
        <v>0</v>
      </c>
      <c r="S98">
        <v>1749</v>
      </c>
      <c r="T98">
        <v>0.13888888899999999</v>
      </c>
      <c r="U98">
        <v>0.14444444400000001</v>
      </c>
      <c r="V98">
        <v>0</v>
      </c>
      <c r="W98">
        <v>1</v>
      </c>
      <c r="X98">
        <v>25</v>
      </c>
      <c r="Y98">
        <v>80</v>
      </c>
      <c r="Z98">
        <v>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</row>
    <row r="99" spans="1:94" x14ac:dyDescent="0.35">
      <c r="A99">
        <v>98</v>
      </c>
      <c r="B99">
        <v>45505</v>
      </c>
      <c r="C99" t="s">
        <v>226</v>
      </c>
      <c r="D99" t="s">
        <v>227</v>
      </c>
      <c r="E99" t="s">
        <v>95</v>
      </c>
      <c r="F99" t="s">
        <v>140</v>
      </c>
      <c r="G99" t="s">
        <v>97</v>
      </c>
      <c r="H99">
        <v>7045</v>
      </c>
      <c r="I99" t="s">
        <v>114</v>
      </c>
      <c r="J99">
        <v>4</v>
      </c>
      <c r="K99" t="s">
        <v>99</v>
      </c>
      <c r="L99">
        <v>18</v>
      </c>
      <c r="M99" t="s">
        <v>100</v>
      </c>
      <c r="N99">
        <v>79</v>
      </c>
      <c r="O99">
        <v>1.446912</v>
      </c>
      <c r="P99">
        <v>26.044415999999998</v>
      </c>
      <c r="Q99">
        <v>0</v>
      </c>
      <c r="R99">
        <v>2057.5088639999999</v>
      </c>
      <c r="S99">
        <v>2057.5088639999999</v>
      </c>
      <c r="T99">
        <v>0.445833333</v>
      </c>
      <c r="U99">
        <v>0.44930555599999999</v>
      </c>
      <c r="V99">
        <v>0</v>
      </c>
      <c r="W99">
        <v>2</v>
      </c>
      <c r="X99">
        <v>100</v>
      </c>
      <c r="Y99">
        <v>81</v>
      </c>
      <c r="Z99">
        <v>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0</v>
      </c>
      <c r="BQ99">
        <v>1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</row>
    <row r="100" spans="1:94" x14ac:dyDescent="0.35">
      <c r="A100">
        <v>99</v>
      </c>
      <c r="B100">
        <v>45505</v>
      </c>
      <c r="C100" t="s">
        <v>226</v>
      </c>
      <c r="D100" t="s">
        <v>179</v>
      </c>
      <c r="E100" t="s">
        <v>95</v>
      </c>
      <c r="F100" t="s">
        <v>180</v>
      </c>
      <c r="G100" t="s">
        <v>97</v>
      </c>
      <c r="H100">
        <v>1005</v>
      </c>
      <c r="I100" t="s">
        <v>105</v>
      </c>
      <c r="J100">
        <v>4</v>
      </c>
      <c r="K100" t="s">
        <v>111</v>
      </c>
      <c r="L100">
        <v>7</v>
      </c>
      <c r="M100" t="s">
        <v>100</v>
      </c>
      <c r="N100">
        <v>125.2</v>
      </c>
      <c r="O100">
        <v>3.8207520000000001</v>
      </c>
      <c r="P100">
        <v>26.745263999999999</v>
      </c>
      <c r="Q100">
        <v>0</v>
      </c>
      <c r="R100">
        <v>3348.5070529999998</v>
      </c>
      <c r="S100">
        <v>3348.5070529999998</v>
      </c>
      <c r="T100">
        <v>0.56319444399999996</v>
      </c>
      <c r="U100">
        <v>0.56666666700000001</v>
      </c>
      <c r="V100">
        <v>0</v>
      </c>
      <c r="W100">
        <v>2</v>
      </c>
      <c r="X100">
        <v>90</v>
      </c>
      <c r="Y100">
        <v>79</v>
      </c>
      <c r="Z100">
        <v>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</row>
    <row r="101" spans="1:94" x14ac:dyDescent="0.35">
      <c r="A101">
        <v>100</v>
      </c>
      <c r="B101">
        <v>45505</v>
      </c>
      <c r="C101" t="s">
        <v>226</v>
      </c>
      <c r="D101" t="s">
        <v>228</v>
      </c>
      <c r="E101" t="s">
        <v>95</v>
      </c>
      <c r="F101" t="s">
        <v>167</v>
      </c>
      <c r="G101" t="s">
        <v>97</v>
      </c>
      <c r="H101">
        <v>15012</v>
      </c>
      <c r="I101" t="s">
        <v>98</v>
      </c>
      <c r="J101">
        <v>4</v>
      </c>
      <c r="K101" t="s">
        <v>111</v>
      </c>
      <c r="L101">
        <v>5.3333333329999997</v>
      </c>
      <c r="M101" t="s">
        <v>100</v>
      </c>
      <c r="N101">
        <v>269.7</v>
      </c>
      <c r="O101">
        <v>7.5987999999999998</v>
      </c>
      <c r="P101">
        <v>40.526933329999999</v>
      </c>
      <c r="Q101">
        <v>0</v>
      </c>
      <c r="R101">
        <v>10930.11392</v>
      </c>
      <c r="S101">
        <v>10930.11392</v>
      </c>
      <c r="T101">
        <v>0.57083333300000005</v>
      </c>
      <c r="U101">
        <v>0.57430555599999999</v>
      </c>
      <c r="V101">
        <v>0</v>
      </c>
      <c r="W101">
        <v>2</v>
      </c>
      <c r="X101">
        <v>75</v>
      </c>
      <c r="Y101">
        <v>79</v>
      </c>
      <c r="Z101">
        <v>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</row>
    <row r="102" spans="1:94" x14ac:dyDescent="0.35">
      <c r="A102">
        <v>101</v>
      </c>
      <c r="B102">
        <v>45505</v>
      </c>
      <c r="C102" t="s">
        <v>226</v>
      </c>
      <c r="D102" t="s">
        <v>183</v>
      </c>
      <c r="E102" t="s">
        <v>95</v>
      </c>
      <c r="F102" t="s">
        <v>140</v>
      </c>
      <c r="G102" t="s">
        <v>97</v>
      </c>
      <c r="H102">
        <v>7045</v>
      </c>
      <c r="I102" t="s">
        <v>105</v>
      </c>
      <c r="J102">
        <v>5</v>
      </c>
      <c r="K102" t="s">
        <v>99</v>
      </c>
      <c r="L102">
        <v>8.3333333330000006</v>
      </c>
      <c r="M102" t="s">
        <v>100</v>
      </c>
      <c r="N102">
        <v>91.2</v>
      </c>
      <c r="O102">
        <v>1.6981120000000001</v>
      </c>
      <c r="P102">
        <v>14.150933330000001</v>
      </c>
      <c r="Q102">
        <v>0</v>
      </c>
      <c r="R102">
        <v>1290.56512</v>
      </c>
      <c r="S102">
        <v>1290.56512</v>
      </c>
      <c r="T102">
        <v>0.58333333300000001</v>
      </c>
      <c r="U102">
        <v>0.58680555599999995</v>
      </c>
      <c r="V102">
        <v>0</v>
      </c>
      <c r="W102">
        <v>2</v>
      </c>
      <c r="X102">
        <v>75</v>
      </c>
      <c r="Y102">
        <v>79</v>
      </c>
      <c r="Z102">
        <v>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</row>
    <row r="103" spans="1:94" x14ac:dyDescent="0.35">
      <c r="A103">
        <v>102</v>
      </c>
      <c r="B103">
        <v>45505</v>
      </c>
      <c r="C103" t="s">
        <v>226</v>
      </c>
      <c r="D103" t="s">
        <v>229</v>
      </c>
      <c r="E103" t="s">
        <v>95</v>
      </c>
      <c r="F103" t="s">
        <v>230</v>
      </c>
      <c r="G103" t="s">
        <v>97</v>
      </c>
      <c r="H103">
        <v>15049</v>
      </c>
      <c r="I103" t="s">
        <v>114</v>
      </c>
      <c r="J103">
        <v>4</v>
      </c>
      <c r="K103" t="s">
        <v>111</v>
      </c>
      <c r="L103">
        <v>8</v>
      </c>
      <c r="M103" t="s">
        <v>100</v>
      </c>
      <c r="N103">
        <v>107.9</v>
      </c>
      <c r="O103">
        <v>1.5078279999999999</v>
      </c>
      <c r="P103">
        <v>12.062624</v>
      </c>
      <c r="Q103">
        <v>0</v>
      </c>
      <c r="R103">
        <v>1301.5571299999999</v>
      </c>
      <c r="S103">
        <v>1301.5571299999999</v>
      </c>
      <c r="T103">
        <v>0.59027777800000003</v>
      </c>
      <c r="U103">
        <v>0.59375</v>
      </c>
      <c r="V103">
        <v>0</v>
      </c>
      <c r="W103">
        <v>2</v>
      </c>
      <c r="X103">
        <v>75</v>
      </c>
      <c r="Y103">
        <v>79</v>
      </c>
      <c r="Z103">
        <v>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 t="s">
        <v>204</v>
      </c>
    </row>
    <row r="104" spans="1:94" x14ac:dyDescent="0.35">
      <c r="A104">
        <v>103</v>
      </c>
      <c r="B104">
        <v>45505</v>
      </c>
      <c r="C104" t="s">
        <v>226</v>
      </c>
      <c r="D104" t="s">
        <v>194</v>
      </c>
      <c r="E104" t="s">
        <v>95</v>
      </c>
      <c r="F104" t="s">
        <v>195</v>
      </c>
      <c r="G104" t="s">
        <v>97</v>
      </c>
      <c r="H104">
        <v>1127</v>
      </c>
      <c r="I104" t="s">
        <v>105</v>
      </c>
      <c r="J104">
        <v>4</v>
      </c>
      <c r="K104" t="s">
        <v>99</v>
      </c>
      <c r="L104">
        <v>7.6666666670000003</v>
      </c>
      <c r="M104" t="s">
        <v>100</v>
      </c>
      <c r="N104">
        <v>126.2</v>
      </c>
      <c r="O104">
        <v>2.9899079999999998</v>
      </c>
      <c r="P104">
        <v>22.922628</v>
      </c>
      <c r="Q104">
        <v>0</v>
      </c>
      <c r="R104">
        <v>2892.835654</v>
      </c>
      <c r="S104">
        <v>2892.835654</v>
      </c>
      <c r="T104">
        <v>0.61666666699999995</v>
      </c>
      <c r="U104">
        <v>0.62013888900000003</v>
      </c>
      <c r="V104">
        <v>0</v>
      </c>
      <c r="W104">
        <v>2</v>
      </c>
      <c r="X104">
        <v>60</v>
      </c>
      <c r="Y104">
        <v>84</v>
      </c>
      <c r="Z104">
        <v>7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</row>
    <row r="105" spans="1:94" x14ac:dyDescent="0.35">
      <c r="A105">
        <v>104</v>
      </c>
      <c r="B105">
        <v>45505</v>
      </c>
      <c r="C105" t="s">
        <v>226</v>
      </c>
      <c r="D105" t="s">
        <v>184</v>
      </c>
      <c r="E105" t="s">
        <v>95</v>
      </c>
      <c r="F105" t="s">
        <v>129</v>
      </c>
      <c r="G105" t="s">
        <v>97</v>
      </c>
      <c r="H105">
        <v>14010</v>
      </c>
      <c r="I105" t="s">
        <v>98</v>
      </c>
      <c r="J105" t="s">
        <v>100</v>
      </c>
      <c r="K105" t="s">
        <v>99</v>
      </c>
      <c r="L105">
        <v>8.6666666669999994</v>
      </c>
      <c r="M105" t="s">
        <v>100</v>
      </c>
      <c r="N105">
        <v>69.400000000000006</v>
      </c>
      <c r="O105">
        <v>4.0191999999999997</v>
      </c>
      <c r="P105">
        <v>34.833066670000001</v>
      </c>
      <c r="Q105">
        <v>0</v>
      </c>
      <c r="R105">
        <v>2417.4148270000001</v>
      </c>
      <c r="S105">
        <v>2417.4148270000001</v>
      </c>
      <c r="T105">
        <v>0.47083333300000002</v>
      </c>
      <c r="U105">
        <v>0.47430555600000002</v>
      </c>
      <c r="V105">
        <v>0</v>
      </c>
      <c r="W105">
        <v>2</v>
      </c>
      <c r="X105">
        <v>90</v>
      </c>
      <c r="Y105">
        <v>81</v>
      </c>
      <c r="Z105">
        <v>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1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</row>
    <row r="106" spans="1:94" x14ac:dyDescent="0.35">
      <c r="A106">
        <v>105</v>
      </c>
      <c r="B106">
        <v>45505</v>
      </c>
      <c r="C106" t="s">
        <v>226</v>
      </c>
      <c r="D106" t="s">
        <v>231</v>
      </c>
      <c r="E106" t="s">
        <v>232</v>
      </c>
      <c r="F106" t="s">
        <v>233</v>
      </c>
      <c r="G106" t="s">
        <v>97</v>
      </c>
      <c r="H106">
        <v>12020</v>
      </c>
      <c r="I106" t="s">
        <v>110</v>
      </c>
      <c r="J106">
        <v>4</v>
      </c>
      <c r="K106" t="s">
        <v>99</v>
      </c>
      <c r="L106">
        <v>8.3333333330000006</v>
      </c>
      <c r="M106" t="s">
        <v>100</v>
      </c>
      <c r="N106">
        <v>150.69999999999999</v>
      </c>
      <c r="O106">
        <v>13.629598550000001</v>
      </c>
      <c r="P106">
        <v>113.57998790000001</v>
      </c>
      <c r="Q106">
        <v>0</v>
      </c>
      <c r="R106">
        <v>17116.50418</v>
      </c>
      <c r="S106">
        <v>17116.50418</v>
      </c>
      <c r="T106">
        <v>0.45694444400000001</v>
      </c>
      <c r="U106">
        <v>0.460416667</v>
      </c>
      <c r="V106">
        <v>0</v>
      </c>
      <c r="W106">
        <v>2</v>
      </c>
      <c r="X106">
        <v>90</v>
      </c>
      <c r="Y106">
        <v>81</v>
      </c>
      <c r="Z106">
        <v>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</row>
    <row r="107" spans="1:94" x14ac:dyDescent="0.35">
      <c r="A107">
        <v>106</v>
      </c>
      <c r="B107">
        <v>45505</v>
      </c>
      <c r="C107" t="s">
        <v>226</v>
      </c>
      <c r="D107" t="s">
        <v>201</v>
      </c>
      <c r="E107" t="s">
        <v>95</v>
      </c>
      <c r="F107" t="s">
        <v>202</v>
      </c>
      <c r="G107" t="s">
        <v>97</v>
      </c>
      <c r="H107" t="s">
        <v>203</v>
      </c>
      <c r="I107" t="s">
        <v>105</v>
      </c>
      <c r="J107">
        <v>5</v>
      </c>
      <c r="K107" t="s">
        <v>111</v>
      </c>
      <c r="L107">
        <v>7</v>
      </c>
      <c r="M107" t="s">
        <v>100</v>
      </c>
      <c r="N107">
        <v>60.9</v>
      </c>
      <c r="O107">
        <v>4.4121976270000003</v>
      </c>
      <c r="P107">
        <v>30.885383390000001</v>
      </c>
      <c r="Q107">
        <v>0</v>
      </c>
      <c r="R107">
        <v>1880.919848</v>
      </c>
      <c r="S107">
        <v>1880.919848</v>
      </c>
      <c r="T107">
        <v>0.64305555599999997</v>
      </c>
      <c r="U107">
        <v>0.64652777800000005</v>
      </c>
      <c r="V107">
        <v>0</v>
      </c>
      <c r="W107">
        <v>1</v>
      </c>
      <c r="X107">
        <v>60</v>
      </c>
      <c r="Y107">
        <v>81</v>
      </c>
      <c r="Z107">
        <v>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</row>
    <row r="108" spans="1:94" x14ac:dyDescent="0.35">
      <c r="A108">
        <v>107</v>
      </c>
      <c r="B108">
        <v>45505</v>
      </c>
      <c r="C108" t="s">
        <v>226</v>
      </c>
      <c r="D108" t="s">
        <v>205</v>
      </c>
      <c r="E108" t="s">
        <v>232</v>
      </c>
      <c r="F108" t="s">
        <v>206</v>
      </c>
      <c r="G108" t="s">
        <v>97</v>
      </c>
      <c r="H108">
        <v>21040</v>
      </c>
      <c r="I108" t="s">
        <v>114</v>
      </c>
      <c r="J108">
        <v>4</v>
      </c>
      <c r="K108" t="s">
        <v>111</v>
      </c>
      <c r="M108">
        <v>24</v>
      </c>
      <c r="N108">
        <v>194.2</v>
      </c>
      <c r="O108">
        <v>3.6464443200000001</v>
      </c>
      <c r="P108">
        <v>0</v>
      </c>
      <c r="Q108">
        <v>4660.8</v>
      </c>
      <c r="R108">
        <v>0</v>
      </c>
      <c r="S108">
        <v>4660.8</v>
      </c>
      <c r="T108">
        <v>0.59930555600000002</v>
      </c>
      <c r="U108">
        <v>0.60208333300000005</v>
      </c>
      <c r="V108">
        <v>0</v>
      </c>
      <c r="W108">
        <v>1</v>
      </c>
      <c r="X108">
        <v>30</v>
      </c>
      <c r="Y108">
        <v>84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</row>
    <row r="109" spans="1:94" x14ac:dyDescent="0.35">
      <c r="A109">
        <v>108</v>
      </c>
      <c r="B109">
        <v>45505</v>
      </c>
      <c r="C109" t="s">
        <v>226</v>
      </c>
      <c r="D109" t="s">
        <v>207</v>
      </c>
      <c r="E109" t="s">
        <v>95</v>
      </c>
      <c r="F109" t="s">
        <v>208</v>
      </c>
      <c r="G109" t="s">
        <v>97</v>
      </c>
      <c r="H109">
        <v>21026</v>
      </c>
      <c r="I109" t="s">
        <v>114</v>
      </c>
      <c r="J109">
        <v>4</v>
      </c>
      <c r="K109" t="s">
        <v>111</v>
      </c>
      <c r="L109">
        <v>2.6666666669999999</v>
      </c>
      <c r="M109" t="s">
        <v>100</v>
      </c>
      <c r="N109">
        <v>86.428569999999993</v>
      </c>
      <c r="O109">
        <v>5.8505173309999998</v>
      </c>
      <c r="P109">
        <v>15.601379550000001</v>
      </c>
      <c r="Q109">
        <v>0</v>
      </c>
      <c r="R109">
        <v>1348.404925</v>
      </c>
      <c r="S109">
        <v>1348.404925</v>
      </c>
      <c r="T109">
        <v>0.62569444399999996</v>
      </c>
      <c r="U109">
        <v>0.62916666700000001</v>
      </c>
      <c r="V109">
        <v>0</v>
      </c>
      <c r="W109">
        <v>1</v>
      </c>
      <c r="X109">
        <v>50</v>
      </c>
      <c r="Y109">
        <v>84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</row>
    <row r="110" spans="1:94" x14ac:dyDescent="0.35">
      <c r="A110">
        <v>109</v>
      </c>
      <c r="B110">
        <v>45505</v>
      </c>
      <c r="C110" t="s">
        <v>226</v>
      </c>
      <c r="D110" t="s">
        <v>234</v>
      </c>
      <c r="E110" t="s">
        <v>95</v>
      </c>
      <c r="F110" t="s">
        <v>235</v>
      </c>
      <c r="G110" t="s">
        <v>97</v>
      </c>
      <c r="H110">
        <v>1004</v>
      </c>
      <c r="I110" t="s">
        <v>114</v>
      </c>
      <c r="J110">
        <v>4</v>
      </c>
      <c r="K110" t="s">
        <v>111</v>
      </c>
      <c r="L110">
        <v>4.6666666670000003</v>
      </c>
      <c r="M110" t="s">
        <v>100</v>
      </c>
      <c r="N110">
        <v>174.4</v>
      </c>
      <c r="O110">
        <v>44.668942919999999</v>
      </c>
      <c r="P110">
        <v>208.45506700000001</v>
      </c>
      <c r="Q110">
        <v>0</v>
      </c>
      <c r="R110">
        <v>36354.563679999999</v>
      </c>
      <c r="S110">
        <v>36354.563679999999</v>
      </c>
      <c r="T110">
        <v>0.51041666699999999</v>
      </c>
      <c r="U110">
        <v>0.51180555599999999</v>
      </c>
      <c r="V110">
        <v>0</v>
      </c>
      <c r="W110">
        <v>2</v>
      </c>
      <c r="X110">
        <v>35</v>
      </c>
      <c r="Y110">
        <v>81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 t="s">
        <v>236</v>
      </c>
    </row>
    <row r="111" spans="1:94" x14ac:dyDescent="0.35">
      <c r="A111">
        <v>110</v>
      </c>
      <c r="B111">
        <v>45505</v>
      </c>
      <c r="C111" t="s">
        <v>226</v>
      </c>
      <c r="D111" t="s">
        <v>185</v>
      </c>
      <c r="E111" t="s">
        <v>95</v>
      </c>
      <c r="F111" t="s">
        <v>186</v>
      </c>
      <c r="G111" t="s">
        <v>97</v>
      </c>
      <c r="H111">
        <v>12022</v>
      </c>
      <c r="I111" t="s">
        <v>105</v>
      </c>
      <c r="J111">
        <v>4</v>
      </c>
      <c r="K111" t="s">
        <v>111</v>
      </c>
      <c r="L111">
        <v>17</v>
      </c>
      <c r="M111" t="s">
        <v>100</v>
      </c>
      <c r="N111">
        <v>361</v>
      </c>
      <c r="O111">
        <v>8.3053000000000008</v>
      </c>
      <c r="P111">
        <v>141.1901</v>
      </c>
      <c r="Q111">
        <v>0</v>
      </c>
      <c r="R111">
        <v>50969.626100000001</v>
      </c>
      <c r="S111">
        <v>50969.626100000001</v>
      </c>
      <c r="T111">
        <v>0.39097222199999998</v>
      </c>
      <c r="U111">
        <v>0.39444444400000001</v>
      </c>
      <c r="V111">
        <v>0</v>
      </c>
      <c r="W111">
        <v>2</v>
      </c>
      <c r="X111">
        <v>100</v>
      </c>
      <c r="Y111">
        <v>76</v>
      </c>
      <c r="Z111">
        <v>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</row>
    <row r="112" spans="1:94" x14ac:dyDescent="0.35">
      <c r="A112">
        <v>111</v>
      </c>
      <c r="B112">
        <v>45505</v>
      </c>
      <c r="C112" t="s">
        <v>226</v>
      </c>
      <c r="D112" t="s">
        <v>237</v>
      </c>
      <c r="E112" t="s">
        <v>232</v>
      </c>
      <c r="F112" t="s">
        <v>238</v>
      </c>
      <c r="G112" t="s">
        <v>97</v>
      </c>
      <c r="H112">
        <v>10040</v>
      </c>
      <c r="I112" t="s">
        <v>110</v>
      </c>
      <c r="J112">
        <v>4</v>
      </c>
      <c r="K112" t="s">
        <v>111</v>
      </c>
      <c r="M112">
        <v>1</v>
      </c>
      <c r="N112" t="s">
        <v>100</v>
      </c>
      <c r="O112" t="e">
        <v>#VALUE!</v>
      </c>
      <c r="P112" t="e">
        <v>#VALUE!</v>
      </c>
      <c r="Q112" t="e">
        <v>#VALUE!</v>
      </c>
      <c r="R112" t="e">
        <v>#VALUE!</v>
      </c>
      <c r="S112" t="s">
        <v>100</v>
      </c>
      <c r="T112">
        <v>0.50277777800000001</v>
      </c>
      <c r="U112">
        <v>0.50624999999999998</v>
      </c>
      <c r="V112">
        <v>0</v>
      </c>
      <c r="W112">
        <v>2</v>
      </c>
      <c r="X112">
        <v>35</v>
      </c>
      <c r="Y112">
        <v>81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 t="s">
        <v>239</v>
      </c>
    </row>
    <row r="113" spans="1:94" x14ac:dyDescent="0.35">
      <c r="A113">
        <v>112</v>
      </c>
      <c r="B113">
        <v>45505</v>
      </c>
      <c r="C113" t="s">
        <v>226</v>
      </c>
      <c r="D113" t="s">
        <v>115</v>
      </c>
      <c r="E113" t="s">
        <v>95</v>
      </c>
      <c r="F113" t="s">
        <v>116</v>
      </c>
      <c r="G113" t="s">
        <v>97</v>
      </c>
      <c r="H113">
        <v>5079</v>
      </c>
      <c r="I113" t="s">
        <v>98</v>
      </c>
      <c r="J113">
        <v>4</v>
      </c>
      <c r="K113" t="s">
        <v>99</v>
      </c>
      <c r="L113">
        <v>20.333333329999999</v>
      </c>
      <c r="M113" t="s">
        <v>100</v>
      </c>
      <c r="N113">
        <v>98.6</v>
      </c>
      <c r="O113">
        <v>14.13</v>
      </c>
      <c r="P113">
        <v>287.31</v>
      </c>
      <c r="Q113">
        <v>0</v>
      </c>
      <c r="R113">
        <v>28328.766</v>
      </c>
      <c r="S113">
        <v>28328.766</v>
      </c>
      <c r="T113">
        <v>0.4</v>
      </c>
      <c r="U113">
        <v>0.40347222199999999</v>
      </c>
      <c r="V113">
        <v>0</v>
      </c>
      <c r="W113">
        <v>2</v>
      </c>
      <c r="X113">
        <v>100</v>
      </c>
      <c r="Y113">
        <v>76</v>
      </c>
      <c r="Z113">
        <v>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1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</row>
    <row r="114" spans="1:94" x14ac:dyDescent="0.35">
      <c r="A114">
        <v>113</v>
      </c>
      <c r="B114">
        <v>45505</v>
      </c>
      <c r="C114" t="s">
        <v>226</v>
      </c>
      <c r="D114" t="s">
        <v>165</v>
      </c>
      <c r="E114" t="s">
        <v>95</v>
      </c>
      <c r="F114" t="s">
        <v>96</v>
      </c>
      <c r="G114" t="s">
        <v>97</v>
      </c>
      <c r="H114">
        <v>5026</v>
      </c>
      <c r="I114" t="s">
        <v>98</v>
      </c>
      <c r="J114">
        <v>4</v>
      </c>
      <c r="K114" t="s">
        <v>99</v>
      </c>
      <c r="L114">
        <v>0</v>
      </c>
      <c r="M114" t="s">
        <v>100</v>
      </c>
      <c r="N114">
        <v>5.5</v>
      </c>
      <c r="O114">
        <v>0.90683199999999997</v>
      </c>
      <c r="P114">
        <v>0</v>
      </c>
      <c r="Q114">
        <v>0</v>
      </c>
      <c r="R114">
        <v>0</v>
      </c>
      <c r="S114">
        <v>0</v>
      </c>
      <c r="T114">
        <v>0.49583333299999999</v>
      </c>
      <c r="U114">
        <v>0.49930555599999998</v>
      </c>
      <c r="V114">
        <v>0</v>
      </c>
      <c r="W114">
        <v>2</v>
      </c>
      <c r="X114">
        <v>35</v>
      </c>
      <c r="Y114">
        <v>81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 t="s">
        <v>240</v>
      </c>
    </row>
    <row r="115" spans="1:94" x14ac:dyDescent="0.35">
      <c r="A115">
        <v>114</v>
      </c>
      <c r="B115">
        <v>45505</v>
      </c>
      <c r="C115" t="s">
        <v>226</v>
      </c>
      <c r="D115" t="s">
        <v>189</v>
      </c>
      <c r="E115" t="s">
        <v>95</v>
      </c>
      <c r="F115" t="s">
        <v>118</v>
      </c>
      <c r="G115" t="s">
        <v>97</v>
      </c>
      <c r="H115">
        <v>1128</v>
      </c>
      <c r="I115" t="s">
        <v>114</v>
      </c>
      <c r="J115">
        <v>4</v>
      </c>
      <c r="K115" t="s">
        <v>99</v>
      </c>
      <c r="L115">
        <v>21</v>
      </c>
      <c r="M115" t="s">
        <v>100</v>
      </c>
      <c r="N115">
        <v>154.80000000000001</v>
      </c>
      <c r="O115">
        <v>1.1077920000000001</v>
      </c>
      <c r="P115">
        <v>23.263632000000001</v>
      </c>
      <c r="Q115">
        <v>0</v>
      </c>
      <c r="R115">
        <v>3601.2102340000001</v>
      </c>
      <c r="S115">
        <v>3601.2102340000001</v>
      </c>
      <c r="T115">
        <v>0.48749999999999999</v>
      </c>
      <c r="U115">
        <v>0.49097222200000001</v>
      </c>
      <c r="V115">
        <v>0</v>
      </c>
      <c r="W115">
        <v>2</v>
      </c>
      <c r="X115">
        <v>35</v>
      </c>
      <c r="Y115">
        <v>81</v>
      </c>
      <c r="Z115">
        <v>11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</row>
    <row r="116" spans="1:94" x14ac:dyDescent="0.35">
      <c r="A116">
        <v>115</v>
      </c>
      <c r="B116">
        <v>45505</v>
      </c>
      <c r="C116" t="s">
        <v>226</v>
      </c>
      <c r="D116" t="s">
        <v>166</v>
      </c>
      <c r="E116" t="s">
        <v>95</v>
      </c>
      <c r="F116" t="s">
        <v>167</v>
      </c>
      <c r="G116" t="s">
        <v>97</v>
      </c>
      <c r="H116">
        <v>15055</v>
      </c>
      <c r="I116" t="s">
        <v>105</v>
      </c>
      <c r="J116">
        <v>4</v>
      </c>
      <c r="K116" t="s">
        <v>111</v>
      </c>
      <c r="M116" t="s">
        <v>100</v>
      </c>
      <c r="N116">
        <v>42.8</v>
      </c>
      <c r="O116">
        <v>11.8144796</v>
      </c>
      <c r="T116" t="s">
        <v>100</v>
      </c>
      <c r="U116" t="s">
        <v>100</v>
      </c>
      <c r="V116" t="s">
        <v>100</v>
      </c>
      <c r="W116" t="s">
        <v>100</v>
      </c>
      <c r="X116" t="s">
        <v>100</v>
      </c>
      <c r="Y116" t="s">
        <v>100</v>
      </c>
      <c r="Z116">
        <v>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</row>
    <row r="117" spans="1:94" x14ac:dyDescent="0.35">
      <c r="A117">
        <v>116</v>
      </c>
      <c r="B117">
        <v>45505</v>
      </c>
      <c r="C117" t="s">
        <v>226</v>
      </c>
      <c r="D117" t="s">
        <v>241</v>
      </c>
      <c r="E117" t="s">
        <v>95</v>
      </c>
      <c r="F117" t="s">
        <v>242</v>
      </c>
      <c r="G117" t="s">
        <v>97</v>
      </c>
      <c r="H117">
        <v>11044</v>
      </c>
      <c r="I117" t="s">
        <v>114</v>
      </c>
      <c r="J117">
        <v>4</v>
      </c>
      <c r="K117" t="s">
        <v>99</v>
      </c>
      <c r="L117">
        <v>18</v>
      </c>
      <c r="M117" t="s">
        <v>100</v>
      </c>
      <c r="N117">
        <v>174.2</v>
      </c>
      <c r="O117">
        <v>4.0191999999999997</v>
      </c>
      <c r="P117">
        <v>72.345600000000005</v>
      </c>
      <c r="Q117">
        <v>0</v>
      </c>
      <c r="R117">
        <v>12602.603520000001</v>
      </c>
      <c r="S117">
        <v>12602.603520000001</v>
      </c>
      <c r="T117">
        <v>0.40972222200000002</v>
      </c>
      <c r="U117">
        <v>0.41319444399999999</v>
      </c>
      <c r="V117">
        <v>0</v>
      </c>
      <c r="W117">
        <v>2</v>
      </c>
      <c r="X117">
        <v>100</v>
      </c>
      <c r="Y117">
        <v>76</v>
      </c>
      <c r="Z117">
        <v>10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</row>
    <row r="118" spans="1:94" x14ac:dyDescent="0.35">
      <c r="A118">
        <v>117</v>
      </c>
      <c r="B118">
        <v>45505</v>
      </c>
      <c r="C118" t="s">
        <v>226</v>
      </c>
      <c r="D118" t="s">
        <v>243</v>
      </c>
      <c r="E118" t="s">
        <v>95</v>
      </c>
      <c r="F118" t="s">
        <v>116</v>
      </c>
      <c r="G118" t="s">
        <v>97</v>
      </c>
      <c r="H118">
        <v>5079</v>
      </c>
      <c r="I118" t="s">
        <v>98</v>
      </c>
      <c r="J118">
        <v>4</v>
      </c>
      <c r="K118" t="s">
        <v>99</v>
      </c>
      <c r="L118">
        <v>7.3333333329999997</v>
      </c>
      <c r="M118" t="s">
        <v>100</v>
      </c>
      <c r="N118">
        <v>138.69999999999999</v>
      </c>
      <c r="O118">
        <v>2.2608000000000001</v>
      </c>
      <c r="P118">
        <v>16.5792</v>
      </c>
      <c r="Q118">
        <v>0</v>
      </c>
      <c r="R118">
        <v>2299.5350400000002</v>
      </c>
      <c r="S118">
        <v>2299.5350400000002</v>
      </c>
      <c r="T118">
        <v>0.47916666699999999</v>
      </c>
      <c r="U118">
        <v>0.48263888900000002</v>
      </c>
      <c r="V118">
        <v>0</v>
      </c>
      <c r="W118">
        <v>2</v>
      </c>
      <c r="X118">
        <v>100</v>
      </c>
      <c r="Y118">
        <v>81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 t="s">
        <v>244</v>
      </c>
    </row>
    <row r="119" spans="1:94" x14ac:dyDescent="0.35">
      <c r="A119">
        <v>118</v>
      </c>
      <c r="B119">
        <v>45505</v>
      </c>
      <c r="C119" t="s">
        <v>226</v>
      </c>
      <c r="D119" t="s">
        <v>119</v>
      </c>
      <c r="E119" t="s">
        <v>95</v>
      </c>
      <c r="F119" t="s">
        <v>120</v>
      </c>
      <c r="G119" t="s">
        <v>97</v>
      </c>
      <c r="H119">
        <v>12021</v>
      </c>
      <c r="I119" t="s">
        <v>98</v>
      </c>
      <c r="J119">
        <v>4</v>
      </c>
      <c r="K119" t="s">
        <v>99</v>
      </c>
      <c r="L119">
        <v>12.33333333</v>
      </c>
      <c r="M119" t="s">
        <v>100</v>
      </c>
      <c r="N119">
        <v>97.8</v>
      </c>
      <c r="O119">
        <v>6.28</v>
      </c>
      <c r="P119">
        <v>77.453333330000007</v>
      </c>
      <c r="Q119">
        <v>0</v>
      </c>
      <c r="R119">
        <v>7574.9359999999997</v>
      </c>
      <c r="S119">
        <v>7574.9359999999997</v>
      </c>
      <c r="T119">
        <v>0.41944444400000003</v>
      </c>
      <c r="U119">
        <v>0.42291666700000002</v>
      </c>
      <c r="V119">
        <v>0</v>
      </c>
      <c r="W119">
        <v>2</v>
      </c>
      <c r="X119">
        <v>100</v>
      </c>
      <c r="Y119">
        <v>76</v>
      </c>
      <c r="Z119">
        <v>7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</row>
    <row r="120" spans="1:94" x14ac:dyDescent="0.35">
      <c r="A120">
        <v>119</v>
      </c>
      <c r="B120">
        <v>45505</v>
      </c>
      <c r="C120" t="s">
        <v>226</v>
      </c>
      <c r="D120" t="s">
        <v>215</v>
      </c>
      <c r="E120" t="s">
        <v>95</v>
      </c>
      <c r="F120" t="s">
        <v>216</v>
      </c>
      <c r="G120" t="s">
        <v>97</v>
      </c>
      <c r="H120">
        <v>1006</v>
      </c>
      <c r="I120" t="s">
        <v>105</v>
      </c>
      <c r="J120">
        <v>4</v>
      </c>
      <c r="K120" t="s">
        <v>111</v>
      </c>
      <c r="L120">
        <v>6.6666666670000003</v>
      </c>
      <c r="M120" t="s">
        <v>100</v>
      </c>
      <c r="N120">
        <v>41.2</v>
      </c>
      <c r="O120">
        <v>1.6981120000000001</v>
      </c>
      <c r="P120">
        <v>11.32074667</v>
      </c>
      <c r="Q120">
        <v>0</v>
      </c>
      <c r="R120">
        <v>466.41476269999998</v>
      </c>
      <c r="S120">
        <v>466.41476269999998</v>
      </c>
      <c r="T120">
        <v>0.63333333300000005</v>
      </c>
      <c r="U120">
        <v>0.63680555599999999</v>
      </c>
      <c r="V120">
        <v>0</v>
      </c>
      <c r="W120">
        <v>2</v>
      </c>
      <c r="X120">
        <v>70</v>
      </c>
      <c r="Y120">
        <v>81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</row>
    <row r="121" spans="1:94" x14ac:dyDescent="0.35">
      <c r="A121">
        <v>120</v>
      </c>
      <c r="B121">
        <v>45517</v>
      </c>
      <c r="C121" t="s">
        <v>226</v>
      </c>
      <c r="D121" t="s">
        <v>158</v>
      </c>
      <c r="E121" t="s">
        <v>245</v>
      </c>
      <c r="F121" t="s">
        <v>159</v>
      </c>
      <c r="G121" t="s">
        <v>97</v>
      </c>
      <c r="H121" t="s">
        <v>160</v>
      </c>
      <c r="I121" t="s">
        <v>114</v>
      </c>
      <c r="J121">
        <v>4</v>
      </c>
      <c r="K121" t="s">
        <v>111</v>
      </c>
      <c r="L121">
        <v>6</v>
      </c>
      <c r="M121" t="s">
        <v>100</v>
      </c>
      <c r="N121">
        <v>55.8</v>
      </c>
      <c r="O121">
        <v>2.3337243650000001</v>
      </c>
      <c r="P121">
        <v>14.002346190000001</v>
      </c>
      <c r="Q121">
        <v>0</v>
      </c>
      <c r="R121">
        <v>781.33091730000001</v>
      </c>
      <c r="S121">
        <v>781.33091730000001</v>
      </c>
      <c r="T121">
        <v>0.56805555600000002</v>
      </c>
      <c r="U121">
        <v>0.57152777799999999</v>
      </c>
      <c r="V121">
        <v>0</v>
      </c>
      <c r="W121">
        <v>2</v>
      </c>
      <c r="X121">
        <v>15</v>
      </c>
      <c r="Y121">
        <v>83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</row>
    <row r="122" spans="1:94" x14ac:dyDescent="0.35">
      <c r="A122">
        <v>121</v>
      </c>
      <c r="B122">
        <v>45517</v>
      </c>
      <c r="C122" t="s">
        <v>226</v>
      </c>
      <c r="D122" t="s">
        <v>246</v>
      </c>
      <c r="E122" t="s">
        <v>245</v>
      </c>
      <c r="F122" t="s">
        <v>247</v>
      </c>
      <c r="G122" t="s">
        <v>97</v>
      </c>
      <c r="H122" t="s">
        <v>248</v>
      </c>
      <c r="I122" t="s">
        <v>98</v>
      </c>
      <c r="J122">
        <v>4</v>
      </c>
      <c r="K122" t="s">
        <v>99</v>
      </c>
      <c r="L122">
        <v>1.6666666670000001</v>
      </c>
      <c r="M122" t="s">
        <v>100</v>
      </c>
      <c r="N122">
        <v>243</v>
      </c>
      <c r="O122">
        <v>3.1764581629999999</v>
      </c>
      <c r="P122">
        <v>5.2940969390000001</v>
      </c>
      <c r="Q122">
        <v>0</v>
      </c>
      <c r="R122">
        <v>1286.4655560000001</v>
      </c>
      <c r="S122">
        <v>1286.4655560000001</v>
      </c>
      <c r="T122">
        <v>0.56180555600000004</v>
      </c>
      <c r="U122">
        <v>0.56527777800000001</v>
      </c>
      <c r="V122">
        <v>0</v>
      </c>
      <c r="W122">
        <v>1</v>
      </c>
      <c r="X122">
        <v>15</v>
      </c>
      <c r="Y122">
        <v>83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</row>
    <row r="123" spans="1:94" x14ac:dyDescent="0.35">
      <c r="A123">
        <v>122</v>
      </c>
      <c r="B123">
        <v>45517</v>
      </c>
      <c r="C123" t="s">
        <v>226</v>
      </c>
      <c r="D123" t="s">
        <v>249</v>
      </c>
      <c r="E123" t="s">
        <v>245</v>
      </c>
      <c r="F123" t="s">
        <v>238</v>
      </c>
      <c r="G123" t="s">
        <v>97</v>
      </c>
      <c r="H123">
        <v>10040</v>
      </c>
      <c r="I123" t="s">
        <v>110</v>
      </c>
      <c r="J123">
        <v>4</v>
      </c>
      <c r="K123" t="s">
        <v>111</v>
      </c>
      <c r="M123">
        <v>12</v>
      </c>
      <c r="N123">
        <v>29.33333</v>
      </c>
      <c r="O123">
        <v>0.58343109100000001</v>
      </c>
      <c r="P123">
        <v>0</v>
      </c>
      <c r="Q123">
        <v>351.99995999999999</v>
      </c>
      <c r="R123">
        <v>0</v>
      </c>
      <c r="S123">
        <v>351.99995999999999</v>
      </c>
      <c r="T123">
        <v>0.57430555599999999</v>
      </c>
      <c r="U123">
        <v>0.57777777799999996</v>
      </c>
      <c r="V123">
        <v>0</v>
      </c>
      <c r="W123">
        <v>1</v>
      </c>
      <c r="X123">
        <v>15</v>
      </c>
      <c r="Y123">
        <v>83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</row>
    <row r="124" spans="1:94" x14ac:dyDescent="0.35">
      <c r="A124">
        <v>123</v>
      </c>
      <c r="B124">
        <v>45517</v>
      </c>
      <c r="C124" t="s">
        <v>226</v>
      </c>
      <c r="D124" t="s">
        <v>212</v>
      </c>
      <c r="E124" t="s">
        <v>95</v>
      </c>
      <c r="F124" t="s">
        <v>213</v>
      </c>
      <c r="G124" t="s">
        <v>97</v>
      </c>
      <c r="H124">
        <v>10063</v>
      </c>
      <c r="I124" t="s">
        <v>105</v>
      </c>
      <c r="J124">
        <v>5</v>
      </c>
      <c r="K124" t="s">
        <v>111</v>
      </c>
      <c r="L124">
        <v>12.66666667</v>
      </c>
      <c r="M124" t="s">
        <v>100</v>
      </c>
      <c r="N124">
        <v>349.6</v>
      </c>
      <c r="O124">
        <v>18.187653950000001</v>
      </c>
      <c r="P124">
        <v>230.37694999999999</v>
      </c>
      <c r="Q124">
        <v>0</v>
      </c>
      <c r="R124">
        <v>80539.781719999999</v>
      </c>
      <c r="S124">
        <v>80539.781719999999</v>
      </c>
      <c r="T124">
        <v>0.58194444400000001</v>
      </c>
      <c r="U124">
        <v>0.58541666699999995</v>
      </c>
      <c r="V124">
        <v>0</v>
      </c>
      <c r="W124">
        <v>1</v>
      </c>
      <c r="X124">
        <v>25</v>
      </c>
      <c r="Y124">
        <v>82</v>
      </c>
      <c r="Z124">
        <v>7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</row>
    <row r="125" spans="1:94" x14ac:dyDescent="0.35">
      <c r="A125">
        <v>124</v>
      </c>
      <c r="B125">
        <v>45517</v>
      </c>
      <c r="C125" t="s">
        <v>226</v>
      </c>
      <c r="D125" t="s">
        <v>250</v>
      </c>
      <c r="E125" t="s">
        <v>95</v>
      </c>
      <c r="F125" t="s">
        <v>233</v>
      </c>
      <c r="G125" t="s">
        <v>97</v>
      </c>
      <c r="H125">
        <v>12020</v>
      </c>
      <c r="I125" t="s">
        <v>98</v>
      </c>
      <c r="J125">
        <v>4</v>
      </c>
      <c r="K125" t="s">
        <v>99</v>
      </c>
      <c r="L125">
        <v>1.6666666670000001</v>
      </c>
      <c r="M125" t="s">
        <v>100</v>
      </c>
      <c r="N125">
        <v>167.9</v>
      </c>
      <c r="O125">
        <v>16.08081945</v>
      </c>
      <c r="P125">
        <v>26.801365749999999</v>
      </c>
      <c r="Q125">
        <v>0</v>
      </c>
      <c r="R125">
        <v>4499.94931</v>
      </c>
      <c r="S125">
        <v>4499.94931</v>
      </c>
      <c r="T125">
        <v>0.592361111</v>
      </c>
      <c r="U125">
        <v>0.59583333299999997</v>
      </c>
      <c r="V125">
        <v>0</v>
      </c>
      <c r="W125">
        <v>1</v>
      </c>
      <c r="X125">
        <v>30</v>
      </c>
      <c r="Y125">
        <v>82</v>
      </c>
      <c r="Z125">
        <v>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</row>
    <row r="126" spans="1:94" x14ac:dyDescent="0.35">
      <c r="A126">
        <v>125</v>
      </c>
      <c r="B126">
        <v>45518</v>
      </c>
      <c r="C126" t="s">
        <v>226</v>
      </c>
      <c r="D126" t="s">
        <v>156</v>
      </c>
      <c r="E126" t="s">
        <v>245</v>
      </c>
      <c r="F126" t="s">
        <v>157</v>
      </c>
      <c r="G126" t="s">
        <v>97</v>
      </c>
      <c r="H126">
        <v>93021</v>
      </c>
      <c r="I126" t="s">
        <v>98</v>
      </c>
      <c r="J126" t="s">
        <v>100</v>
      </c>
      <c r="K126" t="s">
        <v>99</v>
      </c>
      <c r="L126">
        <v>13.33333333</v>
      </c>
      <c r="M126" t="s">
        <v>100</v>
      </c>
      <c r="N126">
        <v>404.7</v>
      </c>
      <c r="O126">
        <v>9.3348974590000005</v>
      </c>
      <c r="P126">
        <v>124.4652995</v>
      </c>
      <c r="Q126">
        <v>0</v>
      </c>
      <c r="R126">
        <v>50371.106690000001</v>
      </c>
      <c r="S126">
        <v>50371.106690000001</v>
      </c>
      <c r="T126">
        <v>0.42499999999999999</v>
      </c>
      <c r="U126">
        <v>0.42847222200000001</v>
      </c>
      <c r="V126">
        <v>0</v>
      </c>
      <c r="W126">
        <v>1</v>
      </c>
      <c r="X126">
        <v>20</v>
      </c>
      <c r="Y126">
        <v>76</v>
      </c>
      <c r="Z126">
        <v>10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 t="s">
        <v>251</v>
      </c>
    </row>
    <row r="127" spans="1:94" x14ac:dyDescent="0.35">
      <c r="A127">
        <v>126</v>
      </c>
      <c r="B127">
        <v>45518</v>
      </c>
      <c r="C127" t="s">
        <v>226</v>
      </c>
      <c r="D127" t="s">
        <v>252</v>
      </c>
      <c r="E127" t="s">
        <v>245</v>
      </c>
      <c r="F127" t="s">
        <v>235</v>
      </c>
      <c r="G127" t="s">
        <v>97</v>
      </c>
      <c r="H127">
        <v>1004</v>
      </c>
      <c r="I127" t="s">
        <v>105</v>
      </c>
      <c r="J127">
        <v>4</v>
      </c>
      <c r="K127" t="s">
        <v>111</v>
      </c>
      <c r="L127">
        <v>24</v>
      </c>
      <c r="M127" t="s">
        <v>100</v>
      </c>
      <c r="N127">
        <v>98.3</v>
      </c>
      <c r="O127">
        <v>21.003519279999999</v>
      </c>
      <c r="P127">
        <v>504.08446279999998</v>
      </c>
      <c r="Q127">
        <v>0</v>
      </c>
      <c r="R127">
        <v>49551.502690000001</v>
      </c>
      <c r="S127">
        <v>49551.502690000001</v>
      </c>
      <c r="T127">
        <v>0.43333333299999999</v>
      </c>
      <c r="U127">
        <v>0.43680555599999998</v>
      </c>
      <c r="V127">
        <v>0</v>
      </c>
      <c r="W127">
        <v>1</v>
      </c>
      <c r="X127">
        <v>25</v>
      </c>
      <c r="Y127">
        <v>76</v>
      </c>
      <c r="Z127">
        <v>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94" x14ac:dyDescent="0.35">
      <c r="A128">
        <v>127</v>
      </c>
      <c r="B128">
        <v>45518</v>
      </c>
      <c r="C128" t="s">
        <v>226</v>
      </c>
      <c r="D128" t="s">
        <v>253</v>
      </c>
      <c r="E128" t="s">
        <v>245</v>
      </c>
      <c r="F128" t="s">
        <v>242</v>
      </c>
      <c r="G128" t="s">
        <v>97</v>
      </c>
      <c r="H128">
        <v>11044</v>
      </c>
      <c r="I128" t="s">
        <v>114</v>
      </c>
      <c r="J128">
        <v>4</v>
      </c>
      <c r="K128" t="s">
        <v>99</v>
      </c>
      <c r="L128">
        <v>7</v>
      </c>
      <c r="M128" t="s">
        <v>100</v>
      </c>
      <c r="N128">
        <v>88.6</v>
      </c>
      <c r="O128">
        <v>4.4121976270000003</v>
      </c>
      <c r="P128">
        <v>30.885383390000001</v>
      </c>
      <c r="Q128">
        <v>0</v>
      </c>
      <c r="R128">
        <v>2736.4449679999998</v>
      </c>
      <c r="S128">
        <v>2736.4449679999998</v>
      </c>
      <c r="T128">
        <v>0.45833333300000001</v>
      </c>
      <c r="U128">
        <v>0.46180555600000001</v>
      </c>
      <c r="V128">
        <v>0</v>
      </c>
      <c r="W128">
        <v>2</v>
      </c>
      <c r="X128">
        <v>40</v>
      </c>
      <c r="Y128">
        <v>78</v>
      </c>
      <c r="Z128">
        <v>7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94" x14ac:dyDescent="0.35">
      <c r="A129">
        <v>128</v>
      </c>
      <c r="B129">
        <v>45518</v>
      </c>
      <c r="C129" t="s">
        <v>226</v>
      </c>
      <c r="D129" t="s">
        <v>254</v>
      </c>
      <c r="E129" t="s">
        <v>245</v>
      </c>
      <c r="F129" t="s">
        <v>255</v>
      </c>
      <c r="G129" t="s">
        <v>97</v>
      </c>
      <c r="H129">
        <v>95054</v>
      </c>
      <c r="I129" t="s">
        <v>98</v>
      </c>
      <c r="J129">
        <v>4</v>
      </c>
      <c r="K129" t="s">
        <v>99</v>
      </c>
      <c r="L129">
        <v>4.1666666670000003</v>
      </c>
      <c r="M129" t="s">
        <v>100</v>
      </c>
      <c r="N129">
        <v>109.8</v>
      </c>
      <c r="O129">
        <v>16.595373259999999</v>
      </c>
      <c r="P129">
        <v>69.147388590000006</v>
      </c>
      <c r="Q129">
        <v>0</v>
      </c>
      <c r="R129">
        <v>7592.3832670000002</v>
      </c>
      <c r="S129">
        <v>7592.3832670000002</v>
      </c>
      <c r="T129">
        <v>0.46805555599999998</v>
      </c>
      <c r="U129">
        <v>0.47152777800000001</v>
      </c>
      <c r="V129">
        <v>0</v>
      </c>
      <c r="W129">
        <v>2</v>
      </c>
      <c r="X129">
        <v>55</v>
      </c>
      <c r="Y129">
        <v>78</v>
      </c>
      <c r="Z129">
        <v>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 t="s">
        <v>256</v>
      </c>
    </row>
    <row r="130" spans="1:94" x14ac:dyDescent="0.35">
      <c r="A130">
        <v>129</v>
      </c>
      <c r="B130">
        <v>45518</v>
      </c>
      <c r="C130" t="s">
        <v>226</v>
      </c>
      <c r="D130" t="s">
        <v>257</v>
      </c>
      <c r="E130" t="s">
        <v>245</v>
      </c>
      <c r="F130" t="s">
        <v>180</v>
      </c>
      <c r="G130" t="s">
        <v>97</v>
      </c>
      <c r="H130">
        <v>1005</v>
      </c>
      <c r="I130" t="s">
        <v>105</v>
      </c>
      <c r="J130">
        <v>4</v>
      </c>
      <c r="K130" t="s">
        <v>111</v>
      </c>
      <c r="L130">
        <v>6</v>
      </c>
      <c r="M130" t="s">
        <v>100</v>
      </c>
      <c r="N130">
        <v>91.7</v>
      </c>
      <c r="O130">
        <v>8.2044997199999994</v>
      </c>
      <c r="P130">
        <v>49.22699832</v>
      </c>
      <c r="Q130">
        <v>0</v>
      </c>
      <c r="R130">
        <v>4514.1157460000004</v>
      </c>
      <c r="S130">
        <v>4514.1157460000004</v>
      </c>
      <c r="T130">
        <v>0.47638888899999998</v>
      </c>
      <c r="U130">
        <v>0.47986111100000001</v>
      </c>
      <c r="V130">
        <v>0</v>
      </c>
      <c r="W130">
        <v>1</v>
      </c>
      <c r="X130">
        <v>30</v>
      </c>
      <c r="Y130">
        <v>78</v>
      </c>
      <c r="Z130">
        <v>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94" x14ac:dyDescent="0.35">
      <c r="A131">
        <v>130</v>
      </c>
      <c r="B131">
        <v>45518</v>
      </c>
      <c r="C131" t="s">
        <v>226</v>
      </c>
      <c r="D131" t="s">
        <v>136</v>
      </c>
      <c r="E131" t="s">
        <v>245</v>
      </c>
      <c r="F131" t="s">
        <v>137</v>
      </c>
      <c r="G131" t="s">
        <v>97</v>
      </c>
      <c r="H131" t="s">
        <v>138</v>
      </c>
      <c r="I131" t="s">
        <v>114</v>
      </c>
      <c r="J131">
        <v>4</v>
      </c>
      <c r="K131" t="s">
        <v>111</v>
      </c>
      <c r="L131">
        <v>14.33333333</v>
      </c>
      <c r="M131" t="s">
        <v>100</v>
      </c>
      <c r="N131">
        <v>72.099999999999994</v>
      </c>
      <c r="O131">
        <v>6.162490901</v>
      </c>
      <c r="P131">
        <v>88.329036239999994</v>
      </c>
      <c r="Q131">
        <v>0</v>
      </c>
      <c r="R131">
        <v>6368.5235130000001</v>
      </c>
      <c r="S131">
        <v>6368.5235130000001</v>
      </c>
      <c r="T131">
        <v>0.48541666700000002</v>
      </c>
      <c r="U131">
        <v>0.48888888899999999</v>
      </c>
      <c r="V131">
        <v>0</v>
      </c>
      <c r="W131">
        <v>2</v>
      </c>
      <c r="X131">
        <v>30</v>
      </c>
      <c r="Y131">
        <v>78</v>
      </c>
      <c r="Z131">
        <v>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94" x14ac:dyDescent="0.35">
      <c r="A132">
        <v>131</v>
      </c>
      <c r="B132">
        <v>45518</v>
      </c>
      <c r="C132" t="s">
        <v>226</v>
      </c>
      <c r="D132" t="s">
        <v>258</v>
      </c>
      <c r="E132" t="s">
        <v>245</v>
      </c>
      <c r="F132" t="s">
        <v>182</v>
      </c>
      <c r="G132" t="s">
        <v>97</v>
      </c>
      <c r="H132" t="s">
        <v>259</v>
      </c>
      <c r="I132" t="s">
        <v>110</v>
      </c>
      <c r="J132">
        <v>5</v>
      </c>
      <c r="K132" t="s">
        <v>111</v>
      </c>
      <c r="L132">
        <v>13.66666667</v>
      </c>
      <c r="M132" t="s">
        <v>100</v>
      </c>
      <c r="N132">
        <v>76.900000000000006</v>
      </c>
      <c r="O132">
        <v>2.5322529999999999</v>
      </c>
      <c r="P132">
        <v>34.607457670000002</v>
      </c>
      <c r="Q132">
        <v>0</v>
      </c>
      <c r="R132">
        <v>2661.3134949999999</v>
      </c>
      <c r="S132">
        <v>2661.3134949999999</v>
      </c>
      <c r="T132">
        <v>0.44861111100000001</v>
      </c>
      <c r="U132">
        <v>0.45208333299999998</v>
      </c>
      <c r="V132">
        <v>0</v>
      </c>
      <c r="W132">
        <v>1</v>
      </c>
      <c r="X132">
        <v>40</v>
      </c>
      <c r="Y132">
        <v>77</v>
      </c>
      <c r="Z132">
        <v>7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94" x14ac:dyDescent="0.35">
      <c r="A133">
        <v>132</v>
      </c>
      <c r="B133">
        <v>45518</v>
      </c>
      <c r="C133" t="s">
        <v>226</v>
      </c>
      <c r="D133" t="s">
        <v>147</v>
      </c>
      <c r="E133" t="s">
        <v>245</v>
      </c>
      <c r="F133" t="s">
        <v>148</v>
      </c>
      <c r="G133" t="s">
        <v>103</v>
      </c>
      <c r="H133">
        <v>18022</v>
      </c>
      <c r="I133" t="s">
        <v>98</v>
      </c>
      <c r="J133">
        <v>3</v>
      </c>
      <c r="K133" t="s">
        <v>123</v>
      </c>
      <c r="L133">
        <v>5</v>
      </c>
      <c r="M133" t="s">
        <v>100</v>
      </c>
      <c r="N133">
        <v>563.42857140000001</v>
      </c>
      <c r="O133">
        <v>9.3348974590000005</v>
      </c>
      <c r="P133">
        <v>46.674487300000003</v>
      </c>
      <c r="Q133">
        <v>0</v>
      </c>
      <c r="R133">
        <v>26297.739699999998</v>
      </c>
      <c r="S133">
        <v>26297.739699999998</v>
      </c>
      <c r="T133">
        <v>0.53402777800000001</v>
      </c>
      <c r="U133">
        <v>0.53749999999999998</v>
      </c>
      <c r="V133">
        <v>0</v>
      </c>
      <c r="W133">
        <v>1</v>
      </c>
      <c r="X133">
        <v>50</v>
      </c>
      <c r="Y133">
        <v>80</v>
      </c>
      <c r="Z133">
        <v>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94" x14ac:dyDescent="0.35">
      <c r="A134">
        <v>133</v>
      </c>
      <c r="B134">
        <v>45518</v>
      </c>
      <c r="C134" t="s">
        <v>226</v>
      </c>
      <c r="D134" t="s">
        <v>260</v>
      </c>
      <c r="E134" t="s">
        <v>245</v>
      </c>
      <c r="F134" t="s">
        <v>261</v>
      </c>
      <c r="G134" t="s">
        <v>103</v>
      </c>
      <c r="H134">
        <v>16027</v>
      </c>
      <c r="I134" t="s">
        <v>105</v>
      </c>
      <c r="J134">
        <v>4</v>
      </c>
      <c r="K134" t="s">
        <v>106</v>
      </c>
      <c r="M134">
        <v>3</v>
      </c>
      <c r="N134">
        <v>684</v>
      </c>
      <c r="O134">
        <v>8.2044997199999994</v>
      </c>
      <c r="P134">
        <v>0</v>
      </c>
      <c r="Q134">
        <v>2052</v>
      </c>
      <c r="R134">
        <v>0</v>
      </c>
      <c r="S134">
        <v>2052</v>
      </c>
      <c r="T134">
        <v>0.561111111</v>
      </c>
      <c r="U134">
        <v>0.56458333299999997</v>
      </c>
      <c r="V134">
        <v>0</v>
      </c>
      <c r="W134">
        <v>23</v>
      </c>
      <c r="X134">
        <v>65</v>
      </c>
      <c r="Y134">
        <v>82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94" x14ac:dyDescent="0.35">
      <c r="A135">
        <v>134</v>
      </c>
      <c r="B135">
        <v>45518</v>
      </c>
      <c r="C135" t="s">
        <v>226</v>
      </c>
      <c r="D135" t="s">
        <v>262</v>
      </c>
      <c r="E135" t="s">
        <v>245</v>
      </c>
      <c r="F135" t="s">
        <v>263</v>
      </c>
      <c r="G135" t="s">
        <v>97</v>
      </c>
      <c r="H135">
        <v>97033</v>
      </c>
      <c r="I135" t="s">
        <v>98</v>
      </c>
      <c r="J135">
        <v>4</v>
      </c>
      <c r="K135" t="s">
        <v>99</v>
      </c>
      <c r="L135">
        <v>16</v>
      </c>
      <c r="M135" t="s">
        <v>100</v>
      </c>
      <c r="N135">
        <v>160.69999999999999</v>
      </c>
      <c r="O135">
        <v>14.58577728</v>
      </c>
      <c r="P135">
        <v>233.37243649999999</v>
      </c>
      <c r="Q135">
        <v>0</v>
      </c>
      <c r="R135">
        <v>37502.950539999998</v>
      </c>
      <c r="S135">
        <v>37502.950539999998</v>
      </c>
      <c r="T135">
        <v>0.36388888899999999</v>
      </c>
      <c r="U135">
        <v>0.36736111100000002</v>
      </c>
      <c r="V135">
        <v>0</v>
      </c>
      <c r="W135">
        <v>0</v>
      </c>
      <c r="X135">
        <v>5</v>
      </c>
      <c r="Y135">
        <v>68</v>
      </c>
      <c r="Z135">
        <v>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94" x14ac:dyDescent="0.35">
      <c r="A136">
        <v>135</v>
      </c>
      <c r="B136">
        <v>45518</v>
      </c>
      <c r="C136" t="s">
        <v>226</v>
      </c>
      <c r="D136" t="s">
        <v>264</v>
      </c>
      <c r="E136" t="s">
        <v>245</v>
      </c>
      <c r="F136" t="s">
        <v>265</v>
      </c>
      <c r="G136" t="s">
        <v>97</v>
      </c>
      <c r="H136">
        <v>1072</v>
      </c>
      <c r="I136" t="s">
        <v>110</v>
      </c>
      <c r="J136">
        <v>4</v>
      </c>
      <c r="K136" t="s">
        <v>111</v>
      </c>
      <c r="L136">
        <v>12</v>
      </c>
      <c r="M136" t="s">
        <v>100</v>
      </c>
      <c r="N136">
        <v>104.4</v>
      </c>
      <c r="O136">
        <v>14.58577728</v>
      </c>
      <c r="P136">
        <v>175.0293274</v>
      </c>
      <c r="Q136">
        <v>0</v>
      </c>
      <c r="R136">
        <v>18273.06178</v>
      </c>
      <c r="S136">
        <v>18273.06178</v>
      </c>
      <c r="T136">
        <v>0.37430555599999998</v>
      </c>
      <c r="U136">
        <v>0.37777777800000001</v>
      </c>
      <c r="V136">
        <v>0</v>
      </c>
      <c r="W136">
        <v>1</v>
      </c>
      <c r="X136">
        <v>5</v>
      </c>
      <c r="Y136">
        <v>72</v>
      </c>
      <c r="Z136">
        <v>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94" x14ac:dyDescent="0.35">
      <c r="A137">
        <v>136</v>
      </c>
      <c r="B137">
        <v>45506</v>
      </c>
      <c r="C137" t="s">
        <v>226</v>
      </c>
      <c r="D137" t="s">
        <v>134</v>
      </c>
      <c r="E137" t="s">
        <v>95</v>
      </c>
      <c r="F137" t="s">
        <v>116</v>
      </c>
      <c r="G137" t="s">
        <v>97</v>
      </c>
      <c r="H137">
        <v>14001</v>
      </c>
      <c r="I137" t="s">
        <v>98</v>
      </c>
      <c r="J137">
        <v>4</v>
      </c>
      <c r="K137" t="s">
        <v>99</v>
      </c>
      <c r="L137">
        <v>6.3333333329999997</v>
      </c>
      <c r="M137" t="s">
        <v>100</v>
      </c>
      <c r="N137">
        <v>25.9</v>
      </c>
      <c r="O137">
        <v>8.2044997199999994</v>
      </c>
      <c r="P137">
        <v>51.96183156</v>
      </c>
      <c r="Q137">
        <v>0</v>
      </c>
      <c r="R137">
        <v>1345.8114370000001</v>
      </c>
      <c r="S137">
        <v>1345.8114370000001</v>
      </c>
      <c r="T137">
        <v>0.45277777800000002</v>
      </c>
      <c r="U137">
        <v>0.45624999999999999</v>
      </c>
      <c r="V137">
        <v>0</v>
      </c>
      <c r="W137">
        <v>2</v>
      </c>
      <c r="X137">
        <v>40</v>
      </c>
      <c r="Y137">
        <v>79</v>
      </c>
      <c r="Z137">
        <v>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94" x14ac:dyDescent="0.35">
      <c r="A138">
        <v>137</v>
      </c>
      <c r="B138">
        <v>45506</v>
      </c>
      <c r="C138" t="s">
        <v>226</v>
      </c>
      <c r="D138" t="s">
        <v>158</v>
      </c>
      <c r="E138" t="s">
        <v>95</v>
      </c>
      <c r="F138" t="s">
        <v>159</v>
      </c>
      <c r="G138" t="s">
        <v>97</v>
      </c>
      <c r="H138" t="s">
        <v>160</v>
      </c>
      <c r="I138" t="s">
        <v>114</v>
      </c>
      <c r="J138">
        <v>4</v>
      </c>
      <c r="K138" t="s">
        <v>111</v>
      </c>
      <c r="L138">
        <v>15</v>
      </c>
      <c r="M138" t="s">
        <v>100</v>
      </c>
      <c r="N138">
        <v>55.8</v>
      </c>
      <c r="O138">
        <v>2.3337243650000001</v>
      </c>
      <c r="P138">
        <v>35.005865470000003</v>
      </c>
      <c r="Q138">
        <v>0</v>
      </c>
      <c r="R138">
        <v>1953.3272930000001</v>
      </c>
      <c r="S138">
        <v>1953.3272930000001</v>
      </c>
      <c r="T138">
        <v>0.46319444399999998</v>
      </c>
      <c r="U138">
        <v>0.46666666699999998</v>
      </c>
      <c r="V138">
        <v>0</v>
      </c>
      <c r="W138">
        <v>2</v>
      </c>
      <c r="X138">
        <v>35</v>
      </c>
      <c r="Y138">
        <v>79</v>
      </c>
      <c r="Z138">
        <v>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</row>
    <row r="139" spans="1:94" x14ac:dyDescent="0.35">
      <c r="A139">
        <v>138</v>
      </c>
      <c r="B139">
        <v>45506</v>
      </c>
      <c r="C139" t="s">
        <v>226</v>
      </c>
      <c r="D139" t="s">
        <v>199</v>
      </c>
      <c r="E139" t="s">
        <v>95</v>
      </c>
      <c r="F139" t="s">
        <v>200</v>
      </c>
      <c r="G139" t="s">
        <v>97</v>
      </c>
      <c r="H139">
        <v>21039</v>
      </c>
      <c r="I139" t="s">
        <v>114</v>
      </c>
      <c r="J139">
        <v>4</v>
      </c>
      <c r="K139" t="s">
        <v>111</v>
      </c>
      <c r="M139" t="s">
        <v>100</v>
      </c>
      <c r="N139">
        <v>17.7</v>
      </c>
      <c r="O139">
        <v>1.9609767229999999</v>
      </c>
      <c r="T139" t="s">
        <v>100</v>
      </c>
      <c r="U139" t="s">
        <v>100</v>
      </c>
      <c r="V139" t="s">
        <v>100</v>
      </c>
      <c r="W139" t="s">
        <v>100</v>
      </c>
      <c r="X139" t="s">
        <v>100</v>
      </c>
      <c r="Y139" t="s">
        <v>100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</row>
    <row r="140" spans="1:94" x14ac:dyDescent="0.35">
      <c r="A140">
        <v>139</v>
      </c>
      <c r="B140">
        <v>45506</v>
      </c>
      <c r="C140" t="s">
        <v>226</v>
      </c>
      <c r="D140" t="s">
        <v>212</v>
      </c>
      <c r="E140" t="s">
        <v>95</v>
      </c>
      <c r="F140" t="s">
        <v>213</v>
      </c>
      <c r="G140" t="s">
        <v>97</v>
      </c>
      <c r="H140">
        <v>10063</v>
      </c>
      <c r="I140" t="s">
        <v>105</v>
      </c>
      <c r="J140">
        <v>5</v>
      </c>
      <c r="K140" t="s">
        <v>111</v>
      </c>
      <c r="L140">
        <v>12</v>
      </c>
      <c r="M140" t="s">
        <v>100</v>
      </c>
      <c r="N140">
        <v>349.6</v>
      </c>
      <c r="O140">
        <v>18.187653950000001</v>
      </c>
      <c r="P140">
        <v>218.2518474</v>
      </c>
      <c r="Q140">
        <v>0</v>
      </c>
      <c r="R140">
        <v>76300.845839999994</v>
      </c>
      <c r="S140">
        <v>76300.845839999994</v>
      </c>
      <c r="T140">
        <v>0.47222222200000002</v>
      </c>
      <c r="U140">
        <v>0.47569444399999999</v>
      </c>
      <c r="V140">
        <v>0</v>
      </c>
      <c r="W140">
        <v>2</v>
      </c>
      <c r="X140">
        <v>35</v>
      </c>
      <c r="Y140">
        <v>79</v>
      </c>
      <c r="Z140">
        <v>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</row>
    <row r="141" spans="1:94" x14ac:dyDescent="0.35">
      <c r="A141">
        <v>140</v>
      </c>
      <c r="B141">
        <v>45506</v>
      </c>
      <c r="C141" t="s">
        <v>226</v>
      </c>
      <c r="D141" t="s">
        <v>266</v>
      </c>
      <c r="E141" t="s">
        <v>95</v>
      </c>
      <c r="F141" t="s">
        <v>267</v>
      </c>
      <c r="G141" t="s">
        <v>97</v>
      </c>
      <c r="H141">
        <v>96102</v>
      </c>
      <c r="I141" t="s">
        <v>98</v>
      </c>
      <c r="J141">
        <v>4</v>
      </c>
      <c r="K141" t="s">
        <v>99</v>
      </c>
      <c r="L141">
        <v>9</v>
      </c>
      <c r="M141" t="s">
        <v>100</v>
      </c>
      <c r="N141">
        <v>492.1</v>
      </c>
      <c r="O141">
        <v>6.8107476690000004</v>
      </c>
      <c r="P141">
        <v>61.296729020000001</v>
      </c>
      <c r="Q141">
        <v>0</v>
      </c>
      <c r="R141">
        <v>30164.120350000001</v>
      </c>
      <c r="S141">
        <v>30164.120350000001</v>
      </c>
      <c r="T141">
        <v>0.48055555599999999</v>
      </c>
      <c r="U141">
        <v>0.48402777800000002</v>
      </c>
      <c r="V141">
        <v>0</v>
      </c>
      <c r="W141">
        <v>2</v>
      </c>
      <c r="X141">
        <v>35</v>
      </c>
      <c r="Y141">
        <v>79</v>
      </c>
      <c r="Z141">
        <v>7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</row>
    <row r="142" spans="1:94" x14ac:dyDescent="0.35">
      <c r="A142">
        <v>141</v>
      </c>
      <c r="B142">
        <v>45506</v>
      </c>
      <c r="C142" t="s">
        <v>226</v>
      </c>
      <c r="D142" t="s">
        <v>260</v>
      </c>
      <c r="E142" t="s">
        <v>95</v>
      </c>
      <c r="F142" t="s">
        <v>261</v>
      </c>
      <c r="G142" t="s">
        <v>103</v>
      </c>
      <c r="H142">
        <v>16027</v>
      </c>
      <c r="I142" t="s">
        <v>105</v>
      </c>
      <c r="J142">
        <v>4</v>
      </c>
      <c r="K142" t="s">
        <v>106</v>
      </c>
      <c r="M142">
        <v>2</v>
      </c>
      <c r="N142">
        <v>684</v>
      </c>
      <c r="O142">
        <v>8.2044997199999994</v>
      </c>
      <c r="P142">
        <v>0</v>
      </c>
      <c r="Q142">
        <v>1368</v>
      </c>
      <c r="R142">
        <v>0</v>
      </c>
      <c r="S142">
        <v>1368</v>
      </c>
      <c r="T142">
        <v>0.43055555600000001</v>
      </c>
      <c r="U142">
        <v>0.43402777799999998</v>
      </c>
      <c r="V142">
        <v>0</v>
      </c>
      <c r="W142">
        <v>2</v>
      </c>
      <c r="X142">
        <v>70</v>
      </c>
      <c r="Y142">
        <v>75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 t="s">
        <v>268</v>
      </c>
    </row>
    <row r="143" spans="1:94" x14ac:dyDescent="0.35">
      <c r="A143">
        <v>142</v>
      </c>
      <c r="B143">
        <v>45524</v>
      </c>
      <c r="C143" t="s">
        <v>226</v>
      </c>
      <c r="D143" t="s">
        <v>246</v>
      </c>
      <c r="E143" t="s">
        <v>169</v>
      </c>
      <c r="F143" t="s">
        <v>247</v>
      </c>
      <c r="G143" t="s">
        <v>97</v>
      </c>
      <c r="H143" t="s">
        <v>248</v>
      </c>
      <c r="I143" t="s">
        <v>98</v>
      </c>
      <c r="J143">
        <v>4</v>
      </c>
      <c r="K143" t="s">
        <v>99</v>
      </c>
      <c r="M143">
        <v>34</v>
      </c>
      <c r="N143">
        <v>243</v>
      </c>
      <c r="O143">
        <v>3.1764581629999999</v>
      </c>
      <c r="P143">
        <v>0</v>
      </c>
      <c r="Q143">
        <v>8262</v>
      </c>
      <c r="R143">
        <v>0</v>
      </c>
      <c r="S143">
        <v>8262</v>
      </c>
      <c r="T143">
        <v>0.55972222199999999</v>
      </c>
      <c r="U143">
        <v>0.56319444399999996</v>
      </c>
      <c r="V143">
        <v>0</v>
      </c>
      <c r="W143">
        <v>1</v>
      </c>
      <c r="X143">
        <v>15</v>
      </c>
      <c r="Y143">
        <v>70</v>
      </c>
      <c r="Z143">
        <v>5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</row>
    <row r="144" spans="1:94" x14ac:dyDescent="0.35">
      <c r="A144">
        <v>143</v>
      </c>
      <c r="B144">
        <v>45524</v>
      </c>
      <c r="C144" t="s">
        <v>226</v>
      </c>
      <c r="D144" t="s">
        <v>249</v>
      </c>
      <c r="E144" t="s">
        <v>169</v>
      </c>
      <c r="F144" t="s">
        <v>238</v>
      </c>
      <c r="G144" t="s">
        <v>97</v>
      </c>
      <c r="H144">
        <v>10040</v>
      </c>
      <c r="I144" t="s">
        <v>110</v>
      </c>
      <c r="J144">
        <v>4</v>
      </c>
      <c r="K144" t="s">
        <v>111</v>
      </c>
      <c r="M144">
        <v>6</v>
      </c>
      <c r="N144">
        <v>29.33333</v>
      </c>
      <c r="O144">
        <v>0.58343109100000001</v>
      </c>
      <c r="P144">
        <v>0</v>
      </c>
      <c r="Q144">
        <v>175.99997999999999</v>
      </c>
      <c r="R144">
        <v>0</v>
      </c>
      <c r="S144">
        <v>175.99997999999999</v>
      </c>
      <c r="T144">
        <v>0.56944444400000005</v>
      </c>
      <c r="U144">
        <v>0.57291666699999999</v>
      </c>
      <c r="V144">
        <v>0</v>
      </c>
      <c r="W144">
        <v>1</v>
      </c>
      <c r="X144">
        <v>15</v>
      </c>
      <c r="Y144">
        <v>70</v>
      </c>
      <c r="Z144">
        <v>2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 t="s">
        <v>269</v>
      </c>
    </row>
    <row r="145" spans="1:94" x14ac:dyDescent="0.35">
      <c r="A145">
        <v>144</v>
      </c>
      <c r="B145">
        <v>45524</v>
      </c>
      <c r="C145" t="s">
        <v>226</v>
      </c>
      <c r="D145" t="s">
        <v>212</v>
      </c>
      <c r="E145" t="s">
        <v>169</v>
      </c>
      <c r="F145" t="s">
        <v>213</v>
      </c>
      <c r="G145" t="s">
        <v>97</v>
      </c>
      <c r="H145">
        <v>10063</v>
      </c>
      <c r="I145" t="s">
        <v>105</v>
      </c>
      <c r="J145">
        <v>5</v>
      </c>
      <c r="K145" t="s">
        <v>111</v>
      </c>
      <c r="L145">
        <v>12.33333333</v>
      </c>
      <c r="M145" t="s">
        <v>100</v>
      </c>
      <c r="N145">
        <v>349.6</v>
      </c>
      <c r="O145">
        <v>18.187653950000001</v>
      </c>
      <c r="P145">
        <v>224.3143987</v>
      </c>
      <c r="Q145">
        <v>0</v>
      </c>
      <c r="R145">
        <v>78420.313779999997</v>
      </c>
      <c r="S145">
        <v>78420.313779999997</v>
      </c>
      <c r="T145">
        <v>0.57777777799999996</v>
      </c>
      <c r="U145">
        <v>0.58125000000000004</v>
      </c>
      <c r="V145">
        <v>0</v>
      </c>
      <c r="W145">
        <v>1</v>
      </c>
      <c r="X145">
        <v>15</v>
      </c>
      <c r="Y145">
        <v>70</v>
      </c>
      <c r="Z145">
        <v>11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1</v>
      </c>
      <c r="CL145">
        <v>1</v>
      </c>
      <c r="CM145">
        <v>0</v>
      </c>
      <c r="CN145">
        <v>0</v>
      </c>
      <c r="CO145">
        <v>0</v>
      </c>
    </row>
    <row r="146" spans="1:94" x14ac:dyDescent="0.35">
      <c r="A146">
        <v>145</v>
      </c>
      <c r="B146">
        <v>45524</v>
      </c>
      <c r="C146" t="s">
        <v>226</v>
      </c>
      <c r="D146" t="s">
        <v>250</v>
      </c>
      <c r="E146" t="s">
        <v>169</v>
      </c>
      <c r="F146" t="s">
        <v>233</v>
      </c>
      <c r="G146" t="s">
        <v>97</v>
      </c>
      <c r="H146">
        <v>12020</v>
      </c>
      <c r="I146" t="s">
        <v>98</v>
      </c>
      <c r="J146">
        <v>4</v>
      </c>
      <c r="K146" t="s">
        <v>99</v>
      </c>
      <c r="L146">
        <v>3</v>
      </c>
      <c r="M146" t="s">
        <v>100</v>
      </c>
      <c r="N146">
        <v>167.9</v>
      </c>
      <c r="O146">
        <v>16.08081945</v>
      </c>
      <c r="P146">
        <v>48.24245835</v>
      </c>
      <c r="Q146">
        <v>0</v>
      </c>
      <c r="R146">
        <v>8099.9087579999996</v>
      </c>
      <c r="S146">
        <v>8099.9087579999996</v>
      </c>
      <c r="T146">
        <v>0.58750000000000002</v>
      </c>
      <c r="U146">
        <v>0.59097222199999999</v>
      </c>
      <c r="V146">
        <v>0</v>
      </c>
      <c r="W146">
        <v>1</v>
      </c>
      <c r="X146">
        <v>10</v>
      </c>
      <c r="Y146">
        <v>71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 t="s">
        <v>270</v>
      </c>
    </row>
    <row r="147" spans="1:94" x14ac:dyDescent="0.35">
      <c r="A147">
        <v>146</v>
      </c>
      <c r="B147">
        <v>45524</v>
      </c>
      <c r="C147" t="s">
        <v>226</v>
      </c>
      <c r="D147" t="s">
        <v>147</v>
      </c>
      <c r="E147" t="s">
        <v>169</v>
      </c>
      <c r="F147" t="s">
        <v>148</v>
      </c>
      <c r="G147" t="s">
        <v>103</v>
      </c>
      <c r="H147">
        <v>18022</v>
      </c>
      <c r="I147" t="s">
        <v>98</v>
      </c>
      <c r="J147">
        <v>3</v>
      </c>
      <c r="K147" t="s">
        <v>123</v>
      </c>
      <c r="M147" t="s">
        <v>100</v>
      </c>
      <c r="N147">
        <v>563.42857140000001</v>
      </c>
      <c r="O147">
        <v>9.3348974590000005</v>
      </c>
      <c r="T147" t="s">
        <v>100</v>
      </c>
      <c r="U147" t="s">
        <v>100</v>
      </c>
      <c r="V147" t="s">
        <v>100</v>
      </c>
      <c r="W147" t="s">
        <v>100</v>
      </c>
      <c r="X147" t="s">
        <v>100</v>
      </c>
      <c r="Y147" t="s">
        <v>100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</row>
    <row r="148" spans="1:94" x14ac:dyDescent="0.35">
      <c r="A148">
        <v>147</v>
      </c>
      <c r="B148">
        <v>45524</v>
      </c>
      <c r="C148" t="s">
        <v>226</v>
      </c>
      <c r="D148" t="s">
        <v>266</v>
      </c>
      <c r="E148" t="s">
        <v>169</v>
      </c>
      <c r="F148" t="s">
        <v>267</v>
      </c>
      <c r="G148" t="s">
        <v>97</v>
      </c>
      <c r="H148">
        <v>96102</v>
      </c>
      <c r="I148" t="s">
        <v>98</v>
      </c>
      <c r="J148">
        <v>4</v>
      </c>
      <c r="K148" t="s">
        <v>99</v>
      </c>
      <c r="L148">
        <v>13.66666667</v>
      </c>
      <c r="M148" t="s">
        <v>100</v>
      </c>
      <c r="N148">
        <v>492.1</v>
      </c>
      <c r="O148">
        <v>6.8107476690000004</v>
      </c>
      <c r="P148">
        <v>93.080218139999999</v>
      </c>
      <c r="Q148">
        <v>0</v>
      </c>
      <c r="R148">
        <v>45804.775350000004</v>
      </c>
      <c r="S148">
        <v>45804.775350000004</v>
      </c>
      <c r="T148">
        <v>0.59652777800000001</v>
      </c>
      <c r="U148">
        <v>0.6</v>
      </c>
      <c r="V148">
        <v>0</v>
      </c>
      <c r="W148">
        <v>1</v>
      </c>
      <c r="X148">
        <v>15</v>
      </c>
      <c r="Y148">
        <v>71</v>
      </c>
      <c r="Z148">
        <v>6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 t="s">
        <v>271</v>
      </c>
    </row>
    <row r="149" spans="1:94" x14ac:dyDescent="0.35">
      <c r="A149">
        <v>148</v>
      </c>
      <c r="B149">
        <v>45524</v>
      </c>
      <c r="C149" t="s">
        <v>226</v>
      </c>
      <c r="D149" t="s">
        <v>166</v>
      </c>
      <c r="E149" t="s">
        <v>169</v>
      </c>
      <c r="F149" t="s">
        <v>167</v>
      </c>
      <c r="G149" t="s">
        <v>97</v>
      </c>
      <c r="H149">
        <v>15055</v>
      </c>
      <c r="I149" t="s">
        <v>105</v>
      </c>
      <c r="J149">
        <v>4</v>
      </c>
      <c r="K149" t="s">
        <v>111</v>
      </c>
      <c r="L149">
        <v>7.3333333329999997</v>
      </c>
      <c r="M149" t="s">
        <v>100</v>
      </c>
      <c r="N149">
        <v>42.8</v>
      </c>
      <c r="O149">
        <v>11.8144796</v>
      </c>
      <c r="P149">
        <v>86.639517040000001</v>
      </c>
      <c r="Q149">
        <v>0</v>
      </c>
      <c r="R149">
        <v>3708.1713289999998</v>
      </c>
      <c r="S149">
        <v>3708.1713289999998</v>
      </c>
      <c r="T149">
        <v>0.60555555599999999</v>
      </c>
      <c r="U149">
        <v>0.60902777799999996</v>
      </c>
      <c r="V149">
        <v>0</v>
      </c>
      <c r="W149">
        <v>2</v>
      </c>
      <c r="X149">
        <v>15</v>
      </c>
      <c r="Y149">
        <v>71</v>
      </c>
      <c r="Z149">
        <v>9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 t="s">
        <v>272</v>
      </c>
    </row>
    <row r="150" spans="1:94" x14ac:dyDescent="0.35">
      <c r="A150">
        <v>149</v>
      </c>
      <c r="B150">
        <v>45524</v>
      </c>
      <c r="C150" t="s">
        <v>226</v>
      </c>
      <c r="D150" t="s">
        <v>262</v>
      </c>
      <c r="E150" t="s">
        <v>169</v>
      </c>
      <c r="F150" t="s">
        <v>263</v>
      </c>
      <c r="G150" t="s">
        <v>97</v>
      </c>
      <c r="H150">
        <v>97033</v>
      </c>
      <c r="I150" t="s">
        <v>98</v>
      </c>
      <c r="J150">
        <v>4</v>
      </c>
      <c r="K150" t="s">
        <v>99</v>
      </c>
      <c r="L150">
        <v>7</v>
      </c>
      <c r="M150" t="s">
        <v>100</v>
      </c>
      <c r="N150">
        <v>160.69999999999999</v>
      </c>
      <c r="O150">
        <v>14.58577728</v>
      </c>
      <c r="P150">
        <v>102.100441</v>
      </c>
      <c r="Q150">
        <v>0</v>
      </c>
      <c r="R150">
        <v>16407.540860000001</v>
      </c>
      <c r="S150">
        <v>16407.540860000001</v>
      </c>
      <c r="T150">
        <v>0.61319444400000001</v>
      </c>
      <c r="U150">
        <v>0.61666666699999995</v>
      </c>
      <c r="V150">
        <v>0</v>
      </c>
      <c r="W150">
        <v>2</v>
      </c>
      <c r="X150">
        <v>15</v>
      </c>
      <c r="Y150">
        <v>71</v>
      </c>
      <c r="Z150">
        <v>9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</row>
    <row r="151" spans="1:94" x14ac:dyDescent="0.35">
      <c r="A151">
        <v>150</v>
      </c>
      <c r="B151">
        <v>45525</v>
      </c>
      <c r="C151" t="s">
        <v>226</v>
      </c>
      <c r="D151" t="s">
        <v>156</v>
      </c>
      <c r="E151" t="s">
        <v>245</v>
      </c>
      <c r="F151" t="s">
        <v>157</v>
      </c>
      <c r="G151" t="s">
        <v>97</v>
      </c>
      <c r="H151">
        <v>93021</v>
      </c>
      <c r="I151" t="s">
        <v>98</v>
      </c>
      <c r="J151" t="s">
        <v>100</v>
      </c>
      <c r="K151" t="s">
        <v>99</v>
      </c>
      <c r="L151">
        <v>29</v>
      </c>
      <c r="M151" t="s">
        <v>100</v>
      </c>
      <c r="N151">
        <v>404.7</v>
      </c>
      <c r="O151">
        <v>9.3348974590000005</v>
      </c>
      <c r="P151">
        <v>270.71202629999999</v>
      </c>
      <c r="Q151">
        <v>0</v>
      </c>
      <c r="R151">
        <v>109557.1571</v>
      </c>
      <c r="S151">
        <v>109557.1571</v>
      </c>
      <c r="T151">
        <v>0.38958333299999998</v>
      </c>
      <c r="U151">
        <v>0.39305555599999997</v>
      </c>
      <c r="V151">
        <v>0</v>
      </c>
      <c r="W151">
        <v>1</v>
      </c>
      <c r="X151">
        <v>10</v>
      </c>
      <c r="Y151">
        <v>62</v>
      </c>
      <c r="Z151">
        <v>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</row>
    <row r="152" spans="1:94" x14ac:dyDescent="0.35">
      <c r="A152">
        <v>151</v>
      </c>
      <c r="B152">
        <v>45525</v>
      </c>
      <c r="C152" t="s">
        <v>226</v>
      </c>
      <c r="D152" t="s">
        <v>130</v>
      </c>
      <c r="E152" t="s">
        <v>245</v>
      </c>
      <c r="F152" t="s">
        <v>125</v>
      </c>
      <c r="G152" t="s">
        <v>97</v>
      </c>
      <c r="H152" t="s">
        <v>131</v>
      </c>
      <c r="I152" t="s">
        <v>110</v>
      </c>
      <c r="J152" t="s">
        <v>100</v>
      </c>
      <c r="K152" t="s">
        <v>111</v>
      </c>
      <c r="M152" t="s">
        <v>100</v>
      </c>
      <c r="N152">
        <v>71.400000000000006</v>
      </c>
      <c r="O152">
        <v>8.9499950029999997</v>
      </c>
      <c r="P152">
        <v>0</v>
      </c>
      <c r="Q152" t="s">
        <v>100</v>
      </c>
      <c r="R152" t="s">
        <v>100</v>
      </c>
      <c r="S152" t="s">
        <v>100</v>
      </c>
      <c r="T152">
        <v>0.470138889</v>
      </c>
      <c r="U152">
        <v>0.47361111099999997</v>
      </c>
      <c r="V152">
        <v>0</v>
      </c>
      <c r="W152">
        <v>1</v>
      </c>
      <c r="X152">
        <v>3</v>
      </c>
      <c r="Y152">
        <v>68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</row>
    <row r="153" spans="1:94" x14ac:dyDescent="0.35">
      <c r="A153">
        <v>152</v>
      </c>
      <c r="B153">
        <v>45525</v>
      </c>
      <c r="C153" t="s">
        <v>226</v>
      </c>
      <c r="D153" t="s">
        <v>273</v>
      </c>
      <c r="E153" t="s">
        <v>245</v>
      </c>
      <c r="F153" t="s">
        <v>198</v>
      </c>
      <c r="G153" t="s">
        <v>97</v>
      </c>
      <c r="H153">
        <v>98053</v>
      </c>
      <c r="I153" t="s">
        <v>114</v>
      </c>
      <c r="J153">
        <v>4</v>
      </c>
      <c r="K153" t="s">
        <v>111</v>
      </c>
      <c r="L153">
        <v>14.33333333</v>
      </c>
      <c r="M153" t="s">
        <v>100</v>
      </c>
      <c r="N153">
        <v>232.8</v>
      </c>
      <c r="O153">
        <v>13.163664000000001</v>
      </c>
      <c r="P153">
        <v>188.6791839</v>
      </c>
      <c r="Q153">
        <v>0</v>
      </c>
      <c r="R153">
        <v>43924.514020000002</v>
      </c>
      <c r="S153">
        <v>43924.514020000002</v>
      </c>
      <c r="T153">
        <v>0.40069444399999998</v>
      </c>
      <c r="U153">
        <v>0.40416666699999998</v>
      </c>
      <c r="V153">
        <v>0</v>
      </c>
      <c r="W153">
        <v>1</v>
      </c>
      <c r="X153">
        <v>5</v>
      </c>
      <c r="Y153">
        <v>62</v>
      </c>
      <c r="Z153">
        <v>6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</row>
    <row r="154" spans="1:94" x14ac:dyDescent="0.35">
      <c r="A154">
        <v>153</v>
      </c>
      <c r="B154">
        <v>45525</v>
      </c>
      <c r="C154" t="s">
        <v>226</v>
      </c>
      <c r="D154" t="s">
        <v>253</v>
      </c>
      <c r="E154" t="s">
        <v>245</v>
      </c>
      <c r="F154" t="s">
        <v>242</v>
      </c>
      <c r="G154" t="s">
        <v>97</v>
      </c>
      <c r="H154">
        <v>11044</v>
      </c>
      <c r="I154" t="s">
        <v>114</v>
      </c>
      <c r="J154">
        <v>4</v>
      </c>
      <c r="K154" t="s">
        <v>99</v>
      </c>
      <c r="M154">
        <v>15</v>
      </c>
      <c r="N154">
        <v>88.6</v>
      </c>
      <c r="O154">
        <v>4.4121976270000003</v>
      </c>
      <c r="P154">
        <v>0</v>
      </c>
      <c r="Q154">
        <v>1329</v>
      </c>
      <c r="R154">
        <v>0</v>
      </c>
      <c r="S154">
        <v>1329</v>
      </c>
      <c r="T154">
        <v>0.41388888899999998</v>
      </c>
      <c r="U154">
        <v>0.41736111100000001</v>
      </c>
      <c r="V154">
        <v>0</v>
      </c>
      <c r="W154">
        <v>0</v>
      </c>
      <c r="X154">
        <v>2</v>
      </c>
      <c r="Y154">
        <v>62</v>
      </c>
      <c r="Z154">
        <v>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</row>
    <row r="155" spans="1:94" x14ac:dyDescent="0.35">
      <c r="A155">
        <v>154</v>
      </c>
      <c r="B155">
        <v>45525</v>
      </c>
      <c r="C155" t="s">
        <v>226</v>
      </c>
      <c r="D155" t="s">
        <v>257</v>
      </c>
      <c r="E155" t="s">
        <v>95</v>
      </c>
      <c r="F155" t="s">
        <v>180</v>
      </c>
      <c r="G155" t="s">
        <v>97</v>
      </c>
      <c r="H155">
        <v>1005</v>
      </c>
      <c r="I155" t="s">
        <v>105</v>
      </c>
      <c r="J155">
        <v>4</v>
      </c>
      <c r="K155" t="s">
        <v>111</v>
      </c>
      <c r="L155">
        <v>8</v>
      </c>
      <c r="M155" t="s">
        <v>100</v>
      </c>
      <c r="N155">
        <v>91.7</v>
      </c>
      <c r="O155">
        <v>8.2044997199999994</v>
      </c>
      <c r="P155">
        <v>65.635997759999995</v>
      </c>
      <c r="Q155">
        <v>0</v>
      </c>
      <c r="R155">
        <v>6018.820995</v>
      </c>
      <c r="S155">
        <v>6018.820995</v>
      </c>
      <c r="T155">
        <v>0.43333333299999999</v>
      </c>
      <c r="U155">
        <v>0.43680555599999998</v>
      </c>
      <c r="V155">
        <v>0</v>
      </c>
      <c r="W155">
        <v>1</v>
      </c>
      <c r="X155">
        <v>2</v>
      </c>
      <c r="Y155">
        <v>65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</row>
    <row r="156" spans="1:94" x14ac:dyDescent="0.35">
      <c r="A156">
        <v>155</v>
      </c>
      <c r="B156">
        <v>45525</v>
      </c>
      <c r="C156" t="s">
        <v>226</v>
      </c>
      <c r="D156" t="s">
        <v>136</v>
      </c>
      <c r="E156" t="s">
        <v>245</v>
      </c>
      <c r="F156" t="s">
        <v>137</v>
      </c>
      <c r="G156" t="s">
        <v>97</v>
      </c>
      <c r="H156" t="s">
        <v>138</v>
      </c>
      <c r="I156" t="s">
        <v>114</v>
      </c>
      <c r="J156">
        <v>4</v>
      </c>
      <c r="K156" t="s">
        <v>111</v>
      </c>
      <c r="L156">
        <v>5</v>
      </c>
      <c r="M156" t="s">
        <v>100</v>
      </c>
      <c r="N156">
        <v>72.099999999999994</v>
      </c>
      <c r="O156">
        <v>6.162490901</v>
      </c>
      <c r="P156">
        <v>30.812454500000001</v>
      </c>
      <c r="Q156">
        <v>0</v>
      </c>
      <c r="R156">
        <v>2221.5779699999998</v>
      </c>
      <c r="S156">
        <v>2221.5779699999998</v>
      </c>
      <c r="T156">
        <v>0.438888889</v>
      </c>
      <c r="U156">
        <v>0.44236111099999997</v>
      </c>
      <c r="V156">
        <v>0</v>
      </c>
      <c r="W156">
        <v>0</v>
      </c>
      <c r="X156">
        <v>1</v>
      </c>
      <c r="Y156">
        <v>65</v>
      </c>
      <c r="Z156">
        <v>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</row>
    <row r="157" spans="1:94" x14ac:dyDescent="0.35">
      <c r="A157">
        <v>156</v>
      </c>
      <c r="B157">
        <v>45525</v>
      </c>
      <c r="C157" t="s">
        <v>226</v>
      </c>
      <c r="D157" t="s">
        <v>231</v>
      </c>
      <c r="E157" t="s">
        <v>245</v>
      </c>
      <c r="F157" t="s">
        <v>233</v>
      </c>
      <c r="G157" t="s">
        <v>97</v>
      </c>
      <c r="H157">
        <v>12020</v>
      </c>
      <c r="I157" t="s">
        <v>110</v>
      </c>
      <c r="J157">
        <v>4</v>
      </c>
      <c r="K157" t="s">
        <v>99</v>
      </c>
      <c r="M157">
        <v>9</v>
      </c>
      <c r="N157">
        <v>150.69999999999999</v>
      </c>
      <c r="O157">
        <v>13.629598550000001</v>
      </c>
      <c r="P157">
        <v>0</v>
      </c>
      <c r="Q157">
        <v>1356.3</v>
      </c>
      <c r="R157">
        <v>0</v>
      </c>
      <c r="S157">
        <v>1356.3</v>
      </c>
      <c r="T157">
        <v>0.48958333300000001</v>
      </c>
      <c r="U157">
        <v>0.49305555600000001</v>
      </c>
      <c r="V157">
        <v>0</v>
      </c>
      <c r="W157">
        <v>2</v>
      </c>
      <c r="X157">
        <v>0</v>
      </c>
      <c r="Y157">
        <v>68</v>
      </c>
      <c r="Z157">
        <v>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</row>
    <row r="158" spans="1:94" x14ac:dyDescent="0.35">
      <c r="A158">
        <v>157</v>
      </c>
      <c r="B158">
        <v>45525</v>
      </c>
      <c r="C158" t="s">
        <v>226</v>
      </c>
      <c r="D158" t="s">
        <v>185</v>
      </c>
      <c r="E158" t="s">
        <v>245</v>
      </c>
      <c r="F158" t="s">
        <v>186</v>
      </c>
      <c r="G158" t="s">
        <v>97</v>
      </c>
      <c r="H158">
        <v>12022</v>
      </c>
      <c r="I158" t="s">
        <v>105</v>
      </c>
      <c r="J158">
        <v>4</v>
      </c>
      <c r="K158" t="s">
        <v>111</v>
      </c>
      <c r="L158">
        <v>8.3333333330000006</v>
      </c>
      <c r="M158" t="s">
        <v>100</v>
      </c>
      <c r="N158">
        <v>361</v>
      </c>
      <c r="O158">
        <v>8.3053000000000008</v>
      </c>
      <c r="P158">
        <v>69.21083333</v>
      </c>
      <c r="Q158">
        <v>0</v>
      </c>
      <c r="R158">
        <v>24985.110830000001</v>
      </c>
      <c r="S158">
        <v>24985.110830000001</v>
      </c>
      <c r="T158">
        <v>0.67638888900000005</v>
      </c>
      <c r="U158">
        <v>0.67986111100000002</v>
      </c>
      <c r="V158">
        <v>0</v>
      </c>
      <c r="W158">
        <v>2</v>
      </c>
      <c r="X158">
        <v>1</v>
      </c>
      <c r="Y158">
        <v>74</v>
      </c>
      <c r="Z158">
        <v>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</row>
    <row r="159" spans="1:94" x14ac:dyDescent="0.35">
      <c r="A159">
        <v>158</v>
      </c>
      <c r="B159">
        <v>45525</v>
      </c>
      <c r="C159" t="s">
        <v>226</v>
      </c>
      <c r="D159" t="s">
        <v>187</v>
      </c>
      <c r="E159" t="s">
        <v>245</v>
      </c>
      <c r="F159" t="s">
        <v>188</v>
      </c>
      <c r="G159" t="s">
        <v>97</v>
      </c>
      <c r="H159">
        <v>11031</v>
      </c>
      <c r="I159" t="s">
        <v>98</v>
      </c>
      <c r="J159">
        <v>4</v>
      </c>
      <c r="K159" t="s">
        <v>99</v>
      </c>
      <c r="L159">
        <v>3.6666666669999999</v>
      </c>
      <c r="M159" t="s">
        <v>100</v>
      </c>
      <c r="N159">
        <v>189.5</v>
      </c>
      <c r="O159">
        <v>15.0877</v>
      </c>
      <c r="P159">
        <v>55.321566670000003</v>
      </c>
      <c r="Q159">
        <v>0</v>
      </c>
      <c r="R159">
        <v>10483.436879999999</v>
      </c>
      <c r="S159">
        <v>10483.436879999999</v>
      </c>
      <c r="T159">
        <v>0.65694444399999996</v>
      </c>
      <c r="U159">
        <v>0.66041666700000001</v>
      </c>
      <c r="V159">
        <v>0</v>
      </c>
      <c r="W159">
        <v>1</v>
      </c>
      <c r="X159">
        <v>0</v>
      </c>
      <c r="Y159">
        <v>74</v>
      </c>
      <c r="Z159">
        <v>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 t="s">
        <v>274</v>
      </c>
    </row>
    <row r="160" spans="1:94" x14ac:dyDescent="0.35">
      <c r="A160">
        <v>159</v>
      </c>
      <c r="B160">
        <v>45525</v>
      </c>
      <c r="C160" t="s">
        <v>226</v>
      </c>
      <c r="D160" t="s">
        <v>117</v>
      </c>
      <c r="E160" t="s">
        <v>245</v>
      </c>
      <c r="F160" t="s">
        <v>118</v>
      </c>
      <c r="G160" t="s">
        <v>97</v>
      </c>
      <c r="H160">
        <v>1128</v>
      </c>
      <c r="I160" t="s">
        <v>105</v>
      </c>
      <c r="J160">
        <v>4</v>
      </c>
      <c r="K160" t="s">
        <v>111</v>
      </c>
      <c r="L160">
        <v>5.3333333329999997</v>
      </c>
      <c r="M160" t="s">
        <v>100</v>
      </c>
      <c r="N160">
        <v>36.1</v>
      </c>
      <c r="O160">
        <v>8.3053000000000008</v>
      </c>
      <c r="P160">
        <v>44.294933329999999</v>
      </c>
      <c r="Q160">
        <v>0</v>
      </c>
      <c r="R160">
        <v>1599.0470929999999</v>
      </c>
      <c r="S160">
        <v>1599.0470929999999</v>
      </c>
      <c r="T160">
        <v>0.66388888899999998</v>
      </c>
      <c r="U160">
        <v>0.66736111099999995</v>
      </c>
      <c r="V160">
        <v>0</v>
      </c>
      <c r="W160">
        <v>2</v>
      </c>
      <c r="X160">
        <v>0</v>
      </c>
      <c r="Y160">
        <v>74</v>
      </c>
      <c r="Z160">
        <v>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</row>
    <row r="161" spans="1:94" x14ac:dyDescent="0.35">
      <c r="A161">
        <v>160</v>
      </c>
      <c r="B161">
        <v>45525</v>
      </c>
      <c r="C161" t="s">
        <v>226</v>
      </c>
      <c r="D161" t="s">
        <v>264</v>
      </c>
      <c r="E161" t="s">
        <v>245</v>
      </c>
      <c r="F161" t="s">
        <v>265</v>
      </c>
      <c r="G161" t="s">
        <v>97</v>
      </c>
      <c r="H161">
        <v>1072</v>
      </c>
      <c r="I161" t="s">
        <v>110</v>
      </c>
      <c r="J161">
        <v>4</v>
      </c>
      <c r="K161" t="s">
        <v>111</v>
      </c>
      <c r="L161">
        <v>16.333333329999999</v>
      </c>
      <c r="M161" t="s">
        <v>100</v>
      </c>
      <c r="N161">
        <v>104.4</v>
      </c>
      <c r="O161">
        <v>14.58577728</v>
      </c>
      <c r="P161">
        <v>238.23436219999999</v>
      </c>
      <c r="Q161">
        <v>0</v>
      </c>
      <c r="R161">
        <v>24871.667420000002</v>
      </c>
      <c r="S161">
        <v>24871.667420000002</v>
      </c>
      <c r="T161">
        <v>0.38402777799999999</v>
      </c>
      <c r="U161">
        <v>0.38750000000000001</v>
      </c>
      <c r="V161">
        <v>0</v>
      </c>
      <c r="W161">
        <v>1</v>
      </c>
      <c r="X161">
        <v>10</v>
      </c>
      <c r="Y161">
        <v>62</v>
      </c>
      <c r="Z161">
        <v>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</row>
    <row r="162" spans="1:94" x14ac:dyDescent="0.35">
      <c r="A162">
        <v>161</v>
      </c>
      <c r="B162">
        <v>45512</v>
      </c>
      <c r="C162" t="s">
        <v>226</v>
      </c>
      <c r="D162" t="s">
        <v>124</v>
      </c>
      <c r="E162" t="s">
        <v>245</v>
      </c>
      <c r="F162" t="s">
        <v>125</v>
      </c>
      <c r="G162" t="s">
        <v>97</v>
      </c>
      <c r="H162">
        <v>14026</v>
      </c>
      <c r="I162" t="s">
        <v>105</v>
      </c>
      <c r="J162">
        <v>4</v>
      </c>
      <c r="K162" t="s">
        <v>111</v>
      </c>
      <c r="L162">
        <v>2</v>
      </c>
      <c r="M162" t="s">
        <v>100</v>
      </c>
      <c r="N162">
        <v>76.5</v>
      </c>
      <c r="O162">
        <v>8.5731957570000006</v>
      </c>
      <c r="P162">
        <v>17.146391510000001</v>
      </c>
      <c r="Q162">
        <v>0</v>
      </c>
      <c r="R162">
        <v>1311.6989510000001</v>
      </c>
      <c r="S162">
        <v>1311.6989510000001</v>
      </c>
      <c r="T162">
        <v>0.60972222200000004</v>
      </c>
      <c r="U162">
        <v>0.61319444400000001</v>
      </c>
      <c r="V162">
        <v>0</v>
      </c>
      <c r="W162">
        <v>1</v>
      </c>
      <c r="X162">
        <v>100</v>
      </c>
      <c r="Y162">
        <v>73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</row>
    <row r="163" spans="1:94" x14ac:dyDescent="0.35">
      <c r="A163">
        <v>162</v>
      </c>
      <c r="B163">
        <v>45512</v>
      </c>
      <c r="C163" t="s">
        <v>226</v>
      </c>
      <c r="D163" t="s">
        <v>126</v>
      </c>
      <c r="E163" t="s">
        <v>245</v>
      </c>
      <c r="F163" t="s">
        <v>127</v>
      </c>
      <c r="G163" t="s">
        <v>97</v>
      </c>
      <c r="H163">
        <v>17047</v>
      </c>
      <c r="I163" t="s">
        <v>114</v>
      </c>
      <c r="J163">
        <v>4</v>
      </c>
      <c r="K163" t="s">
        <v>111</v>
      </c>
      <c r="L163">
        <v>4.6666666670000003</v>
      </c>
      <c r="M163" t="s">
        <v>100</v>
      </c>
      <c r="N163">
        <v>109</v>
      </c>
      <c r="O163">
        <v>9.3348974590000005</v>
      </c>
      <c r="P163">
        <v>43.562854809999997</v>
      </c>
      <c r="Q163">
        <v>0</v>
      </c>
      <c r="R163">
        <v>4748.3511740000004</v>
      </c>
      <c r="S163">
        <v>4748.3511740000004</v>
      </c>
      <c r="T163">
        <v>0.43958333300000002</v>
      </c>
      <c r="U163">
        <v>0.44305555600000002</v>
      </c>
      <c r="V163">
        <v>0</v>
      </c>
      <c r="W163">
        <v>0</v>
      </c>
      <c r="X163">
        <v>90</v>
      </c>
      <c r="Y163">
        <v>72</v>
      </c>
      <c r="Z163">
        <v>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</row>
    <row r="164" spans="1:94" x14ac:dyDescent="0.35">
      <c r="A164">
        <v>163</v>
      </c>
      <c r="B164">
        <v>45512</v>
      </c>
      <c r="C164" t="s">
        <v>226</v>
      </c>
      <c r="D164" t="s">
        <v>128</v>
      </c>
      <c r="E164" t="s">
        <v>245</v>
      </c>
      <c r="F164" t="s">
        <v>129</v>
      </c>
      <c r="G164" t="s">
        <v>97</v>
      </c>
      <c r="H164">
        <v>14010</v>
      </c>
      <c r="I164" t="s">
        <v>98</v>
      </c>
      <c r="J164">
        <v>4</v>
      </c>
      <c r="K164" t="s">
        <v>99</v>
      </c>
      <c r="L164">
        <v>1</v>
      </c>
      <c r="M164" t="s">
        <v>100</v>
      </c>
      <c r="N164">
        <v>59.7</v>
      </c>
      <c r="O164">
        <v>5.5466469710000004</v>
      </c>
      <c r="P164">
        <v>5.5466469710000004</v>
      </c>
      <c r="Q164">
        <v>0</v>
      </c>
      <c r="R164">
        <v>331.13482420000003</v>
      </c>
      <c r="S164">
        <v>331.13482420000003</v>
      </c>
      <c r="T164">
        <v>0.60347222199999995</v>
      </c>
      <c r="U164">
        <v>0.60694444400000003</v>
      </c>
      <c r="V164">
        <v>0</v>
      </c>
      <c r="W164">
        <v>1</v>
      </c>
      <c r="X164">
        <v>100</v>
      </c>
      <c r="Y164">
        <v>73</v>
      </c>
      <c r="Z164">
        <v>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</row>
    <row r="165" spans="1:94" x14ac:dyDescent="0.35">
      <c r="A165">
        <v>164</v>
      </c>
      <c r="B165">
        <v>45512</v>
      </c>
      <c r="C165" t="s">
        <v>226</v>
      </c>
      <c r="D165" t="s">
        <v>156</v>
      </c>
      <c r="E165" t="s">
        <v>245</v>
      </c>
      <c r="F165" t="s">
        <v>157</v>
      </c>
      <c r="G165" t="s">
        <v>97</v>
      </c>
      <c r="H165">
        <v>93021</v>
      </c>
      <c r="I165" t="s">
        <v>98</v>
      </c>
      <c r="J165" t="s">
        <v>100</v>
      </c>
      <c r="K165" t="s">
        <v>99</v>
      </c>
      <c r="L165">
        <v>12.66666667</v>
      </c>
      <c r="M165" t="s">
        <v>100</v>
      </c>
      <c r="N165">
        <v>404.7</v>
      </c>
      <c r="O165">
        <v>9.3348974590000005</v>
      </c>
      <c r="P165">
        <v>118.2420345</v>
      </c>
      <c r="Q165">
        <v>0</v>
      </c>
      <c r="R165">
        <v>47852.551359999998</v>
      </c>
      <c r="S165">
        <v>47852.551359999998</v>
      </c>
      <c r="T165">
        <v>0.45069444400000003</v>
      </c>
      <c r="U165">
        <v>0.45416666700000002</v>
      </c>
      <c r="V165">
        <v>0</v>
      </c>
      <c r="W165">
        <v>2</v>
      </c>
      <c r="X165">
        <v>100</v>
      </c>
      <c r="Y165">
        <v>72</v>
      </c>
      <c r="Z165">
        <v>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</row>
    <row r="166" spans="1:94" x14ac:dyDescent="0.35">
      <c r="A166">
        <v>165</v>
      </c>
      <c r="B166">
        <v>45512</v>
      </c>
      <c r="C166" t="s">
        <v>226</v>
      </c>
      <c r="D166" t="s">
        <v>191</v>
      </c>
      <c r="E166" t="s">
        <v>245</v>
      </c>
      <c r="F166" t="s">
        <v>192</v>
      </c>
      <c r="G166" t="s">
        <v>97</v>
      </c>
      <c r="H166">
        <v>13029</v>
      </c>
      <c r="I166" t="s">
        <v>110</v>
      </c>
      <c r="J166">
        <v>4</v>
      </c>
      <c r="K166" t="s">
        <v>111</v>
      </c>
      <c r="L166">
        <v>1</v>
      </c>
      <c r="M166" t="s">
        <v>100</v>
      </c>
      <c r="N166">
        <v>4.5</v>
      </c>
      <c r="O166">
        <v>5.8505173309999998</v>
      </c>
      <c r="P166">
        <v>5.8505173309999998</v>
      </c>
      <c r="Q166">
        <v>0</v>
      </c>
      <c r="R166">
        <v>26.327327990000001</v>
      </c>
      <c r="S166">
        <v>26.327327990000001</v>
      </c>
      <c r="T166">
        <v>0.54513888899999996</v>
      </c>
      <c r="U166">
        <v>0.63194444400000005</v>
      </c>
      <c r="V166">
        <v>0</v>
      </c>
      <c r="W166">
        <v>1</v>
      </c>
      <c r="X166">
        <v>90</v>
      </c>
      <c r="Y166">
        <v>73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</row>
    <row r="167" spans="1:94" x14ac:dyDescent="0.35">
      <c r="A167">
        <v>166</v>
      </c>
      <c r="B167">
        <v>45512</v>
      </c>
      <c r="C167" t="s">
        <v>226</v>
      </c>
      <c r="D167" t="s">
        <v>252</v>
      </c>
      <c r="E167" t="s">
        <v>245</v>
      </c>
      <c r="F167" t="s">
        <v>235</v>
      </c>
      <c r="G167" t="s">
        <v>97</v>
      </c>
      <c r="H167">
        <v>1004</v>
      </c>
      <c r="I167" t="s">
        <v>105</v>
      </c>
      <c r="J167">
        <v>4</v>
      </c>
      <c r="K167" t="s">
        <v>111</v>
      </c>
      <c r="L167">
        <v>9</v>
      </c>
      <c r="M167" t="s">
        <v>100</v>
      </c>
      <c r="N167">
        <v>98.3</v>
      </c>
      <c r="O167">
        <v>21.003519279999999</v>
      </c>
      <c r="P167">
        <v>189.03167350000001</v>
      </c>
      <c r="Q167">
        <v>0</v>
      </c>
      <c r="R167">
        <v>18581.81351</v>
      </c>
      <c r="S167">
        <v>18581.81351</v>
      </c>
      <c r="T167">
        <v>0.46250000000000002</v>
      </c>
      <c r="U167">
        <v>0.46597222199999999</v>
      </c>
      <c r="V167">
        <v>0</v>
      </c>
      <c r="W167">
        <v>1</v>
      </c>
      <c r="X167">
        <v>100</v>
      </c>
      <c r="Y167">
        <v>72</v>
      </c>
      <c r="Z167">
        <v>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</row>
    <row r="168" spans="1:94" x14ac:dyDescent="0.35">
      <c r="A168">
        <v>167</v>
      </c>
      <c r="B168">
        <v>45512</v>
      </c>
      <c r="C168" t="s">
        <v>226</v>
      </c>
      <c r="D168" t="s">
        <v>130</v>
      </c>
      <c r="E168" t="s">
        <v>245</v>
      </c>
      <c r="F168" t="s">
        <v>125</v>
      </c>
      <c r="G168" t="s">
        <v>97</v>
      </c>
      <c r="H168" t="s">
        <v>131</v>
      </c>
      <c r="I168" t="s">
        <v>110</v>
      </c>
      <c r="J168" t="s">
        <v>100</v>
      </c>
      <c r="K168" t="s">
        <v>111</v>
      </c>
      <c r="L168">
        <v>3.3333333330000001</v>
      </c>
      <c r="M168" t="s">
        <v>100</v>
      </c>
      <c r="N168">
        <v>71.400000000000006</v>
      </c>
      <c r="O168">
        <v>8.9499950029999997</v>
      </c>
      <c r="P168">
        <v>29.833316679999999</v>
      </c>
      <c r="Q168">
        <v>0</v>
      </c>
      <c r="R168">
        <v>2130.0988109999998</v>
      </c>
      <c r="S168">
        <v>2130.0988109999998</v>
      </c>
      <c r="T168">
        <v>0.59583333299999997</v>
      </c>
      <c r="U168">
        <v>0.59930555600000002</v>
      </c>
      <c r="V168">
        <v>0</v>
      </c>
      <c r="W168">
        <v>1</v>
      </c>
      <c r="X168">
        <v>100</v>
      </c>
      <c r="Y168">
        <v>74</v>
      </c>
      <c r="Z168">
        <v>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</row>
    <row r="169" spans="1:94" x14ac:dyDescent="0.35">
      <c r="A169">
        <v>168</v>
      </c>
      <c r="B169">
        <v>45512</v>
      </c>
      <c r="C169" t="s">
        <v>226</v>
      </c>
      <c r="D169" t="s">
        <v>273</v>
      </c>
      <c r="E169" t="s">
        <v>245</v>
      </c>
      <c r="F169" t="s">
        <v>198</v>
      </c>
      <c r="G169" t="s">
        <v>97</v>
      </c>
      <c r="H169">
        <v>98053</v>
      </c>
      <c r="I169" t="s">
        <v>114</v>
      </c>
      <c r="J169">
        <v>4</v>
      </c>
      <c r="K169" t="s">
        <v>111</v>
      </c>
      <c r="L169">
        <v>5.3333333329999997</v>
      </c>
      <c r="M169" t="s">
        <v>100</v>
      </c>
      <c r="N169">
        <v>232.8</v>
      </c>
      <c r="O169">
        <v>13.163664000000001</v>
      </c>
      <c r="P169">
        <v>70.206207969999994</v>
      </c>
      <c r="Q169">
        <v>0</v>
      </c>
      <c r="R169">
        <v>16344.005219999999</v>
      </c>
      <c r="S169">
        <v>16344.005219999999</v>
      </c>
      <c r="T169">
        <v>0.47152777800000001</v>
      </c>
      <c r="U169">
        <v>0.47499999999999998</v>
      </c>
      <c r="V169">
        <v>0</v>
      </c>
      <c r="W169">
        <v>2</v>
      </c>
      <c r="X169">
        <v>100</v>
      </c>
      <c r="Y169">
        <v>72</v>
      </c>
      <c r="Z169">
        <v>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</row>
    <row r="170" spans="1:94" x14ac:dyDescent="0.35">
      <c r="A170">
        <v>169</v>
      </c>
      <c r="B170">
        <v>45512</v>
      </c>
      <c r="C170" t="s">
        <v>226</v>
      </c>
      <c r="D170" t="s">
        <v>132</v>
      </c>
      <c r="E170" t="s">
        <v>245</v>
      </c>
      <c r="F170" t="s">
        <v>125</v>
      </c>
      <c r="G170" t="s">
        <v>97</v>
      </c>
      <c r="H170" t="s">
        <v>133</v>
      </c>
      <c r="I170" t="s">
        <v>105</v>
      </c>
      <c r="J170">
        <v>4</v>
      </c>
      <c r="K170" t="s">
        <v>111</v>
      </c>
      <c r="L170">
        <v>4.6666666670000003</v>
      </c>
      <c r="M170" t="s">
        <v>100</v>
      </c>
      <c r="N170">
        <v>94.3</v>
      </c>
      <c r="O170">
        <v>8.5731957570000006</v>
      </c>
      <c r="P170">
        <v>40.008246870000001</v>
      </c>
      <c r="Q170">
        <v>0</v>
      </c>
      <c r="R170">
        <v>3772.7776789999998</v>
      </c>
      <c r="S170">
        <v>3772.7776789999998</v>
      </c>
      <c r="T170">
        <v>0.58958333299999999</v>
      </c>
      <c r="U170">
        <v>0.59305555600000004</v>
      </c>
      <c r="V170">
        <v>0</v>
      </c>
      <c r="W170">
        <v>1</v>
      </c>
      <c r="X170">
        <v>100</v>
      </c>
      <c r="Y170">
        <v>73</v>
      </c>
      <c r="Z170">
        <v>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</row>
    <row r="171" spans="1:94" x14ac:dyDescent="0.35">
      <c r="A171">
        <v>170</v>
      </c>
      <c r="B171">
        <v>45512</v>
      </c>
      <c r="C171" t="s">
        <v>226</v>
      </c>
      <c r="D171" t="s">
        <v>253</v>
      </c>
      <c r="E171" t="s">
        <v>245</v>
      </c>
      <c r="F171" t="s">
        <v>242</v>
      </c>
      <c r="G171" t="s">
        <v>97</v>
      </c>
      <c r="H171">
        <v>11044</v>
      </c>
      <c r="I171" t="s">
        <v>114</v>
      </c>
      <c r="J171">
        <v>4</v>
      </c>
      <c r="K171" t="s">
        <v>99</v>
      </c>
      <c r="L171">
        <v>7</v>
      </c>
      <c r="M171" t="s">
        <v>100</v>
      </c>
      <c r="N171">
        <v>88.6</v>
      </c>
      <c r="O171">
        <v>4.4121976270000003</v>
      </c>
      <c r="P171">
        <v>30.885383390000001</v>
      </c>
      <c r="Q171">
        <v>0</v>
      </c>
      <c r="R171">
        <v>2736.4449679999998</v>
      </c>
      <c r="S171">
        <v>2736.4449679999998</v>
      </c>
      <c r="T171">
        <v>0.48888888899999999</v>
      </c>
      <c r="U171">
        <v>0.49236111100000002</v>
      </c>
      <c r="V171">
        <v>0</v>
      </c>
      <c r="W171">
        <v>1</v>
      </c>
      <c r="X171">
        <v>100</v>
      </c>
      <c r="Y171">
        <v>73</v>
      </c>
      <c r="Z171">
        <v>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</row>
    <row r="172" spans="1:94" x14ac:dyDescent="0.35">
      <c r="A172">
        <v>171</v>
      </c>
      <c r="B172">
        <v>45512</v>
      </c>
      <c r="C172" t="s">
        <v>226</v>
      </c>
      <c r="D172" t="s">
        <v>254</v>
      </c>
      <c r="E172" t="s">
        <v>245</v>
      </c>
      <c r="F172" t="s">
        <v>255</v>
      </c>
      <c r="G172" t="s">
        <v>97</v>
      </c>
      <c r="H172">
        <v>95054</v>
      </c>
      <c r="I172" t="s">
        <v>98</v>
      </c>
      <c r="J172">
        <v>4</v>
      </c>
      <c r="K172" t="s">
        <v>99</v>
      </c>
      <c r="L172">
        <v>5.6666666670000003</v>
      </c>
      <c r="M172" t="s">
        <v>100</v>
      </c>
      <c r="N172">
        <v>109.8</v>
      </c>
      <c r="O172">
        <v>16.595373259999999</v>
      </c>
      <c r="P172">
        <v>94.040448479999995</v>
      </c>
      <c r="Q172">
        <v>0</v>
      </c>
      <c r="R172">
        <v>10325.641240000001</v>
      </c>
      <c r="S172">
        <v>10325.641240000001</v>
      </c>
      <c r="T172">
        <v>0.54722222200000004</v>
      </c>
      <c r="U172">
        <v>0.55069444400000001</v>
      </c>
      <c r="V172">
        <v>0</v>
      </c>
      <c r="W172">
        <v>2</v>
      </c>
      <c r="X172">
        <v>100</v>
      </c>
      <c r="Y172">
        <v>73</v>
      </c>
      <c r="Z172">
        <v>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</row>
    <row r="173" spans="1:94" x14ac:dyDescent="0.35">
      <c r="A173">
        <v>172</v>
      </c>
      <c r="B173">
        <v>45512</v>
      </c>
      <c r="C173" t="s">
        <v>226</v>
      </c>
      <c r="D173" t="s">
        <v>257</v>
      </c>
      <c r="E173" t="s">
        <v>245</v>
      </c>
      <c r="F173" t="s">
        <v>180</v>
      </c>
      <c r="G173" t="s">
        <v>97</v>
      </c>
      <c r="H173">
        <v>1005</v>
      </c>
      <c r="I173" t="s">
        <v>105</v>
      </c>
      <c r="J173">
        <v>4</v>
      </c>
      <c r="K173" t="s">
        <v>111</v>
      </c>
      <c r="L173">
        <v>6.6666666670000003</v>
      </c>
      <c r="M173" t="s">
        <v>100</v>
      </c>
      <c r="N173">
        <v>91.7</v>
      </c>
      <c r="O173">
        <v>8.2044997199999994</v>
      </c>
      <c r="P173">
        <v>54.696664800000001</v>
      </c>
      <c r="Q173">
        <v>0</v>
      </c>
      <c r="R173">
        <v>5015.6841619999996</v>
      </c>
      <c r="S173">
        <v>5015.6841619999996</v>
      </c>
      <c r="T173">
        <v>0.55625000000000002</v>
      </c>
      <c r="U173">
        <v>0.55972222199999999</v>
      </c>
      <c r="V173">
        <v>0</v>
      </c>
      <c r="W173">
        <v>1</v>
      </c>
      <c r="X173">
        <v>100</v>
      </c>
      <c r="Y173">
        <v>73</v>
      </c>
      <c r="Z173">
        <v>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</row>
    <row r="174" spans="1:94" x14ac:dyDescent="0.35">
      <c r="A174">
        <v>173</v>
      </c>
      <c r="B174">
        <v>45512</v>
      </c>
      <c r="C174" t="s">
        <v>226</v>
      </c>
      <c r="D174" t="s">
        <v>136</v>
      </c>
      <c r="E174" t="s">
        <v>245</v>
      </c>
      <c r="F174" t="s">
        <v>137</v>
      </c>
      <c r="G174" t="s">
        <v>97</v>
      </c>
      <c r="H174" t="s">
        <v>138</v>
      </c>
      <c r="I174" t="s">
        <v>114</v>
      </c>
      <c r="J174">
        <v>4</v>
      </c>
      <c r="K174" t="s">
        <v>111</v>
      </c>
      <c r="L174">
        <v>11.33333333</v>
      </c>
      <c r="M174" t="s">
        <v>100</v>
      </c>
      <c r="N174">
        <v>72.099999999999994</v>
      </c>
      <c r="O174">
        <v>6.162490901</v>
      </c>
      <c r="P174">
        <v>69.841563539999996</v>
      </c>
      <c r="Q174">
        <v>0</v>
      </c>
      <c r="R174">
        <v>5035.5767310000001</v>
      </c>
      <c r="S174">
        <v>5035.5767310000001</v>
      </c>
      <c r="T174">
        <v>0.563888889</v>
      </c>
      <c r="U174">
        <v>0.56736111099999997</v>
      </c>
      <c r="V174">
        <v>0</v>
      </c>
      <c r="W174">
        <v>2</v>
      </c>
      <c r="X174">
        <v>100</v>
      </c>
      <c r="Y174">
        <v>73</v>
      </c>
      <c r="Z174">
        <v>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 t="s">
        <v>275</v>
      </c>
    </row>
    <row r="175" spans="1:94" x14ac:dyDescent="0.35">
      <c r="A175">
        <v>174</v>
      </c>
      <c r="B175">
        <v>45512</v>
      </c>
      <c r="C175" t="s">
        <v>226</v>
      </c>
      <c r="D175" t="s">
        <v>246</v>
      </c>
      <c r="E175" t="s">
        <v>245</v>
      </c>
      <c r="F175" t="s">
        <v>247</v>
      </c>
      <c r="G175" t="s">
        <v>97</v>
      </c>
      <c r="H175" t="s">
        <v>248</v>
      </c>
      <c r="I175" t="s">
        <v>98</v>
      </c>
      <c r="J175">
        <v>4</v>
      </c>
      <c r="K175" t="s">
        <v>99</v>
      </c>
      <c r="L175">
        <v>3.6666666669999999</v>
      </c>
      <c r="M175" t="s">
        <v>100</v>
      </c>
      <c r="N175">
        <v>243</v>
      </c>
      <c r="O175">
        <v>3.1764581629999999</v>
      </c>
      <c r="P175">
        <v>11.64701327</v>
      </c>
      <c r="Q175">
        <v>0</v>
      </c>
      <c r="R175">
        <v>2830.2242230000002</v>
      </c>
      <c r="S175">
        <v>2830.2242230000002</v>
      </c>
      <c r="T175">
        <v>0.33611111100000002</v>
      </c>
      <c r="U175">
        <v>0.33958333299999999</v>
      </c>
      <c r="V175">
        <v>0</v>
      </c>
      <c r="W175">
        <v>1</v>
      </c>
      <c r="X175">
        <v>15</v>
      </c>
      <c r="Y175">
        <v>66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</row>
    <row r="176" spans="1:94" x14ac:dyDescent="0.35">
      <c r="A176">
        <v>175</v>
      </c>
      <c r="B176">
        <v>45512</v>
      </c>
      <c r="C176" t="s">
        <v>226</v>
      </c>
      <c r="D176" t="s">
        <v>258</v>
      </c>
      <c r="E176" t="s">
        <v>245</v>
      </c>
      <c r="F176" t="s">
        <v>182</v>
      </c>
      <c r="G176" t="s">
        <v>97</v>
      </c>
      <c r="H176" t="s">
        <v>259</v>
      </c>
      <c r="I176" t="s">
        <v>110</v>
      </c>
      <c r="J176">
        <v>5</v>
      </c>
      <c r="K176" t="s">
        <v>111</v>
      </c>
      <c r="L176">
        <v>8</v>
      </c>
      <c r="M176" t="s">
        <v>100</v>
      </c>
      <c r="N176">
        <v>76.900000000000006</v>
      </c>
      <c r="O176">
        <v>2.5322529999999999</v>
      </c>
      <c r="P176">
        <v>20.258023999999999</v>
      </c>
      <c r="Q176">
        <v>0</v>
      </c>
      <c r="R176">
        <v>1557.842046</v>
      </c>
      <c r="S176">
        <v>1557.842046</v>
      </c>
      <c r="T176">
        <v>0.56527777800000001</v>
      </c>
      <c r="U176">
        <v>0.48541666700000002</v>
      </c>
      <c r="V176">
        <v>0</v>
      </c>
      <c r="W176">
        <v>2</v>
      </c>
      <c r="X176">
        <v>100</v>
      </c>
      <c r="Y176">
        <v>74</v>
      </c>
      <c r="Z176">
        <v>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 t="s">
        <v>276</v>
      </c>
    </row>
    <row r="177" spans="1:94" x14ac:dyDescent="0.35">
      <c r="A177">
        <v>176</v>
      </c>
      <c r="B177">
        <v>45512</v>
      </c>
      <c r="C177" t="s">
        <v>226</v>
      </c>
      <c r="D177" t="s">
        <v>139</v>
      </c>
      <c r="E177" t="s">
        <v>95</v>
      </c>
      <c r="F177" t="s">
        <v>140</v>
      </c>
      <c r="G177" t="s">
        <v>97</v>
      </c>
      <c r="H177">
        <v>14022</v>
      </c>
      <c r="I177" t="s">
        <v>114</v>
      </c>
      <c r="J177">
        <v>4</v>
      </c>
      <c r="K177" t="s">
        <v>111</v>
      </c>
      <c r="L177">
        <v>10</v>
      </c>
      <c r="M177" t="s">
        <v>100</v>
      </c>
      <c r="N177">
        <v>47.1</v>
      </c>
      <c r="O177">
        <v>5.5466469710000004</v>
      </c>
      <c r="P177">
        <v>55.466469709999998</v>
      </c>
      <c r="Q177">
        <v>0</v>
      </c>
      <c r="R177">
        <v>2612.4707229999999</v>
      </c>
      <c r="S177">
        <v>2612.4707229999999</v>
      </c>
      <c r="T177">
        <v>0.65347222199999999</v>
      </c>
      <c r="U177">
        <v>0.65694444399999996</v>
      </c>
      <c r="V177">
        <v>0</v>
      </c>
      <c r="W177">
        <v>2</v>
      </c>
      <c r="X177">
        <v>95</v>
      </c>
      <c r="Y177">
        <v>77</v>
      </c>
      <c r="Z177">
        <v>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</row>
    <row r="178" spans="1:94" x14ac:dyDescent="0.35">
      <c r="A178">
        <v>177</v>
      </c>
      <c r="B178">
        <v>45512</v>
      </c>
      <c r="C178" t="s">
        <v>226</v>
      </c>
      <c r="D178" t="s">
        <v>249</v>
      </c>
      <c r="E178" t="s">
        <v>245</v>
      </c>
      <c r="F178" t="s">
        <v>238</v>
      </c>
      <c r="G178" t="s">
        <v>97</v>
      </c>
      <c r="H178">
        <v>10040</v>
      </c>
      <c r="I178" t="s">
        <v>110</v>
      </c>
      <c r="J178">
        <v>4</v>
      </c>
      <c r="K178" t="s">
        <v>111</v>
      </c>
      <c r="M178">
        <v>6</v>
      </c>
      <c r="N178">
        <v>29.33333</v>
      </c>
      <c r="O178">
        <v>0.58343109100000001</v>
      </c>
      <c r="P178">
        <v>0</v>
      </c>
      <c r="Q178">
        <v>175.99997999999999</v>
      </c>
      <c r="R178">
        <v>0</v>
      </c>
      <c r="S178">
        <v>175.99997999999999</v>
      </c>
      <c r="T178">
        <v>0.58055555599999997</v>
      </c>
      <c r="U178">
        <v>0.58402777800000005</v>
      </c>
      <c r="V178">
        <v>0</v>
      </c>
      <c r="W178">
        <v>2</v>
      </c>
      <c r="X178">
        <v>100</v>
      </c>
      <c r="Y178">
        <v>73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</row>
    <row r="179" spans="1:94" x14ac:dyDescent="0.35">
      <c r="A179">
        <v>178</v>
      </c>
      <c r="B179">
        <v>45512</v>
      </c>
      <c r="C179" t="s">
        <v>226</v>
      </c>
      <c r="D179" t="s">
        <v>212</v>
      </c>
      <c r="E179" t="s">
        <v>245</v>
      </c>
      <c r="F179" t="s">
        <v>213</v>
      </c>
      <c r="G179" t="s">
        <v>97</v>
      </c>
      <c r="H179">
        <v>10063</v>
      </c>
      <c r="I179" t="s">
        <v>105</v>
      </c>
      <c r="J179">
        <v>5</v>
      </c>
      <c r="K179" t="s">
        <v>111</v>
      </c>
      <c r="L179">
        <v>3</v>
      </c>
      <c r="M179" t="s">
        <v>100</v>
      </c>
      <c r="N179">
        <v>349.6</v>
      </c>
      <c r="O179">
        <v>18.187653950000001</v>
      </c>
      <c r="P179">
        <v>54.56296184</v>
      </c>
      <c r="Q179">
        <v>0</v>
      </c>
      <c r="R179">
        <v>19075.211459999999</v>
      </c>
      <c r="S179">
        <v>19075.211459999999</v>
      </c>
      <c r="T179">
        <v>0.35694444400000003</v>
      </c>
      <c r="U179">
        <v>0.36041666700000002</v>
      </c>
      <c r="V179">
        <v>0</v>
      </c>
      <c r="W179">
        <v>1</v>
      </c>
      <c r="X179">
        <v>85</v>
      </c>
      <c r="Y179">
        <v>67</v>
      </c>
      <c r="Z179">
        <v>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0</v>
      </c>
      <c r="AQ179">
        <v>1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</row>
    <row r="180" spans="1:94" x14ac:dyDescent="0.35">
      <c r="A180">
        <v>179</v>
      </c>
      <c r="B180">
        <v>45512</v>
      </c>
      <c r="C180" t="s">
        <v>226</v>
      </c>
      <c r="D180" t="s">
        <v>145</v>
      </c>
      <c r="E180" t="s">
        <v>95</v>
      </c>
      <c r="F180" t="s">
        <v>146</v>
      </c>
      <c r="G180" t="s">
        <v>97</v>
      </c>
      <c r="H180">
        <v>4054</v>
      </c>
      <c r="I180" t="s">
        <v>110</v>
      </c>
      <c r="J180">
        <v>4</v>
      </c>
      <c r="K180" t="s">
        <v>111</v>
      </c>
      <c r="L180">
        <v>7.3333333329999997</v>
      </c>
      <c r="M180" t="s">
        <v>100</v>
      </c>
      <c r="N180">
        <v>50</v>
      </c>
      <c r="O180">
        <v>9.7279031249999992</v>
      </c>
      <c r="P180">
        <v>71.337956250000005</v>
      </c>
      <c r="Q180">
        <v>0</v>
      </c>
      <c r="R180">
        <v>3566.8978120000002</v>
      </c>
      <c r="S180">
        <v>3566.8978120000002</v>
      </c>
      <c r="T180">
        <v>0.68194444399999998</v>
      </c>
      <c r="U180">
        <v>0.68541666700000003</v>
      </c>
      <c r="V180">
        <v>0</v>
      </c>
      <c r="W180">
        <v>2</v>
      </c>
      <c r="X180">
        <v>95</v>
      </c>
      <c r="Y180">
        <v>76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</row>
    <row r="181" spans="1:94" x14ac:dyDescent="0.35">
      <c r="A181">
        <v>180</v>
      </c>
      <c r="B181">
        <v>45512</v>
      </c>
      <c r="C181" t="s">
        <v>226</v>
      </c>
      <c r="D181" t="s">
        <v>250</v>
      </c>
      <c r="E181" t="s">
        <v>245</v>
      </c>
      <c r="F181" t="s">
        <v>233</v>
      </c>
      <c r="G181" t="s">
        <v>97</v>
      </c>
      <c r="H181">
        <v>12020</v>
      </c>
      <c r="I181" t="s">
        <v>98</v>
      </c>
      <c r="J181">
        <v>4</v>
      </c>
      <c r="K181" t="s">
        <v>99</v>
      </c>
      <c r="L181">
        <v>0.66666666699999999</v>
      </c>
      <c r="M181" t="s">
        <v>100</v>
      </c>
      <c r="N181">
        <v>167.9</v>
      </c>
      <c r="O181">
        <v>16.08081945</v>
      </c>
      <c r="P181">
        <v>10.720546300000001</v>
      </c>
      <c r="Q181">
        <v>0</v>
      </c>
      <c r="R181">
        <v>1799.979724</v>
      </c>
      <c r="S181">
        <v>1799.979724</v>
      </c>
      <c r="T181">
        <v>0.36805555600000001</v>
      </c>
      <c r="U181">
        <v>0.37152777799999998</v>
      </c>
      <c r="V181">
        <v>0</v>
      </c>
      <c r="W181">
        <v>1</v>
      </c>
      <c r="X181">
        <v>90</v>
      </c>
      <c r="Y181">
        <v>67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</row>
    <row r="182" spans="1:94" x14ac:dyDescent="0.35">
      <c r="A182">
        <v>181</v>
      </c>
      <c r="B182">
        <v>45512</v>
      </c>
      <c r="C182" t="s">
        <v>226</v>
      </c>
      <c r="D182" t="s">
        <v>266</v>
      </c>
      <c r="E182" t="s">
        <v>245</v>
      </c>
      <c r="F182" t="s">
        <v>267</v>
      </c>
      <c r="G182" t="s">
        <v>97</v>
      </c>
      <c r="H182">
        <v>96102</v>
      </c>
      <c r="I182" t="s">
        <v>98</v>
      </c>
      <c r="J182">
        <v>4</v>
      </c>
      <c r="K182" t="s">
        <v>99</v>
      </c>
      <c r="L182">
        <v>8</v>
      </c>
      <c r="M182" t="s">
        <v>100</v>
      </c>
      <c r="N182">
        <v>492.1</v>
      </c>
      <c r="O182">
        <v>6.8107476690000004</v>
      </c>
      <c r="P182">
        <v>54.485981350000003</v>
      </c>
      <c r="Q182">
        <v>0</v>
      </c>
      <c r="R182">
        <v>26812.55142</v>
      </c>
      <c r="S182">
        <v>26812.55142</v>
      </c>
      <c r="T182">
        <v>0.37430555599999998</v>
      </c>
      <c r="U182">
        <v>0.37777777800000001</v>
      </c>
      <c r="V182">
        <v>0</v>
      </c>
      <c r="W182">
        <v>1</v>
      </c>
      <c r="X182">
        <v>95</v>
      </c>
      <c r="Y182">
        <v>68</v>
      </c>
      <c r="Z182">
        <v>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</row>
    <row r="183" spans="1:94" x14ac:dyDescent="0.35">
      <c r="A183">
        <v>182</v>
      </c>
      <c r="B183">
        <v>45512</v>
      </c>
      <c r="C183" t="s">
        <v>226</v>
      </c>
      <c r="D183" t="s">
        <v>166</v>
      </c>
      <c r="E183" t="s">
        <v>245</v>
      </c>
      <c r="F183" t="s">
        <v>167</v>
      </c>
      <c r="G183" t="s">
        <v>97</v>
      </c>
      <c r="H183">
        <v>15055</v>
      </c>
      <c r="I183" t="s">
        <v>105</v>
      </c>
      <c r="J183">
        <v>4</v>
      </c>
      <c r="K183" t="s">
        <v>111</v>
      </c>
      <c r="L183">
        <v>6.3333333329999997</v>
      </c>
      <c r="M183" t="s">
        <v>100</v>
      </c>
      <c r="N183">
        <v>42.8</v>
      </c>
      <c r="O183">
        <v>11.8144796</v>
      </c>
      <c r="P183">
        <v>74.825037449999996</v>
      </c>
      <c r="Q183">
        <v>0</v>
      </c>
      <c r="R183">
        <v>3202.5116029999999</v>
      </c>
      <c r="S183">
        <v>3202.5116029999999</v>
      </c>
      <c r="T183">
        <v>0.37847222200000002</v>
      </c>
      <c r="U183">
        <v>0.38194444399999999</v>
      </c>
      <c r="V183">
        <v>0</v>
      </c>
      <c r="W183">
        <v>2</v>
      </c>
      <c r="X183">
        <v>85</v>
      </c>
      <c r="Y183">
        <v>70</v>
      </c>
      <c r="Z183">
        <v>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 t="s">
        <v>277</v>
      </c>
    </row>
    <row r="184" spans="1:94" x14ac:dyDescent="0.35">
      <c r="A184">
        <v>183</v>
      </c>
      <c r="B184">
        <v>45512</v>
      </c>
      <c r="C184" t="s">
        <v>226</v>
      </c>
      <c r="D184" t="s">
        <v>262</v>
      </c>
      <c r="E184" t="s">
        <v>278</v>
      </c>
      <c r="F184" t="s">
        <v>263</v>
      </c>
      <c r="G184" t="s">
        <v>97</v>
      </c>
      <c r="H184">
        <v>97033</v>
      </c>
      <c r="I184" t="s">
        <v>98</v>
      </c>
      <c r="J184">
        <v>4</v>
      </c>
      <c r="K184" t="s">
        <v>99</v>
      </c>
      <c r="L184">
        <v>14.66666667</v>
      </c>
      <c r="M184" t="s">
        <v>100</v>
      </c>
      <c r="N184">
        <v>160.69999999999999</v>
      </c>
      <c r="O184">
        <v>14.58577728</v>
      </c>
      <c r="P184">
        <v>213.92473340000001</v>
      </c>
      <c r="Q184">
        <v>0</v>
      </c>
      <c r="R184">
        <v>34377.704660000003</v>
      </c>
      <c r="S184">
        <v>34377.704660000003</v>
      </c>
      <c r="T184">
        <v>0.41666666699999999</v>
      </c>
      <c r="U184">
        <v>0.42013888900000002</v>
      </c>
      <c r="V184">
        <v>0</v>
      </c>
      <c r="W184">
        <v>1</v>
      </c>
      <c r="X184">
        <v>95</v>
      </c>
      <c r="Y184">
        <v>70</v>
      </c>
      <c r="Z184">
        <v>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 t="s">
        <v>279</v>
      </c>
    </row>
    <row r="185" spans="1:94" x14ac:dyDescent="0.35">
      <c r="A185">
        <v>184</v>
      </c>
      <c r="B185">
        <v>45512</v>
      </c>
      <c r="C185" t="s">
        <v>226</v>
      </c>
      <c r="D185" t="s">
        <v>151</v>
      </c>
      <c r="E185" t="s">
        <v>95</v>
      </c>
      <c r="F185" t="s">
        <v>108</v>
      </c>
      <c r="G185" t="s">
        <v>97</v>
      </c>
      <c r="H185" t="s">
        <v>152</v>
      </c>
      <c r="I185" t="s">
        <v>110</v>
      </c>
      <c r="J185">
        <v>4</v>
      </c>
      <c r="K185" t="s">
        <v>111</v>
      </c>
      <c r="L185">
        <v>3.3333333330000001</v>
      </c>
      <c r="M185" t="s">
        <v>100</v>
      </c>
      <c r="N185">
        <v>27.1</v>
      </c>
      <c r="O185">
        <v>5.2508798209999998</v>
      </c>
      <c r="P185">
        <v>17.502932739999999</v>
      </c>
      <c r="Q185">
        <v>0</v>
      </c>
      <c r="R185">
        <v>474.32947710000002</v>
      </c>
      <c r="S185">
        <v>474.32947710000002</v>
      </c>
      <c r="T185">
        <v>0.66944444400000003</v>
      </c>
      <c r="U185">
        <v>0.67291666699999997</v>
      </c>
      <c r="V185">
        <v>0</v>
      </c>
      <c r="W185">
        <v>2</v>
      </c>
      <c r="X185">
        <v>90</v>
      </c>
      <c r="Y185">
        <v>76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 t="s">
        <v>280</v>
      </c>
    </row>
    <row r="186" spans="1:94" x14ac:dyDescent="0.35">
      <c r="A186">
        <v>185</v>
      </c>
      <c r="B186">
        <v>45512</v>
      </c>
      <c r="C186" t="s">
        <v>226</v>
      </c>
      <c r="D186" t="s">
        <v>264</v>
      </c>
      <c r="E186" t="s">
        <v>245</v>
      </c>
      <c r="F186" t="s">
        <v>265</v>
      </c>
      <c r="G186" t="s">
        <v>97</v>
      </c>
      <c r="H186">
        <v>1072</v>
      </c>
      <c r="I186" t="s">
        <v>110</v>
      </c>
      <c r="J186">
        <v>4</v>
      </c>
      <c r="K186" t="s">
        <v>111</v>
      </c>
      <c r="L186">
        <v>0.66666666699999999</v>
      </c>
      <c r="M186" t="s">
        <v>100</v>
      </c>
      <c r="N186">
        <v>104.4</v>
      </c>
      <c r="O186">
        <v>14.58577728</v>
      </c>
      <c r="P186">
        <v>9.7238515200000002</v>
      </c>
      <c r="Q186">
        <v>0</v>
      </c>
      <c r="R186">
        <v>1015.1700990000001</v>
      </c>
      <c r="S186">
        <v>1015.1700990000001</v>
      </c>
      <c r="T186">
        <v>0.42638888899999999</v>
      </c>
      <c r="U186">
        <v>0.42986111100000002</v>
      </c>
      <c r="V186">
        <v>0</v>
      </c>
      <c r="W186">
        <v>1</v>
      </c>
      <c r="X186">
        <v>80</v>
      </c>
      <c r="Y186">
        <v>72</v>
      </c>
      <c r="Z186">
        <v>7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</row>
    <row r="187" spans="1:94" x14ac:dyDescent="0.35">
      <c r="A187">
        <v>186</v>
      </c>
      <c r="B187">
        <v>45513</v>
      </c>
      <c r="C187" t="s">
        <v>226</v>
      </c>
      <c r="D187" t="s">
        <v>227</v>
      </c>
      <c r="E187" t="s">
        <v>95</v>
      </c>
      <c r="F187" t="s">
        <v>140</v>
      </c>
      <c r="G187" t="s">
        <v>97</v>
      </c>
      <c r="H187">
        <v>7045</v>
      </c>
      <c r="I187" t="s">
        <v>114</v>
      </c>
      <c r="J187">
        <v>4</v>
      </c>
      <c r="K187" t="s">
        <v>99</v>
      </c>
      <c r="L187">
        <v>12.66666667</v>
      </c>
      <c r="M187" t="s">
        <v>100</v>
      </c>
      <c r="N187">
        <v>79</v>
      </c>
      <c r="O187">
        <v>1.446912</v>
      </c>
      <c r="P187">
        <v>18.327552000000001</v>
      </c>
      <c r="Q187">
        <v>0</v>
      </c>
      <c r="R187">
        <v>1447.876608</v>
      </c>
      <c r="S187">
        <v>1447.876608</v>
      </c>
      <c r="T187">
        <v>0.37986111099999997</v>
      </c>
      <c r="U187">
        <v>0.383333333</v>
      </c>
      <c r="V187">
        <v>0</v>
      </c>
      <c r="W187">
        <v>0</v>
      </c>
      <c r="X187">
        <v>80</v>
      </c>
      <c r="Y187">
        <v>61</v>
      </c>
      <c r="Z187">
        <v>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</row>
    <row r="188" spans="1:94" x14ac:dyDescent="0.35">
      <c r="A188">
        <v>187</v>
      </c>
      <c r="B188">
        <v>45513</v>
      </c>
      <c r="C188" t="s">
        <v>226</v>
      </c>
      <c r="D188" t="s">
        <v>107</v>
      </c>
      <c r="E188" t="s">
        <v>95</v>
      </c>
      <c r="F188" t="s">
        <v>108</v>
      </c>
      <c r="G188" t="s">
        <v>97</v>
      </c>
      <c r="H188" t="s">
        <v>109</v>
      </c>
      <c r="I188" t="s">
        <v>110</v>
      </c>
      <c r="J188">
        <v>4</v>
      </c>
      <c r="K188" t="s">
        <v>111</v>
      </c>
      <c r="M188">
        <v>21</v>
      </c>
      <c r="N188">
        <v>68.400000000000006</v>
      </c>
      <c r="O188">
        <v>4.1488433149999997</v>
      </c>
      <c r="P188">
        <v>0</v>
      </c>
      <c r="Q188">
        <v>1436.4</v>
      </c>
      <c r="R188">
        <v>0</v>
      </c>
      <c r="S188">
        <v>1436.4</v>
      </c>
      <c r="T188">
        <v>0.40555555599999998</v>
      </c>
      <c r="U188">
        <v>0.40902777800000001</v>
      </c>
      <c r="V188">
        <v>0</v>
      </c>
      <c r="W188">
        <v>2</v>
      </c>
      <c r="X188">
        <v>100</v>
      </c>
      <c r="Y188">
        <v>60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 t="s">
        <v>281</v>
      </c>
    </row>
    <row r="189" spans="1:94" x14ac:dyDescent="0.35">
      <c r="A189">
        <v>188</v>
      </c>
      <c r="B189">
        <v>45513</v>
      </c>
      <c r="C189" t="s">
        <v>226</v>
      </c>
      <c r="D189" t="s">
        <v>199</v>
      </c>
      <c r="E189" t="s">
        <v>95</v>
      </c>
      <c r="F189" t="s">
        <v>200</v>
      </c>
      <c r="G189" t="s">
        <v>97</v>
      </c>
      <c r="H189">
        <v>21039</v>
      </c>
      <c r="I189" t="s">
        <v>114</v>
      </c>
      <c r="J189">
        <v>4</v>
      </c>
      <c r="K189" t="s">
        <v>111</v>
      </c>
      <c r="L189">
        <v>4</v>
      </c>
      <c r="M189" t="s">
        <v>100</v>
      </c>
      <c r="N189">
        <v>17.7</v>
      </c>
      <c r="O189">
        <v>1.9609767229999999</v>
      </c>
      <c r="P189">
        <v>7.8439068929999998</v>
      </c>
      <c r="Q189">
        <v>0</v>
      </c>
      <c r="R189">
        <v>138.837152</v>
      </c>
      <c r="S189">
        <v>138.837152</v>
      </c>
      <c r="T189">
        <v>0.48055555599999999</v>
      </c>
      <c r="U189">
        <v>0.48402777800000002</v>
      </c>
      <c r="V189">
        <v>0</v>
      </c>
      <c r="W189">
        <v>2</v>
      </c>
      <c r="X189">
        <v>100</v>
      </c>
      <c r="Y189">
        <v>61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</row>
    <row r="190" spans="1:94" x14ac:dyDescent="0.35">
      <c r="A190">
        <v>189</v>
      </c>
      <c r="B190">
        <v>45513</v>
      </c>
      <c r="C190" t="s">
        <v>226</v>
      </c>
      <c r="D190" t="s">
        <v>234</v>
      </c>
      <c r="E190" t="s">
        <v>95</v>
      </c>
      <c r="F190" t="s">
        <v>235</v>
      </c>
      <c r="G190" t="s">
        <v>97</v>
      </c>
      <c r="H190">
        <v>1004</v>
      </c>
      <c r="I190" t="s">
        <v>114</v>
      </c>
      <c r="J190">
        <v>4</v>
      </c>
      <c r="K190" t="s">
        <v>111</v>
      </c>
      <c r="L190">
        <v>7</v>
      </c>
      <c r="M190" t="s">
        <v>100</v>
      </c>
      <c r="N190">
        <v>174.4</v>
      </c>
      <c r="O190">
        <v>44.668942919999999</v>
      </c>
      <c r="P190">
        <v>312.68260040000001</v>
      </c>
      <c r="Q190">
        <v>0</v>
      </c>
      <c r="R190">
        <v>54531.845520000003</v>
      </c>
      <c r="S190">
        <v>54531.845520000003</v>
      </c>
      <c r="T190">
        <v>0.470138889</v>
      </c>
      <c r="U190">
        <v>0.47361111099999997</v>
      </c>
      <c r="V190">
        <v>0</v>
      </c>
      <c r="W190">
        <v>1</v>
      </c>
      <c r="X190">
        <v>100</v>
      </c>
      <c r="Y190">
        <v>61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</row>
    <row r="191" spans="1:94" x14ac:dyDescent="0.35">
      <c r="A191">
        <v>190</v>
      </c>
      <c r="B191">
        <v>45513</v>
      </c>
      <c r="C191" t="s">
        <v>226</v>
      </c>
      <c r="D191" t="s">
        <v>185</v>
      </c>
      <c r="E191" t="s">
        <v>95</v>
      </c>
      <c r="F191" t="s">
        <v>186</v>
      </c>
      <c r="G191" t="s">
        <v>97</v>
      </c>
      <c r="H191">
        <v>12022</v>
      </c>
      <c r="I191" t="s">
        <v>105</v>
      </c>
      <c r="J191">
        <v>4</v>
      </c>
      <c r="K191" t="s">
        <v>111</v>
      </c>
      <c r="L191">
        <v>12.33333333</v>
      </c>
      <c r="M191" t="s">
        <v>100</v>
      </c>
      <c r="N191">
        <v>361</v>
      </c>
      <c r="O191">
        <v>8.3053000000000008</v>
      </c>
      <c r="P191">
        <v>102.4320333</v>
      </c>
      <c r="Q191">
        <v>0</v>
      </c>
      <c r="R191">
        <v>36977.964030000003</v>
      </c>
      <c r="S191">
        <v>36977.964030000003</v>
      </c>
      <c r="T191">
        <v>0.39513888899999999</v>
      </c>
      <c r="U191">
        <v>0.39861111100000002</v>
      </c>
      <c r="V191">
        <v>0</v>
      </c>
      <c r="W191">
        <v>2</v>
      </c>
      <c r="X191">
        <v>90</v>
      </c>
      <c r="Y191">
        <v>60</v>
      </c>
      <c r="Z191">
        <v>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</row>
    <row r="192" spans="1:94" x14ac:dyDescent="0.35">
      <c r="A192">
        <v>191</v>
      </c>
      <c r="B192">
        <v>45513</v>
      </c>
      <c r="C192" t="s">
        <v>226</v>
      </c>
      <c r="D192" t="s">
        <v>237</v>
      </c>
      <c r="E192" t="s">
        <v>95</v>
      </c>
      <c r="F192" t="s">
        <v>238</v>
      </c>
      <c r="G192" t="s">
        <v>97</v>
      </c>
      <c r="H192">
        <v>10040</v>
      </c>
      <c r="I192" t="s">
        <v>110</v>
      </c>
      <c r="J192">
        <v>4</v>
      </c>
      <c r="K192" t="s">
        <v>111</v>
      </c>
      <c r="M192">
        <v>41</v>
      </c>
      <c r="N192" t="s">
        <v>100</v>
      </c>
      <c r="O192" t="e">
        <v>#VALUE!</v>
      </c>
      <c r="P192" t="e">
        <v>#VALUE!</v>
      </c>
      <c r="Q192" t="e">
        <v>#VALUE!</v>
      </c>
      <c r="R192" t="e">
        <v>#VALUE!</v>
      </c>
      <c r="S192" t="s">
        <v>100</v>
      </c>
      <c r="T192">
        <v>0.46111111100000002</v>
      </c>
      <c r="U192">
        <v>0.46458333299999999</v>
      </c>
      <c r="V192">
        <v>0</v>
      </c>
      <c r="W192">
        <v>1</v>
      </c>
      <c r="X192">
        <v>100</v>
      </c>
      <c r="Y192">
        <v>61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 t="s">
        <v>282</v>
      </c>
    </row>
    <row r="193" spans="1:94" x14ac:dyDescent="0.35">
      <c r="A193">
        <v>192</v>
      </c>
      <c r="B193">
        <v>45513</v>
      </c>
      <c r="C193" t="s">
        <v>226</v>
      </c>
      <c r="D193" t="s">
        <v>189</v>
      </c>
      <c r="E193" t="s">
        <v>95</v>
      </c>
      <c r="F193" t="s">
        <v>118</v>
      </c>
      <c r="G193" t="s">
        <v>97</v>
      </c>
      <c r="H193">
        <v>1128</v>
      </c>
      <c r="I193" t="s">
        <v>114</v>
      </c>
      <c r="J193">
        <v>4</v>
      </c>
      <c r="K193" t="s">
        <v>99</v>
      </c>
      <c r="L193">
        <v>10.66666667</v>
      </c>
      <c r="M193" t="s">
        <v>100</v>
      </c>
      <c r="N193">
        <v>154.80000000000001</v>
      </c>
      <c r="O193">
        <v>1.1077920000000001</v>
      </c>
      <c r="P193">
        <v>11.816447999999999</v>
      </c>
      <c r="Q193">
        <v>0</v>
      </c>
      <c r="R193">
        <v>1829.18615</v>
      </c>
      <c r="S193">
        <v>1829.18615</v>
      </c>
      <c r="T193">
        <v>0.45138888900000002</v>
      </c>
      <c r="U193">
        <v>0.45486111099999998</v>
      </c>
      <c r="V193">
        <v>0</v>
      </c>
      <c r="W193">
        <v>2</v>
      </c>
      <c r="X193">
        <v>100</v>
      </c>
      <c r="Y193">
        <v>61</v>
      </c>
      <c r="Z193">
        <v>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</row>
    <row r="194" spans="1:94" x14ac:dyDescent="0.35">
      <c r="A194">
        <v>193</v>
      </c>
      <c r="B194">
        <v>45513</v>
      </c>
      <c r="C194" t="s">
        <v>226</v>
      </c>
      <c r="D194" t="s">
        <v>117</v>
      </c>
      <c r="E194" t="s">
        <v>95</v>
      </c>
      <c r="F194" t="s">
        <v>118</v>
      </c>
      <c r="G194" t="s">
        <v>97</v>
      </c>
      <c r="H194">
        <v>1128</v>
      </c>
      <c r="I194" t="s">
        <v>105</v>
      </c>
      <c r="J194">
        <v>4</v>
      </c>
      <c r="K194" t="s">
        <v>111</v>
      </c>
      <c r="L194">
        <v>8.3333333330000006</v>
      </c>
      <c r="M194" t="s">
        <v>100</v>
      </c>
      <c r="N194">
        <v>36.1</v>
      </c>
      <c r="O194">
        <v>8.3053000000000008</v>
      </c>
      <c r="P194">
        <v>69.21083333</v>
      </c>
      <c r="Q194">
        <v>0</v>
      </c>
      <c r="R194">
        <v>2498.5110829999999</v>
      </c>
      <c r="S194">
        <v>2498.5110829999999</v>
      </c>
      <c r="T194">
        <v>0.43333333299999999</v>
      </c>
      <c r="U194">
        <v>0.43680555599999998</v>
      </c>
      <c r="V194">
        <v>0</v>
      </c>
      <c r="W194">
        <v>2</v>
      </c>
      <c r="X194">
        <v>100</v>
      </c>
      <c r="Y194">
        <v>60</v>
      </c>
      <c r="Z194">
        <v>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</row>
    <row r="195" spans="1:94" x14ac:dyDescent="0.35">
      <c r="A195">
        <v>194</v>
      </c>
      <c r="B195">
        <v>45513</v>
      </c>
      <c r="C195" t="s">
        <v>226</v>
      </c>
      <c r="D195" t="s">
        <v>215</v>
      </c>
      <c r="E195" t="s">
        <v>95</v>
      </c>
      <c r="F195" t="s">
        <v>216</v>
      </c>
      <c r="G195" t="s">
        <v>97</v>
      </c>
      <c r="H195">
        <v>1006</v>
      </c>
      <c r="I195" t="s">
        <v>105</v>
      </c>
      <c r="J195">
        <v>4</v>
      </c>
      <c r="K195" t="s">
        <v>111</v>
      </c>
      <c r="L195">
        <v>8</v>
      </c>
      <c r="M195" t="s">
        <v>100</v>
      </c>
      <c r="N195">
        <v>41.2</v>
      </c>
      <c r="O195">
        <v>1.6981120000000001</v>
      </c>
      <c r="P195">
        <v>13.584896000000001</v>
      </c>
      <c r="Q195">
        <v>0</v>
      </c>
      <c r="R195">
        <v>559.69771519999995</v>
      </c>
      <c r="S195">
        <v>559.69771519999995</v>
      </c>
      <c r="T195">
        <v>0.49583333299999999</v>
      </c>
      <c r="U195">
        <v>0.49930555599999998</v>
      </c>
      <c r="V195">
        <v>0</v>
      </c>
      <c r="W195">
        <v>3</v>
      </c>
      <c r="X195">
        <v>100</v>
      </c>
      <c r="Y195">
        <v>61</v>
      </c>
      <c r="Z195">
        <v>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</row>
    <row r="196" spans="1:94" x14ac:dyDescent="0.35">
      <c r="A196">
        <v>2</v>
      </c>
      <c r="B196">
        <v>45476</v>
      </c>
      <c r="C196" t="s">
        <v>93</v>
      </c>
      <c r="D196" t="s">
        <v>121</v>
      </c>
      <c r="F196" t="s">
        <v>122</v>
      </c>
      <c r="G196" t="s">
        <v>103</v>
      </c>
      <c r="H196">
        <v>2068</v>
      </c>
      <c r="I196" t="s">
        <v>98</v>
      </c>
      <c r="J196">
        <v>4</v>
      </c>
      <c r="K196" t="s">
        <v>123</v>
      </c>
      <c r="M196">
        <v>82</v>
      </c>
      <c r="N196">
        <v>278.5</v>
      </c>
      <c r="O196" t="e">
        <v>#VALUE!</v>
      </c>
      <c r="P196">
        <v>0</v>
      </c>
      <c r="Q196">
        <v>22837</v>
      </c>
      <c r="R196">
        <v>0</v>
      </c>
      <c r="S196">
        <v>22837</v>
      </c>
      <c r="T196">
        <v>0.64236111100000004</v>
      </c>
      <c r="U196">
        <v>0.64791666699999995</v>
      </c>
      <c r="V196">
        <v>0</v>
      </c>
      <c r="W196">
        <v>2</v>
      </c>
      <c r="X196">
        <v>10</v>
      </c>
      <c r="Y196">
        <v>85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</row>
    <row r="197" spans="1:94" x14ac:dyDescent="0.35">
      <c r="A197">
        <v>4</v>
      </c>
      <c r="B197">
        <v>45481</v>
      </c>
      <c r="C197" t="s">
        <v>93</v>
      </c>
      <c r="D197" t="s">
        <v>181</v>
      </c>
      <c r="F197" t="s">
        <v>182</v>
      </c>
      <c r="G197" t="s">
        <v>97</v>
      </c>
      <c r="H197">
        <v>20012</v>
      </c>
      <c r="I197" t="s">
        <v>105</v>
      </c>
      <c r="J197">
        <v>4</v>
      </c>
      <c r="K197" t="s">
        <v>111</v>
      </c>
      <c r="M197" t="s">
        <v>100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s">
        <v>100</v>
      </c>
      <c r="T197">
        <v>0.60972222200000004</v>
      </c>
      <c r="U197">
        <v>0.114583333</v>
      </c>
      <c r="V197">
        <v>0</v>
      </c>
      <c r="W197">
        <v>1</v>
      </c>
      <c r="X197">
        <v>25</v>
      </c>
      <c r="Y197">
        <v>80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</row>
    <row r="198" spans="1:94" x14ac:dyDescent="0.35">
      <c r="A198">
        <v>8</v>
      </c>
      <c r="B198">
        <v>45481</v>
      </c>
      <c r="C198" t="s">
        <v>93</v>
      </c>
      <c r="D198" t="s">
        <v>283</v>
      </c>
      <c r="F198" t="s">
        <v>284</v>
      </c>
      <c r="G198" t="s">
        <v>103</v>
      </c>
      <c r="H198">
        <v>17030</v>
      </c>
      <c r="I198" t="s">
        <v>105</v>
      </c>
      <c r="J198">
        <v>4</v>
      </c>
      <c r="K198" t="s">
        <v>106</v>
      </c>
      <c r="M198">
        <v>22</v>
      </c>
      <c r="N198">
        <v>93.9</v>
      </c>
      <c r="O198">
        <v>39.25</v>
      </c>
      <c r="P198">
        <v>0</v>
      </c>
      <c r="Q198">
        <v>2065.8000000000002</v>
      </c>
      <c r="R198">
        <v>0</v>
      </c>
      <c r="S198">
        <v>2065.8000000000002</v>
      </c>
      <c r="T198">
        <v>0.65138888900000003</v>
      </c>
      <c r="U198">
        <v>0.65694444399999996</v>
      </c>
      <c r="V198">
        <v>0</v>
      </c>
      <c r="W198">
        <v>1</v>
      </c>
      <c r="X198">
        <v>20</v>
      </c>
      <c r="Y198">
        <v>80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 t="s">
        <v>285</v>
      </c>
    </row>
    <row r="199" spans="1:94" x14ac:dyDescent="0.35">
      <c r="A199">
        <v>19</v>
      </c>
      <c r="B199">
        <v>45490</v>
      </c>
      <c r="C199" t="s">
        <v>93</v>
      </c>
      <c r="D199" t="s">
        <v>286</v>
      </c>
      <c r="F199" t="s">
        <v>155</v>
      </c>
      <c r="G199" t="s">
        <v>103</v>
      </c>
      <c r="H199">
        <v>16025</v>
      </c>
      <c r="I199" t="s">
        <v>105</v>
      </c>
      <c r="J199">
        <v>4</v>
      </c>
      <c r="K199" t="s">
        <v>106</v>
      </c>
      <c r="M199" t="s">
        <v>100</v>
      </c>
      <c r="N199">
        <v>245</v>
      </c>
      <c r="O199">
        <v>3.4073996370000001</v>
      </c>
      <c r="P199">
        <v>0</v>
      </c>
      <c r="Q199">
        <v>0</v>
      </c>
      <c r="R199">
        <v>0</v>
      </c>
      <c r="S199" t="s">
        <v>100</v>
      </c>
      <c r="T199">
        <v>0.625</v>
      </c>
      <c r="U199">
        <v>0.62847222199999997</v>
      </c>
      <c r="V199">
        <v>0</v>
      </c>
      <c r="W199">
        <v>2</v>
      </c>
      <c r="X199">
        <v>25</v>
      </c>
      <c r="Y199">
        <v>75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</row>
    <row r="200" spans="1:94" x14ac:dyDescent="0.35">
      <c r="A200">
        <v>22</v>
      </c>
      <c r="B200">
        <v>45490</v>
      </c>
      <c r="C200" t="s">
        <v>93</v>
      </c>
      <c r="D200" t="s">
        <v>191</v>
      </c>
      <c r="F200" t="s">
        <v>192</v>
      </c>
      <c r="G200" t="s">
        <v>97</v>
      </c>
      <c r="H200">
        <v>13029</v>
      </c>
      <c r="I200" t="s">
        <v>110</v>
      </c>
      <c r="J200">
        <v>4</v>
      </c>
      <c r="K200" t="s">
        <v>111</v>
      </c>
      <c r="M200" t="s">
        <v>100</v>
      </c>
      <c r="N200">
        <v>4.5</v>
      </c>
      <c r="O200">
        <v>5.8505173309999998</v>
      </c>
      <c r="P200">
        <v>0</v>
      </c>
      <c r="Q200">
        <v>0</v>
      </c>
      <c r="R200">
        <v>0</v>
      </c>
      <c r="S200" t="s">
        <v>100</v>
      </c>
      <c r="T200">
        <v>0.42013888900000002</v>
      </c>
      <c r="U200">
        <v>0.42361111099999998</v>
      </c>
      <c r="V200">
        <v>0</v>
      </c>
      <c r="W200">
        <v>2</v>
      </c>
      <c r="X200">
        <v>0</v>
      </c>
      <c r="Y200">
        <v>71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</row>
    <row r="201" spans="1:94" x14ac:dyDescent="0.35">
      <c r="A201">
        <v>23</v>
      </c>
      <c r="B201">
        <v>45490</v>
      </c>
      <c r="C201" t="s">
        <v>93</v>
      </c>
      <c r="D201" t="s">
        <v>252</v>
      </c>
      <c r="F201" t="s">
        <v>235</v>
      </c>
      <c r="G201" t="s">
        <v>97</v>
      </c>
      <c r="H201">
        <v>1004</v>
      </c>
      <c r="I201" t="s">
        <v>105</v>
      </c>
      <c r="J201">
        <v>4</v>
      </c>
      <c r="K201" t="s">
        <v>111</v>
      </c>
      <c r="M201" t="s">
        <v>100</v>
      </c>
      <c r="N201">
        <v>98.3</v>
      </c>
      <c r="O201">
        <v>21.003519279999999</v>
      </c>
      <c r="P201">
        <v>0</v>
      </c>
      <c r="Q201">
        <v>0</v>
      </c>
      <c r="R201">
        <v>0</v>
      </c>
      <c r="S201" t="s">
        <v>100</v>
      </c>
      <c r="T201">
        <v>0.69444444400000005</v>
      </c>
      <c r="U201">
        <v>0.69791666699999999</v>
      </c>
      <c r="V201">
        <v>0</v>
      </c>
      <c r="W201">
        <v>2</v>
      </c>
      <c r="X201">
        <v>40</v>
      </c>
      <c r="Y201">
        <v>75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 t="s">
        <v>287</v>
      </c>
    </row>
    <row r="202" spans="1:94" x14ac:dyDescent="0.35">
      <c r="A202">
        <v>27</v>
      </c>
      <c r="B202">
        <v>45490</v>
      </c>
      <c r="C202" t="s">
        <v>93</v>
      </c>
      <c r="D202" t="s">
        <v>253</v>
      </c>
      <c r="F202" t="s">
        <v>242</v>
      </c>
      <c r="G202" t="s">
        <v>97</v>
      </c>
      <c r="H202">
        <v>11044</v>
      </c>
      <c r="I202" t="s">
        <v>114</v>
      </c>
      <c r="J202">
        <v>4</v>
      </c>
      <c r="K202" t="s">
        <v>99</v>
      </c>
      <c r="M202" t="s">
        <v>100</v>
      </c>
      <c r="N202">
        <v>88.6</v>
      </c>
      <c r="O202">
        <v>4.4121976270000003</v>
      </c>
      <c r="P202">
        <v>0</v>
      </c>
      <c r="Q202">
        <v>0</v>
      </c>
      <c r="R202">
        <v>0</v>
      </c>
      <c r="S202" t="s">
        <v>100</v>
      </c>
      <c r="T202">
        <v>0.68472222199999999</v>
      </c>
      <c r="U202">
        <v>0.68819444399999996</v>
      </c>
      <c r="V202">
        <v>0</v>
      </c>
      <c r="W202">
        <v>2</v>
      </c>
      <c r="X202">
        <v>50</v>
      </c>
      <c r="Y202">
        <v>75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 t="s">
        <v>288</v>
      </c>
    </row>
    <row r="203" spans="1:94" x14ac:dyDescent="0.35">
      <c r="A203">
        <v>33</v>
      </c>
      <c r="B203">
        <v>45490</v>
      </c>
      <c r="C203" t="s">
        <v>93</v>
      </c>
      <c r="D203" t="s">
        <v>289</v>
      </c>
      <c r="F203" t="s">
        <v>290</v>
      </c>
      <c r="G203" t="s">
        <v>103</v>
      </c>
      <c r="H203">
        <v>14020</v>
      </c>
      <c r="I203" t="s">
        <v>114</v>
      </c>
      <c r="J203">
        <v>4</v>
      </c>
      <c r="K203" t="s">
        <v>106</v>
      </c>
      <c r="M203" t="s">
        <v>100</v>
      </c>
      <c r="N203">
        <v>371.4</v>
      </c>
      <c r="O203">
        <v>21.591001980000001</v>
      </c>
      <c r="P203">
        <v>0</v>
      </c>
      <c r="Q203">
        <v>0</v>
      </c>
      <c r="R203">
        <v>0</v>
      </c>
      <c r="S203" t="s">
        <v>100</v>
      </c>
      <c r="T203">
        <v>0.56805555600000002</v>
      </c>
      <c r="U203">
        <v>0.57152777799999999</v>
      </c>
      <c r="V203">
        <v>0</v>
      </c>
      <c r="W203">
        <v>2</v>
      </c>
      <c r="X203">
        <v>25</v>
      </c>
      <c r="Y203">
        <v>75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</row>
    <row r="204" spans="1:94" x14ac:dyDescent="0.35">
      <c r="A204">
        <v>37</v>
      </c>
      <c r="B204">
        <v>45490</v>
      </c>
      <c r="C204" t="s">
        <v>93</v>
      </c>
      <c r="D204" t="s">
        <v>260</v>
      </c>
      <c r="F204" t="s">
        <v>261</v>
      </c>
      <c r="G204" t="s">
        <v>103</v>
      </c>
      <c r="H204">
        <v>16027</v>
      </c>
      <c r="I204" t="s">
        <v>105</v>
      </c>
      <c r="J204">
        <v>4</v>
      </c>
      <c r="K204" t="s">
        <v>106</v>
      </c>
      <c r="M204" t="s">
        <v>100</v>
      </c>
      <c r="N204">
        <v>684</v>
      </c>
      <c r="O204">
        <v>8.2044997199999994</v>
      </c>
      <c r="P204">
        <v>0</v>
      </c>
      <c r="Q204">
        <v>0</v>
      </c>
      <c r="R204">
        <v>0</v>
      </c>
      <c r="S204" t="s">
        <v>100</v>
      </c>
      <c r="T204">
        <v>0.63194444400000005</v>
      </c>
      <c r="U204">
        <v>0.63541666699999999</v>
      </c>
      <c r="V204">
        <v>0</v>
      </c>
      <c r="W204">
        <v>2</v>
      </c>
      <c r="X204">
        <v>25</v>
      </c>
      <c r="Y204">
        <v>75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</row>
    <row r="205" spans="1:94" x14ac:dyDescent="0.35">
      <c r="A205">
        <v>39</v>
      </c>
      <c r="B205">
        <v>45490</v>
      </c>
      <c r="C205" t="s">
        <v>93</v>
      </c>
      <c r="D205" t="s">
        <v>291</v>
      </c>
      <c r="F205" t="s">
        <v>292</v>
      </c>
      <c r="G205" t="s">
        <v>103</v>
      </c>
      <c r="H205">
        <v>11029</v>
      </c>
      <c r="I205" t="s">
        <v>114</v>
      </c>
      <c r="J205">
        <v>4</v>
      </c>
      <c r="K205" t="s">
        <v>123</v>
      </c>
      <c r="L205">
        <v>3</v>
      </c>
      <c r="M205" t="s">
        <v>100</v>
      </c>
      <c r="N205">
        <v>424.5</v>
      </c>
      <c r="O205">
        <v>3.8935922129999998</v>
      </c>
      <c r="P205">
        <v>11.680776639999999</v>
      </c>
      <c r="Q205">
        <v>0</v>
      </c>
      <c r="R205">
        <v>4958.4896829999998</v>
      </c>
      <c r="S205">
        <v>4958.4896829999998</v>
      </c>
      <c r="T205">
        <v>0.61736111100000002</v>
      </c>
      <c r="U205">
        <v>0.62083333299999999</v>
      </c>
      <c r="V205">
        <v>0</v>
      </c>
      <c r="W205">
        <v>2</v>
      </c>
      <c r="X205">
        <v>25</v>
      </c>
      <c r="Y205">
        <v>75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</row>
    <row r="206" spans="1:94" x14ac:dyDescent="0.35">
      <c r="A206">
        <v>41</v>
      </c>
      <c r="B206">
        <v>45491</v>
      </c>
      <c r="C206" t="s">
        <v>93</v>
      </c>
      <c r="D206" t="s">
        <v>94</v>
      </c>
      <c r="F206" t="s">
        <v>96</v>
      </c>
      <c r="G206" t="s">
        <v>97</v>
      </c>
      <c r="H206">
        <v>5026</v>
      </c>
      <c r="I206" t="s">
        <v>98</v>
      </c>
      <c r="J206">
        <v>4</v>
      </c>
      <c r="K206" t="s">
        <v>99</v>
      </c>
      <c r="M206" t="s">
        <v>100</v>
      </c>
      <c r="N206" t="s">
        <v>100</v>
      </c>
      <c r="O206" t="e">
        <v>#VALUE!</v>
      </c>
      <c r="P206" t="e">
        <v>#VALUE!</v>
      </c>
      <c r="Q206" t="e">
        <v>#VALUE!</v>
      </c>
      <c r="R206" t="e">
        <v>#VALUE!</v>
      </c>
      <c r="S206" t="s">
        <v>100</v>
      </c>
      <c r="T206">
        <v>0.5625</v>
      </c>
      <c r="U206">
        <v>0.56597222199999997</v>
      </c>
      <c r="V206">
        <v>0</v>
      </c>
      <c r="W206">
        <v>2</v>
      </c>
      <c r="X206">
        <v>35</v>
      </c>
      <c r="Y206">
        <v>73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 t="s">
        <v>293</v>
      </c>
    </row>
    <row r="207" spans="1:94" x14ac:dyDescent="0.35">
      <c r="A207">
        <v>49</v>
      </c>
      <c r="B207">
        <v>45495</v>
      </c>
      <c r="C207" t="s">
        <v>93</v>
      </c>
      <c r="D207" t="s">
        <v>241</v>
      </c>
      <c r="F207" t="s">
        <v>242</v>
      </c>
      <c r="G207" t="s">
        <v>97</v>
      </c>
      <c r="H207">
        <v>11044</v>
      </c>
      <c r="I207" t="s">
        <v>114</v>
      </c>
      <c r="J207">
        <v>4</v>
      </c>
      <c r="K207" t="s">
        <v>99</v>
      </c>
      <c r="L207">
        <v>11.6</v>
      </c>
      <c r="M207" t="s">
        <v>100</v>
      </c>
      <c r="N207">
        <v>174.2</v>
      </c>
      <c r="O207">
        <v>4.0191999999999997</v>
      </c>
      <c r="P207">
        <v>46.622720000000001</v>
      </c>
      <c r="Q207">
        <v>0</v>
      </c>
      <c r="R207">
        <v>8121.6778240000003</v>
      </c>
      <c r="S207">
        <v>8121.6778240000003</v>
      </c>
      <c r="T207">
        <v>0.64583333300000001</v>
      </c>
      <c r="U207">
        <v>0.64930555599999995</v>
      </c>
      <c r="V207">
        <v>0</v>
      </c>
      <c r="W207">
        <v>1</v>
      </c>
      <c r="X207">
        <v>75</v>
      </c>
      <c r="Y207">
        <v>79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</row>
    <row r="208" spans="1:94" x14ac:dyDescent="0.35">
      <c r="A208">
        <v>57</v>
      </c>
      <c r="B208">
        <v>45496</v>
      </c>
      <c r="C208" t="s">
        <v>93</v>
      </c>
      <c r="D208" t="s">
        <v>294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>
        <v>2.6666666669999999</v>
      </c>
      <c r="M208" t="s">
        <v>100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>
        <v>0.490277778</v>
      </c>
      <c r="U208">
        <v>0.49375000000000002</v>
      </c>
      <c r="V208">
        <v>0</v>
      </c>
      <c r="W208">
        <v>1</v>
      </c>
      <c r="X208">
        <v>100</v>
      </c>
      <c r="Y208">
        <v>74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</row>
    <row r="209" spans="1:94" x14ac:dyDescent="0.35">
      <c r="A209">
        <v>58</v>
      </c>
      <c r="B209">
        <v>45498</v>
      </c>
      <c r="C209" t="s">
        <v>93</v>
      </c>
      <c r="D209" t="s">
        <v>227</v>
      </c>
      <c r="F209" t="s">
        <v>140</v>
      </c>
      <c r="G209" t="s">
        <v>97</v>
      </c>
      <c r="H209">
        <v>7045</v>
      </c>
      <c r="I209" t="s">
        <v>114</v>
      </c>
      <c r="J209">
        <v>4</v>
      </c>
      <c r="K209" t="s">
        <v>99</v>
      </c>
      <c r="L209" t="s">
        <v>100</v>
      </c>
      <c r="M209" t="s">
        <v>100</v>
      </c>
      <c r="N209">
        <v>79</v>
      </c>
      <c r="O209">
        <v>1.446912</v>
      </c>
      <c r="P209" t="e">
        <v>#VALUE!</v>
      </c>
      <c r="Q209">
        <v>0</v>
      </c>
      <c r="R209" t="e">
        <v>#VALUE!</v>
      </c>
      <c r="S209" t="s">
        <v>100</v>
      </c>
      <c r="T209">
        <v>0.69652777799999999</v>
      </c>
      <c r="U209">
        <v>0.7</v>
      </c>
      <c r="V209">
        <v>0</v>
      </c>
      <c r="W209">
        <v>1</v>
      </c>
      <c r="X209">
        <v>35</v>
      </c>
      <c r="Y209">
        <v>79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</row>
    <row r="210" spans="1:94" x14ac:dyDescent="0.35">
      <c r="A210">
        <v>61</v>
      </c>
      <c r="B210">
        <v>45498</v>
      </c>
      <c r="C210" t="s">
        <v>93</v>
      </c>
      <c r="D210" t="s">
        <v>228</v>
      </c>
      <c r="F210" t="s">
        <v>167</v>
      </c>
      <c r="G210" t="s">
        <v>97</v>
      </c>
      <c r="H210">
        <v>15012</v>
      </c>
      <c r="I210" t="s">
        <v>98</v>
      </c>
      <c r="J210">
        <v>4</v>
      </c>
      <c r="K210" t="s">
        <v>111</v>
      </c>
      <c r="L210">
        <v>3.6666666669999999</v>
      </c>
      <c r="M210" t="s">
        <v>100</v>
      </c>
      <c r="N210">
        <v>269.7</v>
      </c>
      <c r="O210">
        <v>7.5987999999999998</v>
      </c>
      <c r="P210">
        <v>27.86226667</v>
      </c>
      <c r="Q210">
        <v>0</v>
      </c>
      <c r="R210">
        <v>7514.4533199999996</v>
      </c>
      <c r="S210">
        <v>7514.4533199999996</v>
      </c>
      <c r="T210">
        <v>0.43055555600000001</v>
      </c>
      <c r="U210">
        <v>0.43402777799999998</v>
      </c>
      <c r="V210">
        <v>0</v>
      </c>
      <c r="W210">
        <v>1</v>
      </c>
      <c r="X210">
        <v>35</v>
      </c>
      <c r="Y210">
        <v>79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</row>
    <row r="211" spans="1:94" x14ac:dyDescent="0.35">
      <c r="A211">
        <v>62</v>
      </c>
      <c r="B211">
        <v>45498</v>
      </c>
      <c r="C211" t="s">
        <v>93</v>
      </c>
      <c r="D211" t="s">
        <v>101</v>
      </c>
      <c r="F211" t="s">
        <v>102</v>
      </c>
      <c r="G211" t="s">
        <v>103</v>
      </c>
      <c r="H211" t="s">
        <v>104</v>
      </c>
      <c r="I211" t="s">
        <v>105</v>
      </c>
      <c r="J211">
        <v>4</v>
      </c>
      <c r="K211" t="s">
        <v>106</v>
      </c>
      <c r="L211">
        <v>1</v>
      </c>
      <c r="M211" t="s">
        <v>100</v>
      </c>
      <c r="N211">
        <v>388.8</v>
      </c>
      <c r="O211">
        <v>8.3053000000000008</v>
      </c>
      <c r="P211">
        <v>8.3053000000000008</v>
      </c>
      <c r="Q211">
        <v>0</v>
      </c>
      <c r="R211">
        <v>3229.1006400000001</v>
      </c>
      <c r="S211">
        <v>3229.1006400000001</v>
      </c>
      <c r="T211">
        <v>0.54027777799999999</v>
      </c>
      <c r="U211">
        <v>0.54374999999999996</v>
      </c>
      <c r="V211">
        <v>0</v>
      </c>
      <c r="W211">
        <v>1</v>
      </c>
      <c r="X211">
        <v>40</v>
      </c>
      <c r="Y211">
        <v>74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</row>
    <row r="212" spans="1:94" x14ac:dyDescent="0.35">
      <c r="A212">
        <v>68</v>
      </c>
      <c r="B212">
        <v>45498</v>
      </c>
      <c r="C212" t="s">
        <v>93</v>
      </c>
      <c r="D212" t="s">
        <v>224</v>
      </c>
      <c r="F212" t="s">
        <v>225</v>
      </c>
      <c r="G212" t="s">
        <v>97</v>
      </c>
      <c r="H212">
        <v>16012</v>
      </c>
      <c r="I212" t="s">
        <v>98</v>
      </c>
      <c r="J212">
        <v>4</v>
      </c>
      <c r="K212" t="s">
        <v>99</v>
      </c>
      <c r="M212" t="s">
        <v>100</v>
      </c>
      <c r="N212" t="s">
        <v>100</v>
      </c>
      <c r="O212" t="e">
        <v>#VALUE!</v>
      </c>
      <c r="P212" t="e">
        <v>#VALUE!</v>
      </c>
      <c r="Q212" t="e">
        <v>#VALUE!</v>
      </c>
      <c r="R212" t="e">
        <v>#VALUE!</v>
      </c>
      <c r="S212" t="s">
        <v>100</v>
      </c>
      <c r="T212" t="s">
        <v>100</v>
      </c>
      <c r="U212" t="s">
        <v>100</v>
      </c>
      <c r="V212" t="s">
        <v>100</v>
      </c>
      <c r="W212" t="s">
        <v>100</v>
      </c>
      <c r="X212" t="s">
        <v>100</v>
      </c>
      <c r="Y212" t="s">
        <v>100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</row>
    <row r="213" spans="1:94" x14ac:dyDescent="0.35">
      <c r="A213">
        <v>69</v>
      </c>
      <c r="B213">
        <v>45498</v>
      </c>
      <c r="C213" t="s">
        <v>93</v>
      </c>
      <c r="D213" t="s">
        <v>234</v>
      </c>
      <c r="F213" t="s">
        <v>235</v>
      </c>
      <c r="G213" t="s">
        <v>97</v>
      </c>
      <c r="H213">
        <v>1004</v>
      </c>
      <c r="I213" t="s">
        <v>114</v>
      </c>
      <c r="J213">
        <v>4</v>
      </c>
      <c r="K213" t="s">
        <v>111</v>
      </c>
      <c r="L213">
        <v>2.3333333330000001</v>
      </c>
      <c r="M213" t="s">
        <v>100</v>
      </c>
      <c r="N213">
        <v>174.4</v>
      </c>
      <c r="O213">
        <v>44.668942919999999</v>
      </c>
      <c r="P213">
        <v>104.22753350000001</v>
      </c>
      <c r="Q213">
        <v>0</v>
      </c>
      <c r="R213">
        <v>18177.28184</v>
      </c>
      <c r="S213">
        <v>18177.28184</v>
      </c>
      <c r="T213">
        <v>0.42708333300000001</v>
      </c>
      <c r="U213">
        <v>0.43055555600000001</v>
      </c>
      <c r="V213">
        <v>0</v>
      </c>
      <c r="W213">
        <v>1</v>
      </c>
      <c r="X213">
        <v>35</v>
      </c>
      <c r="Y213">
        <v>79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</row>
    <row r="214" spans="1:94" x14ac:dyDescent="0.35">
      <c r="A214">
        <v>78</v>
      </c>
      <c r="B214">
        <v>45499</v>
      </c>
      <c r="C214" t="s">
        <v>93</v>
      </c>
      <c r="D214" t="s">
        <v>124</v>
      </c>
      <c r="F214" t="s">
        <v>125</v>
      </c>
      <c r="G214" t="s">
        <v>97</v>
      </c>
      <c r="H214">
        <v>14026</v>
      </c>
      <c r="I214" t="s">
        <v>105</v>
      </c>
      <c r="J214">
        <v>4</v>
      </c>
      <c r="K214" t="s">
        <v>111</v>
      </c>
      <c r="L214">
        <v>12</v>
      </c>
      <c r="M214" t="s">
        <v>100</v>
      </c>
      <c r="N214">
        <v>76.5</v>
      </c>
      <c r="O214">
        <v>8.5731957570000006</v>
      </c>
      <c r="P214">
        <v>102.87834909999999</v>
      </c>
      <c r="Q214">
        <v>0</v>
      </c>
      <c r="R214">
        <v>7870.1937049999997</v>
      </c>
      <c r="S214">
        <v>7870.1937049999997</v>
      </c>
      <c r="T214">
        <v>0.75763888899999998</v>
      </c>
      <c r="U214">
        <v>0.76111111099999995</v>
      </c>
      <c r="V214">
        <v>0</v>
      </c>
      <c r="W214">
        <v>1</v>
      </c>
      <c r="X214">
        <v>0</v>
      </c>
      <c r="Y214">
        <v>81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</row>
    <row r="215" spans="1:94" x14ac:dyDescent="0.35">
      <c r="A215">
        <v>83</v>
      </c>
      <c r="B215">
        <v>45499</v>
      </c>
      <c r="C215" t="s">
        <v>93</v>
      </c>
      <c r="D215" t="s">
        <v>229</v>
      </c>
      <c r="F215" t="s">
        <v>230</v>
      </c>
      <c r="G215" t="s">
        <v>97</v>
      </c>
      <c r="H215">
        <v>15049</v>
      </c>
      <c r="I215" t="s">
        <v>114</v>
      </c>
      <c r="J215">
        <v>4</v>
      </c>
      <c r="K215" t="s">
        <v>111</v>
      </c>
      <c r="L215">
        <v>0.66666666699999999</v>
      </c>
      <c r="M215" t="s">
        <v>100</v>
      </c>
      <c r="N215">
        <v>107.9</v>
      </c>
      <c r="O215">
        <v>1.5078279999999999</v>
      </c>
      <c r="P215">
        <v>1.0052186670000001</v>
      </c>
      <c r="Q215">
        <v>0</v>
      </c>
      <c r="R215">
        <v>108.46309410000001</v>
      </c>
      <c r="S215">
        <v>108.46309410000001</v>
      </c>
      <c r="T215">
        <v>0.36736111100000002</v>
      </c>
      <c r="U215">
        <v>0.36875000000000002</v>
      </c>
      <c r="V215">
        <v>0</v>
      </c>
      <c r="W215">
        <v>1</v>
      </c>
      <c r="X215">
        <v>0</v>
      </c>
      <c r="Y215">
        <v>69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 t="s">
        <v>295</v>
      </c>
    </row>
    <row r="216" spans="1:94" x14ac:dyDescent="0.35">
      <c r="A216">
        <v>91</v>
      </c>
      <c r="B216">
        <v>45499</v>
      </c>
      <c r="C216" t="s">
        <v>93</v>
      </c>
      <c r="D216" t="s">
        <v>296</v>
      </c>
      <c r="F216" t="s">
        <v>163</v>
      </c>
      <c r="G216" t="s">
        <v>97</v>
      </c>
      <c r="H216" t="s">
        <v>297</v>
      </c>
      <c r="I216" t="s">
        <v>105</v>
      </c>
      <c r="J216">
        <v>4</v>
      </c>
      <c r="K216" t="s">
        <v>99</v>
      </c>
      <c r="L216">
        <v>0.3</v>
      </c>
      <c r="M216" t="s">
        <v>100</v>
      </c>
      <c r="N216" t="s">
        <v>100</v>
      </c>
      <c r="O216">
        <v>0</v>
      </c>
      <c r="P216">
        <v>0</v>
      </c>
      <c r="Q216" t="e">
        <v>#VALUE!</v>
      </c>
      <c r="R216" t="e">
        <v>#VALUE!</v>
      </c>
      <c r="S216" t="s">
        <v>100</v>
      </c>
      <c r="T216">
        <v>0.373611111</v>
      </c>
      <c r="U216">
        <v>0.38402777799999999</v>
      </c>
      <c r="V216">
        <v>0</v>
      </c>
      <c r="W216">
        <v>1</v>
      </c>
      <c r="X216">
        <v>0</v>
      </c>
      <c r="Y216">
        <v>69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</row>
    <row r="217" spans="1:94" x14ac:dyDescent="0.35">
      <c r="A217">
        <v>96</v>
      </c>
      <c r="B217">
        <v>45499</v>
      </c>
      <c r="C217" t="s">
        <v>93</v>
      </c>
      <c r="D217" t="s">
        <v>250</v>
      </c>
      <c r="F217" t="s">
        <v>233</v>
      </c>
      <c r="G217" t="s">
        <v>97</v>
      </c>
      <c r="H217">
        <v>12020</v>
      </c>
      <c r="I217" t="s">
        <v>98</v>
      </c>
      <c r="J217">
        <v>4</v>
      </c>
      <c r="K217" t="s">
        <v>99</v>
      </c>
      <c r="L217">
        <v>5.6666666670000003</v>
      </c>
      <c r="M217" t="s">
        <v>100</v>
      </c>
      <c r="N217">
        <v>167.9</v>
      </c>
      <c r="O217">
        <v>16.08081945</v>
      </c>
      <c r="P217">
        <v>91.124643559999996</v>
      </c>
      <c r="Q217">
        <v>0</v>
      </c>
      <c r="R217">
        <v>15299.827649999999</v>
      </c>
      <c r="S217">
        <v>15299.827649999999</v>
      </c>
      <c r="T217">
        <v>0.72777777799999999</v>
      </c>
      <c r="U217">
        <v>0.73124999999999996</v>
      </c>
      <c r="V217">
        <v>0</v>
      </c>
      <c r="W217">
        <v>2</v>
      </c>
      <c r="X217">
        <v>0</v>
      </c>
      <c r="Y217">
        <v>81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</row>
    <row r="218" spans="1:94" x14ac:dyDescent="0.35">
      <c r="A218">
        <v>100</v>
      </c>
      <c r="B218">
        <v>45499</v>
      </c>
      <c r="C218" t="s">
        <v>93</v>
      </c>
      <c r="D218" t="s">
        <v>260</v>
      </c>
      <c r="F218" t="s">
        <v>261</v>
      </c>
      <c r="G218" t="s">
        <v>103</v>
      </c>
      <c r="H218">
        <v>16027</v>
      </c>
      <c r="I218" t="s">
        <v>105</v>
      </c>
      <c r="J218">
        <v>4</v>
      </c>
      <c r="K218" t="s">
        <v>106</v>
      </c>
      <c r="L218">
        <v>0</v>
      </c>
      <c r="M218" t="s">
        <v>100</v>
      </c>
      <c r="N218">
        <v>684</v>
      </c>
      <c r="O218">
        <v>8.2044997199999994</v>
      </c>
      <c r="P218">
        <v>0</v>
      </c>
      <c r="Q218">
        <v>0</v>
      </c>
      <c r="R218">
        <v>0</v>
      </c>
      <c r="S218">
        <v>0</v>
      </c>
      <c r="T218">
        <v>0.78819444400000005</v>
      </c>
      <c r="U218">
        <v>0.79166666699999999</v>
      </c>
      <c r="V218">
        <v>0</v>
      </c>
      <c r="W218">
        <v>1</v>
      </c>
      <c r="X218">
        <v>0</v>
      </c>
      <c r="Y218">
        <v>80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 t="s">
        <v>298</v>
      </c>
    </row>
    <row r="219" spans="1:94" x14ac:dyDescent="0.35">
      <c r="A219">
        <v>101</v>
      </c>
      <c r="B219">
        <v>45499</v>
      </c>
      <c r="C219" t="s">
        <v>93</v>
      </c>
      <c r="D219" t="s">
        <v>151</v>
      </c>
      <c r="F219" t="s">
        <v>108</v>
      </c>
      <c r="G219" t="s">
        <v>97</v>
      </c>
      <c r="H219" t="s">
        <v>152</v>
      </c>
      <c r="I219" t="s">
        <v>110</v>
      </c>
      <c r="J219">
        <v>4</v>
      </c>
      <c r="K219" t="s">
        <v>111</v>
      </c>
      <c r="L219">
        <v>8.6666666669999994</v>
      </c>
      <c r="M219" t="s">
        <v>100</v>
      </c>
      <c r="N219">
        <v>27.1</v>
      </c>
      <c r="O219">
        <v>5.2508798209999998</v>
      </c>
      <c r="P219">
        <v>45.507625109999999</v>
      </c>
      <c r="Q219">
        <v>0</v>
      </c>
      <c r="R219">
        <v>1233.2566409999999</v>
      </c>
      <c r="S219">
        <v>1233.2566409999999</v>
      </c>
      <c r="T219">
        <v>0.75</v>
      </c>
      <c r="U219">
        <v>0.75347222199999997</v>
      </c>
      <c r="V219">
        <v>0</v>
      </c>
      <c r="W219">
        <v>1</v>
      </c>
      <c r="X219">
        <v>0</v>
      </c>
      <c r="Y219">
        <v>81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 t="s">
        <v>295</v>
      </c>
    </row>
    <row r="220" spans="1:94" x14ac:dyDescent="0.35">
      <c r="A220">
        <v>103</v>
      </c>
      <c r="B220">
        <v>45501</v>
      </c>
      <c r="C220" t="s">
        <v>93</v>
      </c>
      <c r="D220" t="s">
        <v>112</v>
      </c>
      <c r="F220" t="s">
        <v>113</v>
      </c>
      <c r="G220" t="s">
        <v>97</v>
      </c>
      <c r="H220">
        <v>11045</v>
      </c>
      <c r="I220" t="s">
        <v>114</v>
      </c>
      <c r="J220">
        <v>4</v>
      </c>
      <c r="K220" t="s">
        <v>111</v>
      </c>
      <c r="L220">
        <v>8.6</v>
      </c>
      <c r="M220" t="s">
        <v>100</v>
      </c>
      <c r="N220">
        <v>31</v>
      </c>
      <c r="O220">
        <v>9.0432000000000006</v>
      </c>
      <c r="P220">
        <v>77.771519999999995</v>
      </c>
      <c r="Q220">
        <v>0</v>
      </c>
      <c r="R220">
        <v>2410.9171200000001</v>
      </c>
      <c r="S220">
        <v>2410.9171200000001</v>
      </c>
      <c r="T220">
        <v>0.563888889</v>
      </c>
      <c r="U220">
        <v>0.56736111099999997</v>
      </c>
      <c r="V220">
        <v>0</v>
      </c>
      <c r="W220">
        <v>1</v>
      </c>
      <c r="X220">
        <v>35</v>
      </c>
      <c r="Y220">
        <v>78</v>
      </c>
      <c r="Z220">
        <v>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1</v>
      </c>
      <c r="CN220">
        <v>0</v>
      </c>
      <c r="CO220">
        <v>0</v>
      </c>
      <c r="CP220" t="s">
        <v>274</v>
      </c>
    </row>
    <row r="221" spans="1:94" x14ac:dyDescent="0.35">
      <c r="A221">
        <v>107</v>
      </c>
      <c r="B221">
        <v>45502</v>
      </c>
      <c r="C221" t="s">
        <v>93</v>
      </c>
      <c r="D221" t="s">
        <v>299</v>
      </c>
      <c r="F221" t="s">
        <v>300</v>
      </c>
      <c r="G221" t="s">
        <v>103</v>
      </c>
      <c r="H221">
        <v>17031</v>
      </c>
      <c r="I221" t="s">
        <v>105</v>
      </c>
      <c r="J221">
        <v>3</v>
      </c>
      <c r="K221" t="s">
        <v>106</v>
      </c>
      <c r="M221">
        <v>4</v>
      </c>
      <c r="N221">
        <v>111.7</v>
      </c>
      <c r="O221">
        <v>1.0047999999999999</v>
      </c>
      <c r="P221">
        <v>0</v>
      </c>
      <c r="Q221">
        <v>446.8</v>
      </c>
      <c r="R221">
        <v>0</v>
      </c>
      <c r="S221">
        <v>446.8</v>
      </c>
      <c r="T221">
        <v>0.720138889</v>
      </c>
      <c r="U221">
        <v>0.72361111099999997</v>
      </c>
      <c r="V221">
        <v>0</v>
      </c>
      <c r="W221">
        <v>1</v>
      </c>
      <c r="X221">
        <v>25</v>
      </c>
      <c r="Y221">
        <v>81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 t="s">
        <v>295</v>
      </c>
    </row>
    <row r="222" spans="1:94" x14ac:dyDescent="0.35">
      <c r="A222">
        <v>111</v>
      </c>
      <c r="B222">
        <v>45502</v>
      </c>
      <c r="C222" t="s">
        <v>93</v>
      </c>
      <c r="D222" t="s">
        <v>301</v>
      </c>
      <c r="F222" t="s">
        <v>261</v>
      </c>
      <c r="G222" t="s">
        <v>103</v>
      </c>
      <c r="H222">
        <v>16027</v>
      </c>
      <c r="I222" t="s">
        <v>105</v>
      </c>
      <c r="J222">
        <v>4</v>
      </c>
      <c r="K222" t="s">
        <v>106</v>
      </c>
      <c r="L222">
        <v>1</v>
      </c>
      <c r="M222" t="s">
        <v>100</v>
      </c>
      <c r="N222">
        <v>663.9</v>
      </c>
      <c r="O222">
        <v>12.3088</v>
      </c>
      <c r="P222">
        <v>12.3088</v>
      </c>
      <c r="Q222">
        <v>0</v>
      </c>
      <c r="R222">
        <v>8171.81232</v>
      </c>
      <c r="S222">
        <v>8171.81232</v>
      </c>
      <c r="T222">
        <v>0.74444444399999998</v>
      </c>
      <c r="U222">
        <v>0.74791666700000003</v>
      </c>
      <c r="V222">
        <v>0</v>
      </c>
      <c r="W222">
        <v>2</v>
      </c>
      <c r="X222">
        <v>25</v>
      </c>
      <c r="Y222">
        <v>81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</row>
    <row r="223" spans="1:94" x14ac:dyDescent="0.35">
      <c r="A223">
        <v>118</v>
      </c>
      <c r="B223">
        <v>45502</v>
      </c>
      <c r="C223" t="s">
        <v>93</v>
      </c>
      <c r="D223" t="s">
        <v>302</v>
      </c>
      <c r="F223" t="s">
        <v>303</v>
      </c>
      <c r="G223" t="s">
        <v>103</v>
      </c>
      <c r="H223">
        <v>9062</v>
      </c>
      <c r="I223" t="s">
        <v>105</v>
      </c>
      <c r="J223">
        <v>3</v>
      </c>
      <c r="K223" t="s">
        <v>106</v>
      </c>
      <c r="M223">
        <v>2</v>
      </c>
      <c r="N223">
        <v>4</v>
      </c>
      <c r="O223">
        <v>10.613200000000001</v>
      </c>
      <c r="P223">
        <v>0</v>
      </c>
      <c r="Q223">
        <v>8</v>
      </c>
      <c r="R223">
        <v>0</v>
      </c>
      <c r="S223">
        <v>8</v>
      </c>
      <c r="T223">
        <v>0.74027777800000005</v>
      </c>
      <c r="U223">
        <v>0.74375000000000002</v>
      </c>
      <c r="V223">
        <v>0</v>
      </c>
      <c r="W223">
        <v>2</v>
      </c>
      <c r="X223">
        <v>25</v>
      </c>
      <c r="Y223">
        <v>81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</row>
    <row r="224" spans="1:94" x14ac:dyDescent="0.35">
      <c r="A224">
        <v>120</v>
      </c>
      <c r="B224">
        <v>45503</v>
      </c>
      <c r="C224" t="s">
        <v>93</v>
      </c>
      <c r="D224" t="s">
        <v>168</v>
      </c>
      <c r="F224" t="s">
        <v>155</v>
      </c>
      <c r="G224" t="s">
        <v>103</v>
      </c>
      <c r="H224">
        <v>9050</v>
      </c>
      <c r="I224" t="s">
        <v>105</v>
      </c>
      <c r="J224">
        <v>4</v>
      </c>
      <c r="K224" t="s">
        <v>106</v>
      </c>
      <c r="M224">
        <v>2</v>
      </c>
      <c r="N224">
        <v>1180.7</v>
      </c>
      <c r="O224">
        <v>9.0432000000000006</v>
      </c>
      <c r="P224">
        <v>0</v>
      </c>
      <c r="Q224">
        <v>2361.4</v>
      </c>
      <c r="R224">
        <v>0</v>
      </c>
      <c r="S224">
        <v>2361.4</v>
      </c>
      <c r="T224">
        <v>0.69930555599999999</v>
      </c>
      <c r="U224">
        <v>0.70277777799999996</v>
      </c>
      <c r="V224">
        <v>0</v>
      </c>
      <c r="W224">
        <v>2</v>
      </c>
      <c r="X224">
        <v>80</v>
      </c>
      <c r="Y224">
        <v>87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 t="s">
        <v>304</v>
      </c>
    </row>
    <row r="225" spans="1:94" x14ac:dyDescent="0.35">
      <c r="A225">
        <v>123</v>
      </c>
      <c r="B225">
        <v>45503</v>
      </c>
      <c r="C225" t="s">
        <v>93</v>
      </c>
      <c r="D225" t="s">
        <v>112</v>
      </c>
      <c r="F225" t="s">
        <v>113</v>
      </c>
      <c r="G225" t="s">
        <v>97</v>
      </c>
      <c r="H225">
        <v>11045</v>
      </c>
      <c r="I225" t="s">
        <v>114</v>
      </c>
      <c r="J225">
        <v>4</v>
      </c>
      <c r="K225" t="s">
        <v>111</v>
      </c>
      <c r="L225">
        <v>11.33333333</v>
      </c>
      <c r="M225" t="s">
        <v>100</v>
      </c>
      <c r="N225">
        <v>31</v>
      </c>
      <c r="O225">
        <v>9.0432000000000006</v>
      </c>
      <c r="P225">
        <v>102.4896</v>
      </c>
      <c r="Q225">
        <v>0</v>
      </c>
      <c r="R225">
        <v>3177.1776</v>
      </c>
      <c r="S225">
        <v>3177.1776</v>
      </c>
      <c r="T225">
        <v>0.72916666699999999</v>
      </c>
      <c r="U225">
        <v>0.73263888899999996</v>
      </c>
      <c r="V225">
        <v>0</v>
      </c>
      <c r="W225">
        <v>2</v>
      </c>
      <c r="X225">
        <v>80</v>
      </c>
      <c r="Y225">
        <v>87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</row>
    <row r="226" spans="1:94" x14ac:dyDescent="0.35">
      <c r="A226">
        <v>127</v>
      </c>
      <c r="B226">
        <v>45504</v>
      </c>
      <c r="C226" t="s">
        <v>93</v>
      </c>
      <c r="D226" t="s">
        <v>107</v>
      </c>
      <c r="F226" t="s">
        <v>108</v>
      </c>
      <c r="G226" t="s">
        <v>97</v>
      </c>
      <c r="H226" t="s">
        <v>109</v>
      </c>
      <c r="I226" t="s">
        <v>110</v>
      </c>
      <c r="J226">
        <v>4</v>
      </c>
      <c r="K226" t="s">
        <v>111</v>
      </c>
      <c r="L226">
        <v>4.6666666670000003</v>
      </c>
      <c r="M226" t="s">
        <v>100</v>
      </c>
      <c r="N226">
        <v>68.400000000000006</v>
      </c>
      <c r="O226">
        <v>4.1488433149999997</v>
      </c>
      <c r="P226">
        <v>19.361268800000001</v>
      </c>
      <c r="Q226">
        <v>0</v>
      </c>
      <c r="R226">
        <v>1324.310786</v>
      </c>
      <c r="S226">
        <v>1324.310786</v>
      </c>
      <c r="T226">
        <v>0.73611111100000004</v>
      </c>
      <c r="U226">
        <v>0.73958333300000001</v>
      </c>
      <c r="V226">
        <v>0</v>
      </c>
      <c r="W226">
        <v>2</v>
      </c>
      <c r="X226">
        <v>10</v>
      </c>
      <c r="Y226">
        <v>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</row>
    <row r="227" spans="1:94" x14ac:dyDescent="0.35">
      <c r="A227">
        <v>131</v>
      </c>
      <c r="B227">
        <v>45505</v>
      </c>
      <c r="C227" t="s">
        <v>226</v>
      </c>
      <c r="D227" t="s">
        <v>305</v>
      </c>
      <c r="F227" t="s">
        <v>213</v>
      </c>
      <c r="G227" t="s">
        <v>97</v>
      </c>
      <c r="H227">
        <v>10063</v>
      </c>
      <c r="I227" t="s">
        <v>105</v>
      </c>
      <c r="J227">
        <v>4</v>
      </c>
      <c r="K227" t="s">
        <v>111</v>
      </c>
      <c r="L227">
        <v>0</v>
      </c>
      <c r="M227" t="s">
        <v>100</v>
      </c>
      <c r="N227" t="s">
        <v>100</v>
      </c>
      <c r="O227" t="e">
        <v>#VALUE!</v>
      </c>
      <c r="P227" t="e">
        <v>#VALUE!</v>
      </c>
      <c r="Q227" t="e">
        <v>#VALUE!</v>
      </c>
      <c r="R227" t="e">
        <v>#VALUE!</v>
      </c>
      <c r="S227" t="s">
        <v>100</v>
      </c>
      <c r="T227">
        <v>0.57847222200000004</v>
      </c>
      <c r="U227">
        <v>0.58194444400000001</v>
      </c>
      <c r="V227">
        <v>0</v>
      </c>
      <c r="W227">
        <v>2</v>
      </c>
      <c r="X227">
        <v>75</v>
      </c>
      <c r="Y227">
        <v>79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 t="s">
        <v>306</v>
      </c>
    </row>
    <row r="228" spans="1:94" x14ac:dyDescent="0.35">
      <c r="A228">
        <v>135</v>
      </c>
      <c r="B228">
        <v>45505</v>
      </c>
      <c r="C228" t="s">
        <v>226</v>
      </c>
      <c r="D228" t="s">
        <v>307</v>
      </c>
      <c r="F228" t="s">
        <v>265</v>
      </c>
      <c r="G228" t="s">
        <v>97</v>
      </c>
      <c r="H228">
        <v>1072</v>
      </c>
      <c r="I228" t="s">
        <v>110</v>
      </c>
      <c r="J228">
        <v>4</v>
      </c>
      <c r="K228" t="s">
        <v>111</v>
      </c>
      <c r="L228">
        <v>8</v>
      </c>
      <c r="M228" t="s">
        <v>100</v>
      </c>
      <c r="N228" t="s">
        <v>100</v>
      </c>
      <c r="O228" t="e">
        <v>#VALUE!</v>
      </c>
      <c r="P228" t="e">
        <v>#VALUE!</v>
      </c>
      <c r="Q228" t="e">
        <v>#VALUE!</v>
      </c>
      <c r="R228" t="e">
        <v>#VALUE!</v>
      </c>
      <c r="S228" t="s">
        <v>100</v>
      </c>
      <c r="T228">
        <v>0.60555555599999999</v>
      </c>
      <c r="U228">
        <v>0.60902777799999996</v>
      </c>
      <c r="V228">
        <v>0</v>
      </c>
      <c r="W228">
        <v>1</v>
      </c>
      <c r="X228">
        <v>30</v>
      </c>
      <c r="Y228">
        <v>84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 t="s">
        <v>308</v>
      </c>
    </row>
    <row r="229" spans="1:94" x14ac:dyDescent="0.35">
      <c r="A229">
        <v>137</v>
      </c>
      <c r="B229">
        <v>45505</v>
      </c>
      <c r="C229" t="s">
        <v>226</v>
      </c>
      <c r="D229" t="s">
        <v>309</v>
      </c>
      <c r="F229" t="s">
        <v>137</v>
      </c>
      <c r="G229" t="s">
        <v>97</v>
      </c>
      <c r="H229">
        <v>12031</v>
      </c>
      <c r="I229" t="s">
        <v>114</v>
      </c>
      <c r="J229">
        <v>4</v>
      </c>
      <c r="K229" t="s">
        <v>111</v>
      </c>
      <c r="M229">
        <v>1</v>
      </c>
      <c r="N229">
        <v>132</v>
      </c>
      <c r="O229">
        <v>0.56520000000000004</v>
      </c>
      <c r="P229">
        <v>0</v>
      </c>
      <c r="Q229">
        <v>132</v>
      </c>
      <c r="R229">
        <v>0</v>
      </c>
      <c r="S229">
        <v>132</v>
      </c>
      <c r="T229">
        <v>0.46597222199999999</v>
      </c>
      <c r="U229">
        <v>0.46944444400000002</v>
      </c>
      <c r="V229">
        <v>0</v>
      </c>
      <c r="W229">
        <v>2</v>
      </c>
      <c r="X229">
        <v>90</v>
      </c>
      <c r="Y229">
        <v>81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 t="s">
        <v>295</v>
      </c>
    </row>
    <row r="230" spans="1:94" x14ac:dyDescent="0.35">
      <c r="A230">
        <v>139</v>
      </c>
      <c r="B230">
        <v>45505</v>
      </c>
      <c r="C230" t="s">
        <v>226</v>
      </c>
      <c r="D230" t="s">
        <v>199</v>
      </c>
      <c r="F230" t="s">
        <v>200</v>
      </c>
      <c r="G230" t="s">
        <v>97</v>
      </c>
      <c r="H230">
        <v>21039</v>
      </c>
      <c r="I230" t="s">
        <v>114</v>
      </c>
      <c r="J230">
        <v>4</v>
      </c>
      <c r="K230" t="s">
        <v>111</v>
      </c>
      <c r="L230">
        <v>11.66666667</v>
      </c>
      <c r="M230" t="s">
        <v>100</v>
      </c>
      <c r="N230">
        <v>17.7</v>
      </c>
      <c r="O230">
        <v>1.9609767229999999</v>
      </c>
      <c r="P230">
        <v>22.878061769999999</v>
      </c>
      <c r="Q230">
        <v>0</v>
      </c>
      <c r="R230">
        <v>404.9416933</v>
      </c>
      <c r="S230">
        <v>404.9416933</v>
      </c>
      <c r="T230">
        <v>0.404861111</v>
      </c>
      <c r="U230">
        <v>0.40833333300000002</v>
      </c>
      <c r="V230">
        <v>0</v>
      </c>
      <c r="W230">
        <v>2</v>
      </c>
      <c r="X230">
        <v>70</v>
      </c>
      <c r="Y230">
        <v>75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 t="s">
        <v>310</v>
      </c>
    </row>
    <row r="231" spans="1:94" x14ac:dyDescent="0.35">
      <c r="A231">
        <v>142</v>
      </c>
      <c r="B231">
        <v>45505</v>
      </c>
      <c r="C231" t="s">
        <v>226</v>
      </c>
      <c r="D231" t="s">
        <v>296</v>
      </c>
      <c r="F231" t="s">
        <v>163</v>
      </c>
      <c r="G231" t="s">
        <v>97</v>
      </c>
      <c r="H231" t="s">
        <v>297</v>
      </c>
      <c r="I231" t="s">
        <v>105</v>
      </c>
      <c r="J231">
        <v>4</v>
      </c>
      <c r="K231" t="s">
        <v>99</v>
      </c>
      <c r="M231">
        <v>1</v>
      </c>
      <c r="N231" t="s">
        <v>100</v>
      </c>
      <c r="O231">
        <v>0</v>
      </c>
      <c r="P231">
        <v>0</v>
      </c>
      <c r="Q231" t="e">
        <v>#VALUE!</v>
      </c>
      <c r="R231" t="e">
        <v>#VALUE!</v>
      </c>
      <c r="S231" t="s">
        <v>100</v>
      </c>
      <c r="T231">
        <v>0.61180555599999997</v>
      </c>
      <c r="U231">
        <v>0.61527777800000005</v>
      </c>
      <c r="V231">
        <v>0</v>
      </c>
      <c r="W231">
        <v>1</v>
      </c>
      <c r="X231">
        <v>40</v>
      </c>
      <c r="Y231">
        <v>84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</row>
    <row r="232" spans="1:94" x14ac:dyDescent="0.35">
      <c r="A232">
        <v>158</v>
      </c>
      <c r="B232">
        <v>45506</v>
      </c>
      <c r="C232" t="s">
        <v>226</v>
      </c>
      <c r="D232" t="s">
        <v>141</v>
      </c>
      <c r="F232" t="s">
        <v>142</v>
      </c>
      <c r="G232" t="s">
        <v>103</v>
      </c>
      <c r="H232" t="s">
        <v>143</v>
      </c>
      <c r="I232" t="s">
        <v>98</v>
      </c>
      <c r="J232">
        <v>4</v>
      </c>
      <c r="K232" t="s">
        <v>123</v>
      </c>
      <c r="M232">
        <v>1</v>
      </c>
      <c r="N232">
        <v>390.5</v>
      </c>
      <c r="O232">
        <v>3.6464443200000001</v>
      </c>
      <c r="P232">
        <v>0</v>
      </c>
      <c r="Q232">
        <v>390.5</v>
      </c>
      <c r="R232">
        <v>0</v>
      </c>
      <c r="S232">
        <v>390.5</v>
      </c>
      <c r="T232">
        <v>0.41249999999999998</v>
      </c>
      <c r="U232">
        <v>0.415972222</v>
      </c>
      <c r="V232">
        <v>0</v>
      </c>
      <c r="W232">
        <v>2</v>
      </c>
      <c r="X232">
        <v>70</v>
      </c>
      <c r="Y232">
        <v>75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 t="s">
        <v>268</v>
      </c>
    </row>
    <row r="233" spans="1:94" x14ac:dyDescent="0.35">
      <c r="A233">
        <v>160</v>
      </c>
      <c r="B233">
        <v>45506</v>
      </c>
      <c r="C233" t="s">
        <v>226</v>
      </c>
      <c r="D233" t="s">
        <v>289</v>
      </c>
      <c r="F233" t="s">
        <v>290</v>
      </c>
      <c r="G233" t="s">
        <v>103</v>
      </c>
      <c r="H233">
        <v>14020</v>
      </c>
      <c r="I233" t="s">
        <v>114</v>
      </c>
      <c r="J233">
        <v>4</v>
      </c>
      <c r="K233" t="s">
        <v>106</v>
      </c>
      <c r="M233">
        <v>1</v>
      </c>
      <c r="N233">
        <v>371.4</v>
      </c>
      <c r="O233">
        <v>21.591001980000001</v>
      </c>
      <c r="P233">
        <v>0</v>
      </c>
      <c r="Q233">
        <v>371.4</v>
      </c>
      <c r="R233">
        <v>0</v>
      </c>
      <c r="S233">
        <v>371.4</v>
      </c>
      <c r="T233">
        <v>0.415972222</v>
      </c>
      <c r="U233">
        <v>0.41944444400000003</v>
      </c>
      <c r="V233">
        <v>0</v>
      </c>
      <c r="W233">
        <v>2</v>
      </c>
      <c r="X233">
        <v>70</v>
      </c>
      <c r="Y233">
        <v>75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 t="s">
        <v>311</v>
      </c>
    </row>
    <row r="234" spans="1:94" x14ac:dyDescent="0.35">
      <c r="A234">
        <v>161</v>
      </c>
      <c r="B234">
        <v>45506</v>
      </c>
      <c r="C234" t="s">
        <v>226</v>
      </c>
      <c r="D234" t="s">
        <v>147</v>
      </c>
      <c r="F234" t="s">
        <v>148</v>
      </c>
      <c r="G234" t="s">
        <v>103</v>
      </c>
      <c r="H234">
        <v>18022</v>
      </c>
      <c r="I234" t="s">
        <v>98</v>
      </c>
      <c r="J234">
        <v>3</v>
      </c>
      <c r="K234" t="s">
        <v>123</v>
      </c>
      <c r="M234">
        <v>2</v>
      </c>
      <c r="N234">
        <v>563.42857140000001</v>
      </c>
      <c r="O234">
        <v>9.3348974590000005</v>
      </c>
      <c r="P234">
        <v>0</v>
      </c>
      <c r="Q234">
        <v>1126.857143</v>
      </c>
      <c r="R234">
        <v>0</v>
      </c>
      <c r="S234">
        <v>1126.857143</v>
      </c>
      <c r="T234">
        <v>0.42083333299999998</v>
      </c>
      <c r="U234">
        <v>0.42430555599999997</v>
      </c>
      <c r="V234">
        <v>0</v>
      </c>
      <c r="W234">
        <v>2</v>
      </c>
      <c r="X234">
        <v>70</v>
      </c>
      <c r="Y234">
        <v>75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</row>
    <row r="235" spans="1:94" x14ac:dyDescent="0.35">
      <c r="A235">
        <v>163</v>
      </c>
      <c r="B235">
        <v>45506</v>
      </c>
      <c r="C235" t="s">
        <v>226</v>
      </c>
      <c r="D235" t="s">
        <v>166</v>
      </c>
      <c r="F235" t="s">
        <v>167</v>
      </c>
      <c r="G235" t="s">
        <v>97</v>
      </c>
      <c r="H235">
        <v>15055</v>
      </c>
      <c r="I235" t="s">
        <v>105</v>
      </c>
      <c r="J235">
        <v>4</v>
      </c>
      <c r="K235" t="s">
        <v>111</v>
      </c>
      <c r="L235">
        <v>23</v>
      </c>
      <c r="M235" t="s">
        <v>100</v>
      </c>
      <c r="N235">
        <v>42.8</v>
      </c>
      <c r="O235">
        <v>11.8144796</v>
      </c>
      <c r="P235">
        <v>271.73303069999997</v>
      </c>
      <c r="Q235">
        <v>0</v>
      </c>
      <c r="R235">
        <v>11630.173720000001</v>
      </c>
      <c r="S235">
        <v>11630.173720000001</v>
      </c>
      <c r="T235">
        <v>0.48888888899999999</v>
      </c>
      <c r="U235">
        <v>0.49236111100000002</v>
      </c>
      <c r="V235">
        <v>0</v>
      </c>
      <c r="W235">
        <v>2</v>
      </c>
      <c r="X235">
        <v>35</v>
      </c>
      <c r="Y235">
        <v>79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</row>
    <row r="236" spans="1:94" x14ac:dyDescent="0.35">
      <c r="A236">
        <v>165</v>
      </c>
      <c r="B236">
        <v>45506</v>
      </c>
      <c r="C236" t="s">
        <v>226</v>
      </c>
      <c r="D236" t="s">
        <v>154</v>
      </c>
      <c r="F236" t="s">
        <v>155</v>
      </c>
      <c r="G236" t="s">
        <v>103</v>
      </c>
      <c r="H236">
        <v>9050</v>
      </c>
      <c r="I236" t="s">
        <v>105</v>
      </c>
      <c r="J236">
        <v>3</v>
      </c>
      <c r="K236" t="s">
        <v>106</v>
      </c>
      <c r="M236">
        <v>2</v>
      </c>
      <c r="N236">
        <v>557.4</v>
      </c>
      <c r="O236">
        <v>13.163664000000001</v>
      </c>
      <c r="P236">
        <v>0</v>
      </c>
      <c r="Q236">
        <v>1114.8</v>
      </c>
      <c r="R236">
        <v>0</v>
      </c>
      <c r="S236">
        <v>1114.8</v>
      </c>
      <c r="T236">
        <v>0.44236111099999997</v>
      </c>
      <c r="U236">
        <v>0.445833333</v>
      </c>
      <c r="V236">
        <v>0</v>
      </c>
      <c r="W236">
        <v>2</v>
      </c>
      <c r="X236">
        <v>70</v>
      </c>
      <c r="Y236">
        <v>75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 t="s">
        <v>312</v>
      </c>
    </row>
    <row r="237" spans="1:94" x14ac:dyDescent="0.35">
      <c r="A237">
        <v>170</v>
      </c>
      <c r="B237">
        <v>45512</v>
      </c>
      <c r="C237" t="s">
        <v>226</v>
      </c>
      <c r="D237" t="s">
        <v>101</v>
      </c>
      <c r="F237" t="s">
        <v>102</v>
      </c>
      <c r="G237" t="s">
        <v>103</v>
      </c>
      <c r="H237" t="s">
        <v>104</v>
      </c>
      <c r="I237" t="s">
        <v>105</v>
      </c>
      <c r="J237">
        <v>4</v>
      </c>
      <c r="K237" t="s">
        <v>106</v>
      </c>
      <c r="M237">
        <v>1</v>
      </c>
      <c r="N237">
        <v>388.8</v>
      </c>
      <c r="O237">
        <v>8.3053000000000008</v>
      </c>
      <c r="P237">
        <v>0</v>
      </c>
      <c r="Q237">
        <v>388.8</v>
      </c>
      <c r="R237">
        <v>0</v>
      </c>
      <c r="S237">
        <v>388.8</v>
      </c>
      <c r="T237">
        <v>0.44374999999999998</v>
      </c>
      <c r="U237">
        <v>0.447222222</v>
      </c>
      <c r="V237">
        <v>0</v>
      </c>
      <c r="W237">
        <v>2</v>
      </c>
      <c r="X237">
        <v>100</v>
      </c>
      <c r="Y237">
        <v>60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 t="s">
        <v>313</v>
      </c>
    </row>
    <row r="238" spans="1:94" x14ac:dyDescent="0.35">
      <c r="A238">
        <v>184</v>
      </c>
      <c r="B238">
        <v>45512</v>
      </c>
      <c r="C238" t="s">
        <v>226</v>
      </c>
      <c r="D238" t="s">
        <v>158</v>
      </c>
      <c r="F238" t="s">
        <v>159</v>
      </c>
      <c r="G238" t="s">
        <v>97</v>
      </c>
      <c r="H238" t="s">
        <v>160</v>
      </c>
      <c r="I238" t="s">
        <v>114</v>
      </c>
      <c r="J238">
        <v>4</v>
      </c>
      <c r="K238" t="s">
        <v>111</v>
      </c>
      <c r="L238">
        <v>9</v>
      </c>
      <c r="M238" t="s">
        <v>100</v>
      </c>
      <c r="N238">
        <v>55.8</v>
      </c>
      <c r="O238">
        <v>2.3337243650000001</v>
      </c>
      <c r="P238">
        <v>21.003519279999999</v>
      </c>
      <c r="Q238">
        <v>0</v>
      </c>
      <c r="R238">
        <v>1171.9963760000001</v>
      </c>
      <c r="S238">
        <v>1171.9963760000001</v>
      </c>
      <c r="T238">
        <v>0.34930555600000002</v>
      </c>
      <c r="U238">
        <v>0.35277777799999999</v>
      </c>
      <c r="V238">
        <v>0</v>
      </c>
      <c r="W238">
        <v>1</v>
      </c>
      <c r="X238">
        <v>85</v>
      </c>
      <c r="Y238">
        <v>67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</row>
    <row r="239" spans="1:94" x14ac:dyDescent="0.35">
      <c r="A239">
        <v>186</v>
      </c>
      <c r="B239">
        <v>45512</v>
      </c>
      <c r="C239" t="s">
        <v>226</v>
      </c>
      <c r="D239" t="s">
        <v>170</v>
      </c>
      <c r="F239" t="s">
        <v>171</v>
      </c>
      <c r="G239" t="s">
        <v>103</v>
      </c>
      <c r="H239">
        <v>12019</v>
      </c>
      <c r="I239" t="s">
        <v>114</v>
      </c>
      <c r="J239">
        <v>4</v>
      </c>
      <c r="K239" t="s">
        <v>106</v>
      </c>
      <c r="M239">
        <v>2</v>
      </c>
      <c r="N239">
        <v>528.4</v>
      </c>
      <c r="O239">
        <v>17.097300000000001</v>
      </c>
      <c r="P239">
        <v>0</v>
      </c>
      <c r="Q239">
        <v>1056.8</v>
      </c>
      <c r="R239">
        <v>0</v>
      </c>
      <c r="S239">
        <v>1056.8</v>
      </c>
      <c r="T239">
        <v>0.69444444400000005</v>
      </c>
      <c r="U239">
        <v>0.69791666699999999</v>
      </c>
      <c r="V239">
        <v>0</v>
      </c>
      <c r="W239">
        <v>2</v>
      </c>
      <c r="X239">
        <v>85</v>
      </c>
      <c r="Y239">
        <v>75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 t="s">
        <v>295</v>
      </c>
    </row>
    <row r="240" spans="1:94" x14ac:dyDescent="0.35">
      <c r="A240">
        <v>189</v>
      </c>
      <c r="B240">
        <v>45512</v>
      </c>
      <c r="C240" t="s">
        <v>226</v>
      </c>
      <c r="D240" t="s">
        <v>147</v>
      </c>
      <c r="F240" t="s">
        <v>148</v>
      </c>
      <c r="G240" t="s">
        <v>103</v>
      </c>
      <c r="H240">
        <v>18022</v>
      </c>
      <c r="I240" t="s">
        <v>98</v>
      </c>
      <c r="J240">
        <v>3</v>
      </c>
      <c r="K240" t="s">
        <v>123</v>
      </c>
      <c r="L240">
        <v>0.66666666699999999</v>
      </c>
      <c r="M240" t="s">
        <v>100</v>
      </c>
      <c r="N240">
        <v>563.42857140000001</v>
      </c>
      <c r="O240">
        <v>9.3348974590000005</v>
      </c>
      <c r="P240">
        <v>6.223264973</v>
      </c>
      <c r="Q240">
        <v>0</v>
      </c>
      <c r="R240">
        <v>3506.3652929999998</v>
      </c>
      <c r="S240">
        <v>3506.3652929999998</v>
      </c>
      <c r="T240">
        <v>0.66180555600000002</v>
      </c>
      <c r="U240">
        <v>0.66527777799999999</v>
      </c>
      <c r="V240">
        <v>0</v>
      </c>
      <c r="W240">
        <v>2</v>
      </c>
      <c r="X240">
        <v>100</v>
      </c>
      <c r="Y240">
        <v>76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</row>
    <row r="241" spans="1:94" x14ac:dyDescent="0.35">
      <c r="A241">
        <v>195</v>
      </c>
      <c r="B241">
        <v>45512</v>
      </c>
      <c r="C241" t="s">
        <v>226</v>
      </c>
      <c r="D241" t="s">
        <v>219</v>
      </c>
      <c r="F241" t="s">
        <v>220</v>
      </c>
      <c r="G241" t="s">
        <v>97</v>
      </c>
      <c r="H241">
        <v>14021</v>
      </c>
      <c r="I241" t="s">
        <v>110</v>
      </c>
      <c r="J241">
        <v>4</v>
      </c>
      <c r="K241" t="s">
        <v>111</v>
      </c>
      <c r="L241">
        <v>3.3333333330000001</v>
      </c>
      <c r="M241" t="s">
        <v>100</v>
      </c>
      <c r="N241">
        <v>120.2</v>
      </c>
      <c r="O241">
        <v>6.4825676799999998</v>
      </c>
      <c r="P241">
        <v>21.608558930000001</v>
      </c>
      <c r="Q241">
        <v>0</v>
      </c>
      <c r="R241">
        <v>2597.3487839999998</v>
      </c>
      <c r="S241">
        <v>2597.3487839999998</v>
      </c>
      <c r="T241">
        <v>0.67638888900000005</v>
      </c>
      <c r="U241">
        <v>0.67986111100000002</v>
      </c>
      <c r="V241">
        <v>0</v>
      </c>
      <c r="W241">
        <v>2</v>
      </c>
      <c r="X241">
        <v>90</v>
      </c>
      <c r="Y241">
        <v>76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</row>
    <row r="242" spans="1:94" x14ac:dyDescent="0.35">
      <c r="A242">
        <v>199</v>
      </c>
      <c r="B242">
        <v>45513</v>
      </c>
      <c r="C242" t="s">
        <v>226</v>
      </c>
      <c r="D242" t="s">
        <v>201</v>
      </c>
      <c r="F242" t="s">
        <v>202</v>
      </c>
      <c r="G242" t="s">
        <v>97</v>
      </c>
      <c r="H242" t="s">
        <v>203</v>
      </c>
      <c r="I242" t="s">
        <v>105</v>
      </c>
      <c r="J242">
        <v>5</v>
      </c>
      <c r="K242" t="s">
        <v>111</v>
      </c>
      <c r="M242">
        <v>14</v>
      </c>
      <c r="N242">
        <v>60.9</v>
      </c>
      <c r="O242">
        <v>4.4121976270000003</v>
      </c>
      <c r="P242">
        <v>0</v>
      </c>
      <c r="Q242">
        <v>852.6</v>
      </c>
      <c r="R242">
        <v>0</v>
      </c>
      <c r="S242">
        <v>852.6</v>
      </c>
      <c r="T242">
        <v>0.48958333300000001</v>
      </c>
      <c r="U242">
        <v>0.49305555600000001</v>
      </c>
      <c r="V242">
        <v>0</v>
      </c>
      <c r="W242">
        <v>2</v>
      </c>
      <c r="X242">
        <v>100</v>
      </c>
      <c r="Y242">
        <v>61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</row>
    <row r="243" spans="1:94" x14ac:dyDescent="0.35">
      <c r="A243">
        <v>200</v>
      </c>
      <c r="B243">
        <v>45513</v>
      </c>
      <c r="C243" t="s">
        <v>226</v>
      </c>
      <c r="D243" t="s">
        <v>224</v>
      </c>
      <c r="F243" t="s">
        <v>225</v>
      </c>
      <c r="G243" t="s">
        <v>97</v>
      </c>
      <c r="H243">
        <v>16012</v>
      </c>
      <c r="I243" t="s">
        <v>98</v>
      </c>
      <c r="J243">
        <v>4</v>
      </c>
      <c r="K243" t="s">
        <v>99</v>
      </c>
      <c r="L243">
        <v>9</v>
      </c>
      <c r="M243" t="s">
        <v>100</v>
      </c>
      <c r="N243" t="s">
        <v>100</v>
      </c>
      <c r="O243" t="e">
        <v>#VALUE!</v>
      </c>
      <c r="P243" t="e">
        <v>#VALUE!</v>
      </c>
      <c r="Q243" t="e">
        <v>#VALUE!</v>
      </c>
      <c r="R243" t="e">
        <v>#VALUE!</v>
      </c>
      <c r="S243" t="s">
        <v>100</v>
      </c>
      <c r="T243">
        <v>0.41388888899999998</v>
      </c>
      <c r="U243">
        <v>0.41736111100000001</v>
      </c>
      <c r="V243">
        <v>0</v>
      </c>
      <c r="W243">
        <v>2</v>
      </c>
      <c r="X243">
        <v>100</v>
      </c>
      <c r="Y243">
        <v>60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</row>
    <row r="244" spans="1:94" x14ac:dyDescent="0.35">
      <c r="A244">
        <v>204</v>
      </c>
      <c r="B244">
        <v>45513</v>
      </c>
      <c r="C244" t="s">
        <v>226</v>
      </c>
      <c r="D244" t="s">
        <v>112</v>
      </c>
      <c r="F244" t="s">
        <v>113</v>
      </c>
      <c r="G244" t="s">
        <v>97</v>
      </c>
      <c r="H244">
        <v>11045</v>
      </c>
      <c r="I244" t="s">
        <v>114</v>
      </c>
      <c r="J244">
        <v>4</v>
      </c>
      <c r="K244" t="s">
        <v>111</v>
      </c>
      <c r="L244">
        <v>2.3333333330000001</v>
      </c>
      <c r="M244" t="s">
        <v>100</v>
      </c>
      <c r="N244">
        <v>31</v>
      </c>
      <c r="O244">
        <v>9.0432000000000006</v>
      </c>
      <c r="P244">
        <v>21.1008</v>
      </c>
      <c r="Q244">
        <v>0</v>
      </c>
      <c r="R244">
        <v>654.12480000000005</v>
      </c>
      <c r="S244">
        <v>654.12480000000005</v>
      </c>
      <c r="T244">
        <v>0.42152777800000002</v>
      </c>
      <c r="U244">
        <v>0.42499999999999999</v>
      </c>
      <c r="V244">
        <v>0</v>
      </c>
      <c r="W244">
        <v>2</v>
      </c>
      <c r="X244">
        <v>100</v>
      </c>
      <c r="Y244">
        <v>60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</row>
    <row r="245" spans="1:94" x14ac:dyDescent="0.35">
      <c r="A245">
        <v>205</v>
      </c>
      <c r="B245">
        <v>45513</v>
      </c>
      <c r="C245" t="s">
        <v>226</v>
      </c>
      <c r="D245" t="s">
        <v>187</v>
      </c>
      <c r="F245" t="s">
        <v>188</v>
      </c>
      <c r="G245" t="s">
        <v>97</v>
      </c>
      <c r="H245">
        <v>11031</v>
      </c>
      <c r="I245" t="s">
        <v>98</v>
      </c>
      <c r="J245">
        <v>4</v>
      </c>
      <c r="K245" t="s">
        <v>99</v>
      </c>
      <c r="L245">
        <v>8</v>
      </c>
      <c r="M245" t="s">
        <v>100</v>
      </c>
      <c r="N245">
        <v>189.5</v>
      </c>
      <c r="O245">
        <v>15.0877</v>
      </c>
      <c r="P245">
        <v>120.7016</v>
      </c>
      <c r="Q245">
        <v>0</v>
      </c>
      <c r="R245">
        <v>22872.9532</v>
      </c>
      <c r="S245">
        <v>22872.9532</v>
      </c>
      <c r="T245">
        <v>0.42708333300000001</v>
      </c>
      <c r="U245">
        <v>0.43055555600000001</v>
      </c>
      <c r="V245">
        <v>0</v>
      </c>
      <c r="W245">
        <v>2</v>
      </c>
      <c r="X245">
        <v>100</v>
      </c>
      <c r="Y245">
        <v>60</v>
      </c>
      <c r="Z245">
        <v>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</row>
    <row r="246" spans="1:94" x14ac:dyDescent="0.35">
      <c r="A246">
        <v>207</v>
      </c>
      <c r="B246">
        <v>45513</v>
      </c>
      <c r="C246" t="s">
        <v>226</v>
      </c>
      <c r="D246" t="s">
        <v>241</v>
      </c>
      <c r="F246" t="s">
        <v>242</v>
      </c>
      <c r="G246" t="s">
        <v>97</v>
      </c>
      <c r="H246">
        <v>11044</v>
      </c>
      <c r="I246" t="s">
        <v>114</v>
      </c>
      <c r="J246">
        <v>4</v>
      </c>
      <c r="K246" t="s">
        <v>99</v>
      </c>
      <c r="L246">
        <v>12.66666667</v>
      </c>
      <c r="M246" t="s">
        <v>100</v>
      </c>
      <c r="N246">
        <v>174.2</v>
      </c>
      <c r="O246">
        <v>4.0191999999999997</v>
      </c>
      <c r="P246">
        <v>50.90986667</v>
      </c>
      <c r="Q246">
        <v>0</v>
      </c>
      <c r="R246">
        <v>8868.4987729999993</v>
      </c>
      <c r="S246">
        <v>8868.4987729999993</v>
      </c>
      <c r="T246">
        <v>0.38888888900000002</v>
      </c>
      <c r="U246">
        <v>0.39236111099999998</v>
      </c>
      <c r="V246">
        <v>0</v>
      </c>
      <c r="W246">
        <v>2</v>
      </c>
      <c r="X246">
        <v>80</v>
      </c>
      <c r="Y246">
        <v>61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</row>
    <row r="247" spans="1:94" x14ac:dyDescent="0.35">
      <c r="A247">
        <v>215</v>
      </c>
      <c r="B247">
        <v>45518</v>
      </c>
      <c r="C247" t="s">
        <v>226</v>
      </c>
      <c r="D247" t="s">
        <v>126</v>
      </c>
      <c r="F247" t="s">
        <v>127</v>
      </c>
      <c r="G247" t="s">
        <v>97</v>
      </c>
      <c r="H247">
        <v>17047</v>
      </c>
      <c r="I247" t="s">
        <v>114</v>
      </c>
      <c r="J247">
        <v>4</v>
      </c>
      <c r="K247" t="s">
        <v>111</v>
      </c>
      <c r="L247">
        <v>4.6666666670000003</v>
      </c>
      <c r="M247" t="s">
        <v>100</v>
      </c>
      <c r="N247">
        <v>109</v>
      </c>
      <c r="O247">
        <v>9.3348974590000005</v>
      </c>
      <c r="P247">
        <v>43.562854809999997</v>
      </c>
      <c r="Q247">
        <v>0</v>
      </c>
      <c r="R247">
        <v>4748.3511740000004</v>
      </c>
      <c r="S247">
        <v>4748.3511740000004</v>
      </c>
      <c r="T247">
        <v>0.41319444399999999</v>
      </c>
      <c r="U247">
        <v>0.41666666699999999</v>
      </c>
      <c r="V247">
        <v>0</v>
      </c>
      <c r="W247">
        <v>1</v>
      </c>
      <c r="X247">
        <v>15</v>
      </c>
      <c r="Y247">
        <v>74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</row>
    <row r="248" spans="1:94" x14ac:dyDescent="0.35">
      <c r="A248">
        <v>216</v>
      </c>
      <c r="B248">
        <v>45518</v>
      </c>
      <c r="C248" t="s">
        <v>226</v>
      </c>
      <c r="D248" t="s">
        <v>286</v>
      </c>
      <c r="F248" t="s">
        <v>155</v>
      </c>
      <c r="G248" t="s">
        <v>103</v>
      </c>
      <c r="H248">
        <v>16025</v>
      </c>
      <c r="I248" t="s">
        <v>105</v>
      </c>
      <c r="J248">
        <v>4</v>
      </c>
      <c r="K248" t="s">
        <v>106</v>
      </c>
      <c r="M248">
        <v>1</v>
      </c>
      <c r="N248">
        <v>245</v>
      </c>
      <c r="O248">
        <v>3.4073996370000001</v>
      </c>
      <c r="P248">
        <v>0</v>
      </c>
      <c r="Q248">
        <v>245</v>
      </c>
      <c r="R248">
        <v>0</v>
      </c>
      <c r="S248">
        <v>245</v>
      </c>
      <c r="T248" t="s">
        <v>100</v>
      </c>
      <c r="U248" t="s">
        <v>100</v>
      </c>
      <c r="V248">
        <v>0</v>
      </c>
      <c r="W248">
        <v>2</v>
      </c>
      <c r="X248">
        <v>50</v>
      </c>
      <c r="Y248">
        <v>82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 t="s">
        <v>314</v>
      </c>
    </row>
    <row r="249" spans="1:94" x14ac:dyDescent="0.35">
      <c r="A249">
        <v>218</v>
      </c>
      <c r="B249">
        <v>45518</v>
      </c>
      <c r="C249" t="s">
        <v>226</v>
      </c>
      <c r="D249" t="s">
        <v>221</v>
      </c>
      <c r="F249" t="s">
        <v>222</v>
      </c>
      <c r="G249" t="s">
        <v>103</v>
      </c>
      <c r="H249">
        <v>16026</v>
      </c>
      <c r="I249" t="s">
        <v>110</v>
      </c>
      <c r="J249">
        <v>4</v>
      </c>
      <c r="K249" t="s">
        <v>106</v>
      </c>
      <c r="M249">
        <v>1</v>
      </c>
      <c r="N249">
        <v>119</v>
      </c>
      <c r="O249">
        <v>2.1432989390000001</v>
      </c>
      <c r="P249">
        <v>0</v>
      </c>
      <c r="Q249">
        <v>119</v>
      </c>
      <c r="R249">
        <v>0</v>
      </c>
      <c r="S249">
        <v>119</v>
      </c>
      <c r="T249" t="s">
        <v>100</v>
      </c>
      <c r="U249" t="s">
        <v>100</v>
      </c>
      <c r="V249">
        <v>0</v>
      </c>
      <c r="W249">
        <v>2</v>
      </c>
      <c r="X249">
        <v>50</v>
      </c>
      <c r="Y249">
        <v>82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 t="s">
        <v>315</v>
      </c>
    </row>
    <row r="250" spans="1:94" x14ac:dyDescent="0.35">
      <c r="A250">
        <v>220</v>
      </c>
      <c r="B250">
        <v>45518</v>
      </c>
      <c r="C250" t="s">
        <v>226</v>
      </c>
      <c r="D250" t="s">
        <v>121</v>
      </c>
      <c r="F250" t="s">
        <v>122</v>
      </c>
      <c r="G250" t="s">
        <v>103</v>
      </c>
      <c r="H250">
        <v>2068</v>
      </c>
      <c r="I250" t="s">
        <v>98</v>
      </c>
      <c r="J250">
        <v>4</v>
      </c>
      <c r="K250" t="s">
        <v>123</v>
      </c>
      <c r="L250">
        <v>0</v>
      </c>
      <c r="M250" t="s">
        <v>100</v>
      </c>
      <c r="N250">
        <v>278.5</v>
      </c>
      <c r="O250" t="e">
        <v>#VALUE!</v>
      </c>
      <c r="P250" t="e">
        <v>#VALUE!</v>
      </c>
      <c r="Q250">
        <v>0</v>
      </c>
      <c r="R250" t="e">
        <v>#VALUE!</v>
      </c>
      <c r="S250">
        <v>0</v>
      </c>
      <c r="T250" t="s">
        <v>100</v>
      </c>
      <c r="U250" t="s">
        <v>100</v>
      </c>
      <c r="V250">
        <v>0</v>
      </c>
      <c r="W250">
        <v>2</v>
      </c>
      <c r="X250">
        <v>40</v>
      </c>
      <c r="Y250">
        <v>82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 t="s">
        <v>316</v>
      </c>
    </row>
    <row r="251" spans="1:94" x14ac:dyDescent="0.35">
      <c r="A251">
        <v>221</v>
      </c>
      <c r="B251">
        <v>45518</v>
      </c>
      <c r="C251" t="s">
        <v>226</v>
      </c>
      <c r="D251" t="s">
        <v>273</v>
      </c>
      <c r="F251" t="s">
        <v>198</v>
      </c>
      <c r="G251" t="s">
        <v>97</v>
      </c>
      <c r="H251">
        <v>98053</v>
      </c>
      <c r="I251" t="s">
        <v>114</v>
      </c>
      <c r="J251">
        <v>4</v>
      </c>
      <c r="K251" t="s">
        <v>111</v>
      </c>
      <c r="M251">
        <v>34</v>
      </c>
      <c r="N251">
        <v>232.8</v>
      </c>
      <c r="O251">
        <v>13.163664000000001</v>
      </c>
      <c r="P251">
        <v>0</v>
      </c>
      <c r="Q251">
        <v>7915.2</v>
      </c>
      <c r="R251">
        <v>0</v>
      </c>
      <c r="S251">
        <v>7915.2</v>
      </c>
      <c r="T251">
        <v>0.44097222200000002</v>
      </c>
      <c r="U251">
        <v>0.44444444399999999</v>
      </c>
      <c r="V251">
        <v>0</v>
      </c>
      <c r="W251">
        <v>1</v>
      </c>
      <c r="X251">
        <v>30</v>
      </c>
      <c r="Y251">
        <v>76</v>
      </c>
      <c r="Z251">
        <v>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</row>
    <row r="252" spans="1:94" x14ac:dyDescent="0.35">
      <c r="A252">
        <v>226</v>
      </c>
      <c r="B252">
        <v>45518</v>
      </c>
      <c r="C252" t="s">
        <v>226</v>
      </c>
      <c r="D252" t="s">
        <v>162</v>
      </c>
      <c r="F252" t="s">
        <v>163</v>
      </c>
      <c r="G252" t="s">
        <v>97</v>
      </c>
      <c r="H252" t="s">
        <v>164</v>
      </c>
      <c r="I252" t="s">
        <v>98</v>
      </c>
      <c r="J252">
        <v>4</v>
      </c>
      <c r="K252" t="s">
        <v>99</v>
      </c>
      <c r="L252">
        <v>0</v>
      </c>
      <c r="M252" t="s">
        <v>100</v>
      </c>
      <c r="N252" t="s">
        <v>100</v>
      </c>
      <c r="O252">
        <v>1.0372108289999999</v>
      </c>
      <c r="P252">
        <v>0</v>
      </c>
      <c r="Q252" t="e">
        <v>#VALUE!</v>
      </c>
      <c r="R252" t="e">
        <v>#VALUE!</v>
      </c>
      <c r="S252">
        <v>0</v>
      </c>
      <c r="T252">
        <v>0.38194444399999999</v>
      </c>
      <c r="U252">
        <v>0.38541666699999999</v>
      </c>
      <c r="V252">
        <v>0</v>
      </c>
      <c r="W252">
        <v>0</v>
      </c>
      <c r="X252">
        <v>5</v>
      </c>
      <c r="Y252">
        <v>72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 t="s">
        <v>317</v>
      </c>
    </row>
    <row r="253" spans="1:94" x14ac:dyDescent="0.35">
      <c r="A253">
        <v>228</v>
      </c>
      <c r="B253">
        <v>45518</v>
      </c>
      <c r="C253" t="s">
        <v>226</v>
      </c>
      <c r="D253" t="s">
        <v>141</v>
      </c>
      <c r="F253" t="s">
        <v>142</v>
      </c>
      <c r="G253" t="s">
        <v>103</v>
      </c>
      <c r="H253" t="s">
        <v>143</v>
      </c>
      <c r="I253" t="s">
        <v>98</v>
      </c>
      <c r="J253">
        <v>4</v>
      </c>
      <c r="K253" t="s">
        <v>123</v>
      </c>
      <c r="M253">
        <v>1</v>
      </c>
      <c r="N253">
        <v>390.5</v>
      </c>
      <c r="O253">
        <v>3.6464443200000001</v>
      </c>
      <c r="P253">
        <v>0</v>
      </c>
      <c r="Q253">
        <v>390.5</v>
      </c>
      <c r="R253">
        <v>0</v>
      </c>
      <c r="S253">
        <v>390.5</v>
      </c>
      <c r="T253">
        <v>0.54583333300000003</v>
      </c>
      <c r="U253">
        <v>0.54930555599999997</v>
      </c>
      <c r="V253">
        <v>0</v>
      </c>
      <c r="W253">
        <v>2</v>
      </c>
      <c r="X253">
        <v>80</v>
      </c>
      <c r="Y253">
        <v>82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 t="s">
        <v>314</v>
      </c>
    </row>
    <row r="254" spans="1:94" x14ac:dyDescent="0.35">
      <c r="A254">
        <v>229</v>
      </c>
      <c r="B254">
        <v>45518</v>
      </c>
      <c r="C254" t="s">
        <v>226</v>
      </c>
      <c r="D254" t="s">
        <v>289</v>
      </c>
      <c r="F254" t="s">
        <v>290</v>
      </c>
      <c r="G254" t="s">
        <v>103</v>
      </c>
      <c r="H254">
        <v>14020</v>
      </c>
      <c r="I254" t="s">
        <v>114</v>
      </c>
      <c r="J254">
        <v>4</v>
      </c>
      <c r="K254" t="s">
        <v>106</v>
      </c>
      <c r="L254">
        <v>0</v>
      </c>
      <c r="M254" t="s">
        <v>100</v>
      </c>
      <c r="N254">
        <v>371.4</v>
      </c>
      <c r="O254">
        <v>21.591001980000001</v>
      </c>
      <c r="P254">
        <v>0</v>
      </c>
      <c r="Q254">
        <v>0</v>
      </c>
      <c r="R254">
        <v>0</v>
      </c>
      <c r="S254">
        <v>0</v>
      </c>
      <c r="T254" t="s">
        <v>100</v>
      </c>
      <c r="U254" t="s">
        <v>100</v>
      </c>
      <c r="V254" t="s">
        <v>100</v>
      </c>
      <c r="W254" t="s">
        <v>100</v>
      </c>
      <c r="X254" t="s">
        <v>100</v>
      </c>
      <c r="Y254" t="s">
        <v>100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 t="s">
        <v>316</v>
      </c>
    </row>
    <row r="255" spans="1:94" x14ac:dyDescent="0.35">
      <c r="A255">
        <v>231</v>
      </c>
      <c r="B255">
        <v>45518</v>
      </c>
      <c r="C255" t="s">
        <v>226</v>
      </c>
      <c r="D255" t="s">
        <v>266</v>
      </c>
      <c r="F255" t="s">
        <v>267</v>
      </c>
      <c r="G255" t="s">
        <v>97</v>
      </c>
      <c r="H255">
        <v>96102</v>
      </c>
      <c r="I255" t="s">
        <v>98</v>
      </c>
      <c r="J255">
        <v>4</v>
      </c>
      <c r="K255" t="s">
        <v>99</v>
      </c>
      <c r="L255">
        <v>25.333333329999999</v>
      </c>
      <c r="M255" t="s">
        <v>100</v>
      </c>
      <c r="N255">
        <v>492.1</v>
      </c>
      <c r="O255">
        <v>6.8107476690000004</v>
      </c>
      <c r="P255">
        <v>172.5389409</v>
      </c>
      <c r="Q255">
        <v>0</v>
      </c>
      <c r="R255">
        <v>84906.412840000005</v>
      </c>
      <c r="S255">
        <v>84906.412840000005</v>
      </c>
      <c r="T255">
        <v>0.34583333300000002</v>
      </c>
      <c r="U255">
        <v>0.34930555600000002</v>
      </c>
      <c r="V255">
        <v>0</v>
      </c>
      <c r="W255">
        <v>0</v>
      </c>
      <c r="X255">
        <v>5</v>
      </c>
      <c r="Y255">
        <v>68</v>
      </c>
      <c r="Z255">
        <v>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E255">
        <v>0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94" x14ac:dyDescent="0.35">
      <c r="A256">
        <v>232</v>
      </c>
      <c r="B256">
        <v>45518</v>
      </c>
      <c r="C256" t="s">
        <v>226</v>
      </c>
      <c r="D256" t="s">
        <v>149</v>
      </c>
      <c r="F256" t="s">
        <v>150</v>
      </c>
      <c r="G256" t="s">
        <v>103</v>
      </c>
      <c r="H256">
        <v>10067</v>
      </c>
      <c r="I256" t="s">
        <v>114</v>
      </c>
      <c r="J256">
        <v>4</v>
      </c>
      <c r="K256" t="s">
        <v>106</v>
      </c>
      <c r="L256">
        <v>0</v>
      </c>
      <c r="M256" t="s">
        <v>100</v>
      </c>
      <c r="N256">
        <v>88</v>
      </c>
      <c r="O256">
        <v>3.4073996370000001</v>
      </c>
      <c r="P256">
        <v>0</v>
      </c>
      <c r="Q256">
        <v>0</v>
      </c>
      <c r="R256">
        <v>0</v>
      </c>
      <c r="S256">
        <v>0</v>
      </c>
      <c r="T256" t="s">
        <v>100</v>
      </c>
      <c r="U256" t="s">
        <v>100</v>
      </c>
      <c r="V256" t="s">
        <v>100</v>
      </c>
      <c r="W256" t="s">
        <v>100</v>
      </c>
      <c r="X256" t="s">
        <v>100</v>
      </c>
      <c r="Y256" t="s">
        <v>100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 t="s">
        <v>318</v>
      </c>
    </row>
    <row r="257" spans="1:94" x14ac:dyDescent="0.35">
      <c r="A257">
        <v>233</v>
      </c>
      <c r="B257">
        <v>45518</v>
      </c>
      <c r="C257" t="s">
        <v>226</v>
      </c>
      <c r="D257" t="s">
        <v>166</v>
      </c>
      <c r="F257" t="s">
        <v>167</v>
      </c>
      <c r="G257" t="s">
        <v>97</v>
      </c>
      <c r="H257">
        <v>15055</v>
      </c>
      <c r="I257" t="s">
        <v>105</v>
      </c>
      <c r="J257">
        <v>4</v>
      </c>
      <c r="K257" t="s">
        <v>111</v>
      </c>
      <c r="L257">
        <v>14</v>
      </c>
      <c r="M257" t="s">
        <v>100</v>
      </c>
      <c r="N257">
        <v>42.8</v>
      </c>
      <c r="O257">
        <v>11.8144796</v>
      </c>
      <c r="P257">
        <v>165.40271440000001</v>
      </c>
      <c r="Q257">
        <v>0</v>
      </c>
      <c r="R257">
        <v>7079.2361739999997</v>
      </c>
      <c r="S257">
        <v>7079.2361739999997</v>
      </c>
      <c r="T257">
        <v>0.35486111100000001</v>
      </c>
      <c r="U257">
        <v>0.35833333299999998</v>
      </c>
      <c r="V257">
        <v>0</v>
      </c>
      <c r="W257">
        <v>0</v>
      </c>
      <c r="X257">
        <v>5</v>
      </c>
      <c r="Y257">
        <v>68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94" x14ac:dyDescent="0.35">
      <c r="A258">
        <v>236</v>
      </c>
      <c r="B258">
        <v>45518</v>
      </c>
      <c r="C258" t="s">
        <v>226</v>
      </c>
      <c r="D258" t="s">
        <v>319</v>
      </c>
      <c r="F258" t="s">
        <v>142</v>
      </c>
      <c r="G258" t="s">
        <v>103</v>
      </c>
      <c r="H258">
        <v>3094</v>
      </c>
      <c r="I258" t="s">
        <v>98</v>
      </c>
      <c r="J258">
        <v>4</v>
      </c>
      <c r="K258" t="s">
        <v>123</v>
      </c>
      <c r="L258">
        <v>0</v>
      </c>
      <c r="M258" t="s">
        <v>100</v>
      </c>
      <c r="N258">
        <v>460</v>
      </c>
      <c r="O258">
        <v>7.1470308669999998</v>
      </c>
      <c r="P258">
        <v>0</v>
      </c>
      <c r="Q258">
        <v>0</v>
      </c>
      <c r="R258">
        <v>0</v>
      </c>
      <c r="S258">
        <v>0</v>
      </c>
      <c r="T258" t="s">
        <v>100</v>
      </c>
      <c r="U258" t="s">
        <v>100</v>
      </c>
      <c r="V258" t="s">
        <v>100</v>
      </c>
      <c r="W258" t="s">
        <v>100</v>
      </c>
      <c r="X258" t="s">
        <v>100</v>
      </c>
      <c r="Y258" t="s">
        <v>100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 t="s">
        <v>318</v>
      </c>
    </row>
    <row r="259" spans="1:94" x14ac:dyDescent="0.35">
      <c r="A259">
        <v>238</v>
      </c>
      <c r="B259">
        <v>45518</v>
      </c>
      <c r="C259" t="s">
        <v>226</v>
      </c>
      <c r="D259" t="s">
        <v>291</v>
      </c>
      <c r="F259" t="s">
        <v>292</v>
      </c>
      <c r="G259" t="s">
        <v>103</v>
      </c>
      <c r="H259">
        <v>11029</v>
      </c>
      <c r="I259" t="s">
        <v>114</v>
      </c>
      <c r="J259">
        <v>4</v>
      </c>
      <c r="K259" t="s">
        <v>123</v>
      </c>
      <c r="L259">
        <v>0</v>
      </c>
      <c r="M259" t="s">
        <v>100</v>
      </c>
      <c r="N259">
        <v>424.5</v>
      </c>
      <c r="O259">
        <v>3.8935922129999998</v>
      </c>
      <c r="P259">
        <v>0</v>
      </c>
      <c r="Q259">
        <v>0</v>
      </c>
      <c r="R259">
        <v>0</v>
      </c>
      <c r="S259">
        <v>0</v>
      </c>
      <c r="T259" t="s">
        <v>100</v>
      </c>
      <c r="U259" t="s">
        <v>100</v>
      </c>
      <c r="V259" t="s">
        <v>100</v>
      </c>
      <c r="W259" t="s">
        <v>100</v>
      </c>
      <c r="X259" t="s">
        <v>100</v>
      </c>
      <c r="Y259" t="s">
        <v>100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 t="s">
        <v>318</v>
      </c>
    </row>
    <row r="260" spans="1:94" x14ac:dyDescent="0.35">
      <c r="A260">
        <v>239</v>
      </c>
      <c r="B260">
        <v>45518</v>
      </c>
      <c r="C260" t="s">
        <v>226</v>
      </c>
      <c r="D260" t="s">
        <v>154</v>
      </c>
      <c r="F260" t="s">
        <v>155</v>
      </c>
      <c r="G260" t="s">
        <v>103</v>
      </c>
      <c r="H260">
        <v>9050</v>
      </c>
      <c r="I260" t="s">
        <v>105</v>
      </c>
      <c r="J260">
        <v>3</v>
      </c>
      <c r="K260" t="s">
        <v>106</v>
      </c>
      <c r="L260">
        <v>0</v>
      </c>
      <c r="M260" t="s">
        <v>100</v>
      </c>
      <c r="N260">
        <v>557.4</v>
      </c>
      <c r="O260">
        <v>13.163664000000001</v>
      </c>
      <c r="P260">
        <v>0</v>
      </c>
      <c r="Q260">
        <v>0</v>
      </c>
      <c r="R260">
        <v>0</v>
      </c>
      <c r="S260">
        <v>0</v>
      </c>
      <c r="T260" t="s">
        <v>100</v>
      </c>
      <c r="U260" t="s">
        <v>100</v>
      </c>
      <c r="V260" t="s">
        <v>100</v>
      </c>
      <c r="W260" t="s">
        <v>100</v>
      </c>
      <c r="X260" t="s">
        <v>100</v>
      </c>
      <c r="Y260" t="s">
        <v>100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 t="s">
        <v>318</v>
      </c>
    </row>
    <row r="261" spans="1:94" x14ac:dyDescent="0.35">
      <c r="A261">
        <v>240</v>
      </c>
      <c r="B261">
        <v>45524</v>
      </c>
      <c r="C261" t="s">
        <v>226</v>
      </c>
      <c r="D261" t="s">
        <v>107</v>
      </c>
      <c r="F261" t="s">
        <v>108</v>
      </c>
      <c r="G261" t="s">
        <v>97</v>
      </c>
      <c r="H261" t="s">
        <v>109</v>
      </c>
      <c r="I261" t="s">
        <v>110</v>
      </c>
      <c r="J261">
        <v>4</v>
      </c>
      <c r="K261" t="s">
        <v>111</v>
      </c>
      <c r="L261">
        <v>2.3333333330000001</v>
      </c>
      <c r="M261" t="s">
        <v>100</v>
      </c>
      <c r="N261">
        <v>68.400000000000006</v>
      </c>
      <c r="O261">
        <v>4.1488433149999997</v>
      </c>
      <c r="P261">
        <v>9.6806344020000008</v>
      </c>
      <c r="Q261">
        <v>0</v>
      </c>
      <c r="R261">
        <v>662.15539309999997</v>
      </c>
      <c r="S261">
        <v>662.15539309999997</v>
      </c>
      <c r="T261">
        <v>0.54444444400000003</v>
      </c>
      <c r="U261">
        <v>0.54791666699999997</v>
      </c>
      <c r="V261">
        <v>0</v>
      </c>
      <c r="W261">
        <v>2</v>
      </c>
      <c r="X261">
        <v>20</v>
      </c>
      <c r="Y261">
        <v>69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</row>
    <row r="262" spans="1:94" x14ac:dyDescent="0.35">
      <c r="A262">
        <v>250</v>
      </c>
      <c r="B262">
        <v>45525</v>
      </c>
      <c r="C262" t="s">
        <v>226</v>
      </c>
      <c r="D262" t="s">
        <v>252</v>
      </c>
      <c r="F262" t="s">
        <v>235</v>
      </c>
      <c r="G262" t="s">
        <v>97</v>
      </c>
      <c r="H262">
        <v>1004</v>
      </c>
      <c r="I262" t="s">
        <v>105</v>
      </c>
      <c r="J262">
        <v>4</v>
      </c>
      <c r="K262" t="s">
        <v>111</v>
      </c>
      <c r="L262">
        <v>2.6666666669999999</v>
      </c>
      <c r="M262" t="s">
        <v>100</v>
      </c>
      <c r="N262">
        <v>98.3</v>
      </c>
      <c r="O262">
        <v>21.003519279999999</v>
      </c>
      <c r="P262">
        <v>56.009384760000003</v>
      </c>
      <c r="Q262">
        <v>0</v>
      </c>
      <c r="R262">
        <v>5505.7225209999997</v>
      </c>
      <c r="S262">
        <v>5505.7225209999997</v>
      </c>
      <c r="T262">
        <v>0.396527778</v>
      </c>
      <c r="U262">
        <v>0.4</v>
      </c>
      <c r="V262">
        <v>0</v>
      </c>
      <c r="W262">
        <v>0</v>
      </c>
      <c r="X262">
        <v>5</v>
      </c>
      <c r="Y262">
        <v>62</v>
      </c>
      <c r="Z262">
        <v>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</row>
    <row r="263" spans="1:94" x14ac:dyDescent="0.35">
      <c r="A263">
        <v>253</v>
      </c>
      <c r="B263">
        <v>45525</v>
      </c>
      <c r="C263" t="s">
        <v>226</v>
      </c>
      <c r="D263" t="s">
        <v>132</v>
      </c>
      <c r="F263" t="s">
        <v>125</v>
      </c>
      <c r="G263" t="s">
        <v>97</v>
      </c>
      <c r="H263" t="s">
        <v>133</v>
      </c>
      <c r="I263" t="s">
        <v>105</v>
      </c>
      <c r="J263">
        <v>4</v>
      </c>
      <c r="K263" t="s">
        <v>111</v>
      </c>
      <c r="M263">
        <v>9</v>
      </c>
      <c r="N263">
        <v>94.3</v>
      </c>
      <c r="O263">
        <v>8.5731957570000006</v>
      </c>
      <c r="P263">
        <v>0</v>
      </c>
      <c r="Q263">
        <v>848.7</v>
      </c>
      <c r="R263">
        <v>0</v>
      </c>
      <c r="S263">
        <v>848.7</v>
      </c>
      <c r="T263">
        <v>0.477083333</v>
      </c>
      <c r="U263">
        <v>0.48055555599999999</v>
      </c>
      <c r="V263">
        <v>0</v>
      </c>
      <c r="W263">
        <v>1</v>
      </c>
      <c r="X263">
        <v>3</v>
      </c>
      <c r="Y263">
        <v>68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</row>
    <row r="264" spans="1:94" x14ac:dyDescent="0.35">
      <c r="A264">
        <v>255</v>
      </c>
      <c r="B264">
        <v>45525</v>
      </c>
      <c r="C264" t="s">
        <v>226</v>
      </c>
      <c r="D264" t="s">
        <v>254</v>
      </c>
      <c r="F264" t="s">
        <v>255</v>
      </c>
      <c r="G264" t="s">
        <v>97</v>
      </c>
      <c r="H264">
        <v>95054</v>
      </c>
      <c r="I264" t="s">
        <v>98</v>
      </c>
      <c r="J264">
        <v>4</v>
      </c>
      <c r="K264" t="s">
        <v>99</v>
      </c>
      <c r="L264">
        <v>13.33333333</v>
      </c>
      <c r="M264" t="s">
        <v>100</v>
      </c>
      <c r="N264">
        <v>109.8</v>
      </c>
      <c r="O264">
        <v>16.595373259999999</v>
      </c>
      <c r="P264">
        <v>221.27164350000001</v>
      </c>
      <c r="Q264">
        <v>0</v>
      </c>
      <c r="R264">
        <v>24295.62645</v>
      </c>
      <c r="S264">
        <v>24295.62645</v>
      </c>
      <c r="T264">
        <v>0.42291666700000002</v>
      </c>
      <c r="U264">
        <v>0.42638888899999999</v>
      </c>
      <c r="V264">
        <v>0</v>
      </c>
      <c r="W264">
        <v>1</v>
      </c>
      <c r="X264">
        <v>5</v>
      </c>
      <c r="Y264">
        <v>62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</row>
    <row r="265" spans="1:94" x14ac:dyDescent="0.35">
      <c r="A265">
        <v>259</v>
      </c>
      <c r="B265">
        <v>45525</v>
      </c>
      <c r="C265" t="s">
        <v>226</v>
      </c>
      <c r="D265" t="s">
        <v>258</v>
      </c>
      <c r="F265" t="s">
        <v>182</v>
      </c>
      <c r="G265" t="s">
        <v>97</v>
      </c>
      <c r="H265" t="s">
        <v>259</v>
      </c>
      <c r="I265" t="s">
        <v>110</v>
      </c>
      <c r="J265">
        <v>5</v>
      </c>
      <c r="K265" t="s">
        <v>111</v>
      </c>
      <c r="M265">
        <v>8</v>
      </c>
      <c r="N265">
        <v>76.900000000000006</v>
      </c>
      <c r="O265">
        <v>2.5322529999999999</v>
      </c>
      <c r="P265">
        <v>0</v>
      </c>
      <c r="Q265">
        <v>615.20000000000005</v>
      </c>
      <c r="R265">
        <v>0</v>
      </c>
      <c r="S265">
        <v>615.20000000000005</v>
      </c>
      <c r="T265">
        <v>0.40972222200000002</v>
      </c>
      <c r="U265">
        <v>0.41319444399999999</v>
      </c>
      <c r="V265">
        <v>0</v>
      </c>
      <c r="W265">
        <v>0</v>
      </c>
      <c r="X265">
        <v>0</v>
      </c>
      <c r="Y265">
        <v>62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</row>
    <row r="266" spans="1:94" x14ac:dyDescent="0.35">
      <c r="A266">
        <v>260</v>
      </c>
      <c r="B266">
        <v>45525</v>
      </c>
      <c r="C266" t="s">
        <v>226</v>
      </c>
      <c r="D266" t="s">
        <v>224</v>
      </c>
      <c r="F266" t="s">
        <v>225</v>
      </c>
      <c r="G266" t="s">
        <v>97</v>
      </c>
      <c r="H266">
        <v>16012</v>
      </c>
      <c r="I266" t="s">
        <v>98</v>
      </c>
      <c r="J266">
        <v>4</v>
      </c>
      <c r="K266" t="s">
        <v>99</v>
      </c>
      <c r="L266">
        <v>11.33333333</v>
      </c>
      <c r="M266" t="s">
        <v>100</v>
      </c>
      <c r="N266" t="s">
        <v>100</v>
      </c>
      <c r="O266" t="e">
        <v>#VALUE!</v>
      </c>
      <c r="P266" t="e">
        <v>#VALUE!</v>
      </c>
      <c r="Q266" t="e">
        <v>#VALUE!</v>
      </c>
      <c r="R266" t="e">
        <v>#VALUE!</v>
      </c>
      <c r="S266" t="s">
        <v>100</v>
      </c>
      <c r="T266">
        <v>0.64375000000000004</v>
      </c>
      <c r="U266">
        <v>0.64722222200000001</v>
      </c>
      <c r="V266">
        <v>0</v>
      </c>
      <c r="W266">
        <v>1</v>
      </c>
      <c r="X266">
        <v>0</v>
      </c>
      <c r="Y266">
        <v>74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</row>
    <row r="267" spans="1:94" x14ac:dyDescent="0.35">
      <c r="A267">
        <v>262</v>
      </c>
      <c r="B267">
        <v>45525</v>
      </c>
      <c r="C267" t="s">
        <v>226</v>
      </c>
      <c r="D267" t="s">
        <v>112</v>
      </c>
      <c r="F267" t="s">
        <v>113</v>
      </c>
      <c r="G267" t="s">
        <v>97</v>
      </c>
      <c r="H267">
        <v>11045</v>
      </c>
      <c r="I267" t="s">
        <v>114</v>
      </c>
      <c r="J267">
        <v>4</v>
      </c>
      <c r="K267" t="s">
        <v>111</v>
      </c>
      <c r="M267">
        <v>7</v>
      </c>
      <c r="N267">
        <v>31</v>
      </c>
      <c r="O267">
        <v>9.0432000000000006</v>
      </c>
      <c r="P267">
        <v>0</v>
      </c>
      <c r="Q267">
        <v>217</v>
      </c>
      <c r="R267">
        <v>0</v>
      </c>
      <c r="S267">
        <v>217</v>
      </c>
      <c r="T267">
        <v>0.64861111100000002</v>
      </c>
      <c r="U267">
        <v>0.65208333299999999</v>
      </c>
      <c r="V267">
        <v>0</v>
      </c>
      <c r="W267">
        <v>1</v>
      </c>
      <c r="X267">
        <v>0</v>
      </c>
      <c r="Y267">
        <v>74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</row>
    <row r="268" spans="1:94" x14ac:dyDescent="0.35">
      <c r="A268">
        <v>266</v>
      </c>
      <c r="B268">
        <v>45533</v>
      </c>
      <c r="C268" t="s">
        <v>226</v>
      </c>
      <c r="D268" t="s">
        <v>228</v>
      </c>
      <c r="F268" t="s">
        <v>167</v>
      </c>
      <c r="G268" t="s">
        <v>97</v>
      </c>
      <c r="H268">
        <v>15012</v>
      </c>
      <c r="I268" t="s">
        <v>98</v>
      </c>
      <c r="J268">
        <v>4</v>
      </c>
      <c r="K268" t="s">
        <v>111</v>
      </c>
      <c r="L268">
        <v>7</v>
      </c>
      <c r="M268" t="s">
        <v>100</v>
      </c>
      <c r="N268">
        <v>269.7</v>
      </c>
      <c r="O268">
        <v>7.5987999999999998</v>
      </c>
      <c r="P268">
        <v>53.191600000000001</v>
      </c>
      <c r="Q268">
        <v>0</v>
      </c>
      <c r="R268">
        <v>14345.774520000001</v>
      </c>
      <c r="S268">
        <v>14345.774520000001</v>
      </c>
      <c r="T268">
        <v>0.63055555600000002</v>
      </c>
      <c r="U268">
        <v>0.63402777799999999</v>
      </c>
      <c r="V268">
        <v>0</v>
      </c>
      <c r="W268">
        <v>3</v>
      </c>
      <c r="X268">
        <v>80</v>
      </c>
      <c r="Y268">
        <v>78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</row>
    <row r="269" spans="1:94" x14ac:dyDescent="0.35">
      <c r="A269">
        <v>267</v>
      </c>
      <c r="B269">
        <v>45533</v>
      </c>
      <c r="C269" t="s">
        <v>226</v>
      </c>
      <c r="D269" t="s">
        <v>305</v>
      </c>
      <c r="F269" t="s">
        <v>213</v>
      </c>
      <c r="G269" t="s">
        <v>97</v>
      </c>
      <c r="H269">
        <v>10063</v>
      </c>
      <c r="I269" t="s">
        <v>105</v>
      </c>
      <c r="J269">
        <v>4</v>
      </c>
      <c r="K269" t="s">
        <v>111</v>
      </c>
      <c r="L269">
        <v>8.3333333330000006</v>
      </c>
      <c r="M269" t="s">
        <v>100</v>
      </c>
      <c r="N269" t="s">
        <v>100</v>
      </c>
      <c r="O269" t="e">
        <v>#VALUE!</v>
      </c>
      <c r="P269" t="e">
        <v>#VALUE!</v>
      </c>
      <c r="Q269" t="e">
        <v>#VALUE!</v>
      </c>
      <c r="R269" t="e">
        <v>#VALUE!</v>
      </c>
      <c r="S269" t="s">
        <v>100</v>
      </c>
      <c r="T269">
        <v>0.63888888899999996</v>
      </c>
      <c r="U269">
        <v>0.64236111100000004</v>
      </c>
      <c r="V269">
        <v>0</v>
      </c>
      <c r="W269">
        <v>3</v>
      </c>
      <c r="X269">
        <v>80</v>
      </c>
      <c r="Y269">
        <v>78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</row>
    <row r="270" spans="1:94" x14ac:dyDescent="0.35">
      <c r="A270">
        <v>268</v>
      </c>
      <c r="B270">
        <v>45533</v>
      </c>
      <c r="C270" t="s">
        <v>226</v>
      </c>
      <c r="D270" t="s">
        <v>229</v>
      </c>
      <c r="F270" t="s">
        <v>230</v>
      </c>
      <c r="G270" t="s">
        <v>97</v>
      </c>
      <c r="H270">
        <v>15049</v>
      </c>
      <c r="I270" t="s">
        <v>114</v>
      </c>
      <c r="J270">
        <v>4</v>
      </c>
      <c r="K270" t="s">
        <v>111</v>
      </c>
      <c r="L270">
        <v>2.6666666669999999</v>
      </c>
      <c r="M270" t="s">
        <v>100</v>
      </c>
      <c r="N270">
        <v>107.9</v>
      </c>
      <c r="O270">
        <v>1.5078279999999999</v>
      </c>
      <c r="P270">
        <v>4.0208746670000002</v>
      </c>
      <c r="Q270">
        <v>0</v>
      </c>
      <c r="R270">
        <v>433.85237649999999</v>
      </c>
      <c r="S270">
        <v>433.85237649999999</v>
      </c>
      <c r="T270">
        <v>0.61597222200000001</v>
      </c>
      <c r="U270">
        <v>0.61944444399999998</v>
      </c>
      <c r="V270">
        <v>0</v>
      </c>
      <c r="W270">
        <v>3</v>
      </c>
      <c r="X270">
        <v>100</v>
      </c>
      <c r="Y270">
        <v>78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</row>
    <row r="271" spans="1:94" x14ac:dyDescent="0.35">
      <c r="A271">
        <v>269</v>
      </c>
      <c r="B271">
        <v>45533</v>
      </c>
      <c r="C271" t="s">
        <v>226</v>
      </c>
      <c r="D271" t="s">
        <v>194</v>
      </c>
      <c r="F271" t="s">
        <v>195</v>
      </c>
      <c r="G271" t="s">
        <v>97</v>
      </c>
      <c r="H271">
        <v>1127</v>
      </c>
      <c r="I271" t="s">
        <v>105</v>
      </c>
      <c r="J271">
        <v>4</v>
      </c>
      <c r="K271" t="s">
        <v>99</v>
      </c>
      <c r="L271">
        <v>1.3333333329999999</v>
      </c>
      <c r="M271" t="s">
        <v>100</v>
      </c>
      <c r="N271">
        <v>126.2</v>
      </c>
      <c r="O271">
        <v>2.9899079999999998</v>
      </c>
      <c r="P271">
        <v>3.9865439999999999</v>
      </c>
      <c r="Q271">
        <v>0</v>
      </c>
      <c r="R271">
        <v>503.10185280000002</v>
      </c>
      <c r="S271">
        <v>503.10185280000002</v>
      </c>
      <c r="T271">
        <v>0.65208333299999999</v>
      </c>
      <c r="U271">
        <v>0.65555555600000004</v>
      </c>
      <c r="V271">
        <v>0</v>
      </c>
      <c r="W271">
        <v>3</v>
      </c>
      <c r="X271">
        <v>100</v>
      </c>
      <c r="Y271">
        <v>78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</row>
    <row r="272" spans="1:94" x14ac:dyDescent="0.35">
      <c r="A272">
        <v>270</v>
      </c>
      <c r="B272">
        <v>45533</v>
      </c>
      <c r="C272" t="s">
        <v>226</v>
      </c>
      <c r="D272" t="s">
        <v>307</v>
      </c>
      <c r="F272" t="s">
        <v>265</v>
      </c>
      <c r="G272" t="s">
        <v>97</v>
      </c>
      <c r="H272">
        <v>1072</v>
      </c>
      <c r="I272" t="s">
        <v>110</v>
      </c>
      <c r="J272">
        <v>4</v>
      </c>
      <c r="K272" t="s">
        <v>111</v>
      </c>
      <c r="L272">
        <v>16.666666670000001</v>
      </c>
      <c r="M272" t="s">
        <v>100</v>
      </c>
      <c r="N272" t="s">
        <v>100</v>
      </c>
      <c r="O272" t="e">
        <v>#VALUE!</v>
      </c>
      <c r="P272" t="e">
        <v>#VALUE!</v>
      </c>
      <c r="Q272" t="e">
        <v>#VALUE!</v>
      </c>
      <c r="R272" t="e">
        <v>#VALUE!</v>
      </c>
      <c r="S272" t="s">
        <v>100</v>
      </c>
      <c r="T272">
        <v>0.623611111</v>
      </c>
      <c r="U272">
        <v>0.62708333299999997</v>
      </c>
      <c r="V272">
        <v>0</v>
      </c>
      <c r="W272">
        <v>3</v>
      </c>
      <c r="X272">
        <v>25</v>
      </c>
      <c r="Y272">
        <v>78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</row>
    <row r="273" spans="1:94" x14ac:dyDescent="0.35">
      <c r="A273">
        <v>271</v>
      </c>
      <c r="B273">
        <v>45533</v>
      </c>
      <c r="C273" t="s">
        <v>226</v>
      </c>
      <c r="D273" t="s">
        <v>320</v>
      </c>
      <c r="F273" t="s">
        <v>321</v>
      </c>
      <c r="G273" t="s">
        <v>97</v>
      </c>
      <c r="H273">
        <v>1126</v>
      </c>
      <c r="I273" t="s">
        <v>105</v>
      </c>
      <c r="J273">
        <v>4</v>
      </c>
      <c r="K273" t="s">
        <v>99</v>
      </c>
      <c r="L273">
        <v>11.33333333</v>
      </c>
      <c r="M273" t="s">
        <v>100</v>
      </c>
      <c r="N273" t="s">
        <v>100</v>
      </c>
      <c r="O273" t="e">
        <v>#VALUE!</v>
      </c>
      <c r="P273" t="e">
        <v>#VALUE!</v>
      </c>
      <c r="Q273" t="e">
        <v>#VALUE!</v>
      </c>
      <c r="R273" t="e">
        <v>#VALUE!</v>
      </c>
      <c r="S273" t="s">
        <v>100</v>
      </c>
      <c r="T273">
        <v>0.65972222199999997</v>
      </c>
      <c r="U273">
        <v>0.66319444400000005</v>
      </c>
      <c r="V273">
        <v>0</v>
      </c>
      <c r="W273">
        <v>3</v>
      </c>
      <c r="X273">
        <v>100</v>
      </c>
      <c r="Y273">
        <v>78</v>
      </c>
      <c r="Z273">
        <v>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</row>
    <row r="274" spans="1:94" x14ac:dyDescent="0.35">
      <c r="A274">
        <v>272</v>
      </c>
      <c r="B274">
        <v>45533</v>
      </c>
      <c r="C274" t="s">
        <v>226</v>
      </c>
      <c r="D274" t="s">
        <v>246</v>
      </c>
      <c r="F274" t="s">
        <v>247</v>
      </c>
      <c r="G274" t="s">
        <v>97</v>
      </c>
      <c r="H274" t="s">
        <v>248</v>
      </c>
      <c r="I274" t="s">
        <v>98</v>
      </c>
      <c r="J274">
        <v>4</v>
      </c>
      <c r="K274" t="s">
        <v>99</v>
      </c>
      <c r="L274">
        <v>3.3333333330000001</v>
      </c>
      <c r="M274" t="s">
        <v>100</v>
      </c>
      <c r="N274">
        <v>243</v>
      </c>
      <c r="O274">
        <v>3.1764581629999999</v>
      </c>
      <c r="P274">
        <v>10.58819388</v>
      </c>
      <c r="Q274">
        <v>0</v>
      </c>
      <c r="R274">
        <v>2572.9311120000002</v>
      </c>
      <c r="S274">
        <v>2572.9311120000002</v>
      </c>
      <c r="T274">
        <v>0.47569444399999999</v>
      </c>
      <c r="U274">
        <v>0.47916666699999999</v>
      </c>
      <c r="V274">
        <v>0</v>
      </c>
      <c r="W274">
        <v>2</v>
      </c>
      <c r="X274">
        <v>100</v>
      </c>
      <c r="Y274">
        <v>75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</row>
    <row r="275" spans="1:94" x14ac:dyDescent="0.35">
      <c r="A275">
        <v>273</v>
      </c>
      <c r="B275">
        <v>45533</v>
      </c>
      <c r="C275" t="s">
        <v>226</v>
      </c>
      <c r="D275" t="s">
        <v>212</v>
      </c>
      <c r="F275" t="s">
        <v>213</v>
      </c>
      <c r="G275" t="s">
        <v>97</v>
      </c>
      <c r="H275">
        <v>10063</v>
      </c>
      <c r="I275" t="s">
        <v>105</v>
      </c>
      <c r="J275">
        <v>5</v>
      </c>
      <c r="K275" t="s">
        <v>111</v>
      </c>
      <c r="L275">
        <v>5.3333333329999997</v>
      </c>
      <c r="M275" t="s">
        <v>100</v>
      </c>
      <c r="N275">
        <v>349.6</v>
      </c>
      <c r="O275">
        <v>18.187653950000001</v>
      </c>
      <c r="P275">
        <v>97.000821049999999</v>
      </c>
      <c r="Q275">
        <v>0</v>
      </c>
      <c r="R275">
        <v>33911.48704</v>
      </c>
      <c r="S275">
        <v>33911.48704</v>
      </c>
      <c r="T275">
        <v>0.48402777800000002</v>
      </c>
      <c r="U275">
        <v>0.48749999999999999</v>
      </c>
      <c r="V275">
        <v>0</v>
      </c>
      <c r="W275">
        <v>2</v>
      </c>
      <c r="X275">
        <v>100</v>
      </c>
      <c r="Y275">
        <v>75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0</v>
      </c>
    </row>
    <row r="276" spans="1:94" x14ac:dyDescent="0.35">
      <c r="A276">
        <v>274</v>
      </c>
      <c r="B276">
        <v>45531</v>
      </c>
      <c r="C276" t="s">
        <v>226</v>
      </c>
      <c r="D276" t="s">
        <v>250</v>
      </c>
      <c r="F276" t="s">
        <v>233</v>
      </c>
      <c r="G276" t="s">
        <v>97</v>
      </c>
      <c r="H276">
        <v>12020</v>
      </c>
      <c r="I276" t="s">
        <v>98</v>
      </c>
      <c r="J276">
        <v>4</v>
      </c>
      <c r="K276" t="s">
        <v>99</v>
      </c>
      <c r="L276">
        <v>3</v>
      </c>
      <c r="M276" t="s">
        <v>100</v>
      </c>
      <c r="N276">
        <v>167.9</v>
      </c>
      <c r="O276">
        <v>16.08081945</v>
      </c>
      <c r="P276">
        <v>48.24245835</v>
      </c>
      <c r="Q276">
        <v>0</v>
      </c>
      <c r="R276">
        <v>8099.9087579999996</v>
      </c>
      <c r="S276">
        <v>8099.9087579999996</v>
      </c>
      <c r="T276">
        <v>0.73055555599999999</v>
      </c>
      <c r="U276">
        <v>0.73402777799999996</v>
      </c>
      <c r="V276">
        <v>0</v>
      </c>
      <c r="W276">
        <v>0</v>
      </c>
      <c r="X276">
        <v>50</v>
      </c>
      <c r="Y276">
        <v>88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</row>
    <row r="277" spans="1:94" x14ac:dyDescent="0.35">
      <c r="A277">
        <v>275</v>
      </c>
      <c r="B277">
        <v>45533</v>
      </c>
      <c r="C277" t="s">
        <v>226</v>
      </c>
      <c r="D277" t="s">
        <v>266</v>
      </c>
      <c r="F277" t="s">
        <v>267</v>
      </c>
      <c r="G277" t="s">
        <v>97</v>
      </c>
      <c r="H277">
        <v>96102</v>
      </c>
      <c r="I277" t="s">
        <v>98</v>
      </c>
      <c r="J277">
        <v>4</v>
      </c>
      <c r="K277" t="s">
        <v>99</v>
      </c>
      <c r="L277">
        <v>4.3333333329999997</v>
      </c>
      <c r="M277" t="s">
        <v>100</v>
      </c>
      <c r="N277">
        <v>492.1</v>
      </c>
      <c r="O277">
        <v>6.8107476690000004</v>
      </c>
      <c r="P277">
        <v>29.513239899999999</v>
      </c>
      <c r="Q277">
        <v>0</v>
      </c>
      <c r="R277">
        <v>14523.46535</v>
      </c>
      <c r="S277">
        <v>14523.46535</v>
      </c>
      <c r="T277">
        <v>0.49236111100000002</v>
      </c>
      <c r="U277">
        <v>0.49583333299999999</v>
      </c>
      <c r="V277">
        <v>0</v>
      </c>
      <c r="W277">
        <v>1</v>
      </c>
      <c r="X277">
        <v>100</v>
      </c>
      <c r="Y277">
        <v>75</v>
      </c>
      <c r="Z277">
        <v>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94" x14ac:dyDescent="0.35">
      <c r="A278">
        <v>276</v>
      </c>
      <c r="B278">
        <v>45533</v>
      </c>
      <c r="C278" t="s">
        <v>226</v>
      </c>
      <c r="D278" t="s">
        <v>166</v>
      </c>
      <c r="F278" t="s">
        <v>167</v>
      </c>
      <c r="G278" t="s">
        <v>97</v>
      </c>
      <c r="H278">
        <v>15055</v>
      </c>
      <c r="I278" t="s">
        <v>105</v>
      </c>
      <c r="J278">
        <v>4</v>
      </c>
      <c r="K278" t="s">
        <v>111</v>
      </c>
      <c r="L278">
        <v>3</v>
      </c>
      <c r="M278" t="s">
        <v>100</v>
      </c>
      <c r="N278">
        <v>42.8</v>
      </c>
      <c r="O278">
        <v>11.8144796</v>
      </c>
      <c r="P278">
        <v>35.443438790000002</v>
      </c>
      <c r="Q278">
        <v>0</v>
      </c>
      <c r="R278">
        <v>1516.97918</v>
      </c>
      <c r="S278">
        <v>1516.97918</v>
      </c>
      <c r="T278">
        <v>0.50208333299999997</v>
      </c>
      <c r="U278">
        <v>0.50555555600000002</v>
      </c>
      <c r="V278">
        <v>0</v>
      </c>
      <c r="W278">
        <v>1</v>
      </c>
      <c r="X278">
        <v>100</v>
      </c>
      <c r="Y278">
        <v>76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94" x14ac:dyDescent="0.35">
      <c r="A279">
        <v>277</v>
      </c>
      <c r="B279">
        <v>45533</v>
      </c>
      <c r="C279" t="s">
        <v>226</v>
      </c>
      <c r="D279" t="s">
        <v>262</v>
      </c>
      <c r="F279" t="s">
        <v>263</v>
      </c>
      <c r="G279" t="s">
        <v>97</v>
      </c>
      <c r="H279">
        <v>97033</v>
      </c>
      <c r="I279" t="s">
        <v>98</v>
      </c>
      <c r="J279">
        <v>4</v>
      </c>
      <c r="K279" t="s">
        <v>99</v>
      </c>
      <c r="L279">
        <v>3.3333333330000001</v>
      </c>
      <c r="M279" t="s">
        <v>100</v>
      </c>
      <c r="N279">
        <v>160.69999999999999</v>
      </c>
      <c r="O279">
        <v>14.58577728</v>
      </c>
      <c r="P279">
        <v>48.619257599999997</v>
      </c>
      <c r="Q279">
        <v>0</v>
      </c>
      <c r="R279">
        <v>7813.1146959999996</v>
      </c>
      <c r="S279">
        <v>7813.1146959999996</v>
      </c>
      <c r="T279">
        <v>0.50972222199999995</v>
      </c>
      <c r="U279">
        <v>0.51319444400000003</v>
      </c>
      <c r="V279">
        <v>0</v>
      </c>
      <c r="W279">
        <v>1</v>
      </c>
      <c r="X279">
        <v>100</v>
      </c>
      <c r="Y279">
        <v>76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 t="s">
        <v>322</v>
      </c>
    </row>
    <row r="280" spans="1:94" x14ac:dyDescent="0.35">
      <c r="A280">
        <v>278</v>
      </c>
      <c r="B280">
        <v>45531</v>
      </c>
      <c r="C280" t="s">
        <v>226</v>
      </c>
      <c r="D280" t="s">
        <v>264</v>
      </c>
      <c r="F280" t="s">
        <v>265</v>
      </c>
      <c r="G280" t="s">
        <v>97</v>
      </c>
      <c r="H280">
        <v>1072</v>
      </c>
      <c r="I280" t="s">
        <v>110</v>
      </c>
      <c r="J280">
        <v>4</v>
      </c>
      <c r="K280" t="s">
        <v>111</v>
      </c>
      <c r="L280">
        <v>15</v>
      </c>
      <c r="M280" t="s">
        <v>100</v>
      </c>
      <c r="N280">
        <v>104.4</v>
      </c>
      <c r="O280">
        <v>14.58577728</v>
      </c>
      <c r="P280">
        <v>218.7866592</v>
      </c>
      <c r="Q280">
        <v>0</v>
      </c>
      <c r="R280">
        <v>22841.327219999999</v>
      </c>
      <c r="S280">
        <v>22841.327219999999</v>
      </c>
      <c r="T280">
        <v>0.73680555599999997</v>
      </c>
      <c r="U280">
        <v>0.74027777800000005</v>
      </c>
      <c r="V280">
        <v>0</v>
      </c>
      <c r="W280">
        <v>0</v>
      </c>
      <c r="X280">
        <v>50</v>
      </c>
      <c r="Y280">
        <v>88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94" x14ac:dyDescent="0.35">
      <c r="A281">
        <v>279</v>
      </c>
      <c r="B281">
        <v>45533</v>
      </c>
      <c r="C281" t="s">
        <v>226</v>
      </c>
      <c r="D281" t="s">
        <v>156</v>
      </c>
      <c r="F281" t="s">
        <v>157</v>
      </c>
      <c r="G281" t="s">
        <v>97</v>
      </c>
      <c r="H281">
        <v>93021</v>
      </c>
      <c r="I281" t="s">
        <v>98</v>
      </c>
      <c r="J281" t="s">
        <v>100</v>
      </c>
      <c r="K281" t="s">
        <v>99</v>
      </c>
      <c r="L281">
        <v>5</v>
      </c>
      <c r="M281" t="s">
        <v>100</v>
      </c>
      <c r="N281">
        <v>404.7</v>
      </c>
      <c r="O281">
        <v>9.3348974590000005</v>
      </c>
      <c r="P281">
        <v>46.674487300000003</v>
      </c>
      <c r="Q281">
        <v>0</v>
      </c>
      <c r="R281">
        <v>18889.165010000001</v>
      </c>
      <c r="S281">
        <v>18889.165010000001</v>
      </c>
      <c r="T281">
        <v>0.51944444400000001</v>
      </c>
      <c r="U281">
        <v>0.52291666699999995</v>
      </c>
      <c r="V281">
        <v>0</v>
      </c>
      <c r="W281">
        <v>2</v>
      </c>
      <c r="X281">
        <v>100</v>
      </c>
      <c r="Y281">
        <v>76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4" x14ac:dyDescent="0.35">
      <c r="A282">
        <v>280</v>
      </c>
      <c r="B282">
        <v>45533</v>
      </c>
      <c r="C282" t="s">
        <v>226</v>
      </c>
      <c r="D282" t="s">
        <v>252</v>
      </c>
      <c r="F282" t="s">
        <v>235</v>
      </c>
      <c r="G282" t="s">
        <v>97</v>
      </c>
      <c r="H282">
        <v>1004</v>
      </c>
      <c r="I282" t="s">
        <v>105</v>
      </c>
      <c r="J282">
        <v>4</v>
      </c>
      <c r="K282" t="s">
        <v>111</v>
      </c>
      <c r="L282">
        <v>3.3333333330000001</v>
      </c>
      <c r="M282" t="s">
        <v>100</v>
      </c>
      <c r="N282">
        <v>98.3</v>
      </c>
      <c r="O282">
        <v>21.003519279999999</v>
      </c>
      <c r="P282">
        <v>70.011730940000007</v>
      </c>
      <c r="Q282">
        <v>0</v>
      </c>
      <c r="R282">
        <v>6882.1531519999999</v>
      </c>
      <c r="S282">
        <v>6882.1531519999999</v>
      </c>
      <c r="T282">
        <v>0.52430555599999995</v>
      </c>
      <c r="U282">
        <v>0.52777777800000003</v>
      </c>
      <c r="V282">
        <v>0</v>
      </c>
      <c r="W282">
        <v>1</v>
      </c>
      <c r="X282">
        <v>100</v>
      </c>
      <c r="Y282">
        <v>76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94" x14ac:dyDescent="0.35">
      <c r="A283">
        <v>281</v>
      </c>
      <c r="B283">
        <v>45531</v>
      </c>
      <c r="C283" t="s">
        <v>226</v>
      </c>
      <c r="D283" t="s">
        <v>273</v>
      </c>
      <c r="F283" t="s">
        <v>198</v>
      </c>
      <c r="G283" t="s">
        <v>97</v>
      </c>
      <c r="H283">
        <v>98053</v>
      </c>
      <c r="I283" t="s">
        <v>114</v>
      </c>
      <c r="J283">
        <v>4</v>
      </c>
      <c r="K283" t="s">
        <v>111</v>
      </c>
      <c r="L283">
        <v>8</v>
      </c>
      <c r="M283" t="s">
        <v>100</v>
      </c>
      <c r="N283">
        <v>232.8</v>
      </c>
      <c r="O283">
        <v>13.163664000000001</v>
      </c>
      <c r="P283">
        <v>105.30931200000001</v>
      </c>
      <c r="Q283">
        <v>0</v>
      </c>
      <c r="R283">
        <v>24516.007819999999</v>
      </c>
      <c r="S283">
        <v>24516.007819999999</v>
      </c>
      <c r="T283">
        <v>0.74444444399999998</v>
      </c>
      <c r="U283">
        <v>0.74791666700000003</v>
      </c>
      <c r="V283">
        <v>0</v>
      </c>
      <c r="W283">
        <v>0</v>
      </c>
      <c r="X283">
        <v>25</v>
      </c>
      <c r="Y283">
        <v>88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94" x14ac:dyDescent="0.35">
      <c r="A284">
        <v>282</v>
      </c>
      <c r="B284">
        <v>45533</v>
      </c>
      <c r="C284" t="s">
        <v>226</v>
      </c>
      <c r="D284" t="s">
        <v>253</v>
      </c>
      <c r="F284" t="s">
        <v>242</v>
      </c>
      <c r="G284" t="s">
        <v>97</v>
      </c>
      <c r="H284">
        <v>11044</v>
      </c>
      <c r="I284" t="s">
        <v>114</v>
      </c>
      <c r="J284">
        <v>4</v>
      </c>
      <c r="K284" t="s">
        <v>99</v>
      </c>
      <c r="M284">
        <v>8</v>
      </c>
      <c r="N284">
        <v>88.6</v>
      </c>
      <c r="O284">
        <v>4.4121976270000003</v>
      </c>
      <c r="P284">
        <v>0</v>
      </c>
      <c r="Q284">
        <v>708.8</v>
      </c>
      <c r="R284">
        <v>0</v>
      </c>
      <c r="S284">
        <v>708.8</v>
      </c>
      <c r="T284">
        <v>0.53749999999999998</v>
      </c>
      <c r="U284">
        <v>0.54097222199999995</v>
      </c>
      <c r="V284">
        <v>0</v>
      </c>
      <c r="W284">
        <v>2</v>
      </c>
      <c r="X284">
        <v>85</v>
      </c>
      <c r="Y284">
        <v>76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4" x14ac:dyDescent="0.35">
      <c r="A285">
        <v>283</v>
      </c>
      <c r="B285">
        <v>45533</v>
      </c>
      <c r="C285" t="s">
        <v>226</v>
      </c>
      <c r="D285" t="s">
        <v>254</v>
      </c>
      <c r="F285" t="s">
        <v>255</v>
      </c>
      <c r="G285" t="s">
        <v>97</v>
      </c>
      <c r="H285">
        <v>95054</v>
      </c>
      <c r="I285" t="s">
        <v>98</v>
      </c>
      <c r="J285">
        <v>4</v>
      </c>
      <c r="K285" t="s">
        <v>99</v>
      </c>
      <c r="L285">
        <v>11.66666667</v>
      </c>
      <c r="M285" t="s">
        <v>100</v>
      </c>
      <c r="N285">
        <v>109.8</v>
      </c>
      <c r="O285">
        <v>16.595373259999999</v>
      </c>
      <c r="P285">
        <v>193.61268799999999</v>
      </c>
      <c r="Q285">
        <v>0</v>
      </c>
      <c r="R285">
        <v>21258.673149999999</v>
      </c>
      <c r="S285">
        <v>21258.673149999999</v>
      </c>
      <c r="T285">
        <v>0.54722222200000004</v>
      </c>
      <c r="U285">
        <v>0.55069444400000001</v>
      </c>
      <c r="V285">
        <v>0</v>
      </c>
      <c r="W285">
        <v>2</v>
      </c>
      <c r="X285">
        <v>100</v>
      </c>
      <c r="Y285">
        <v>76</v>
      </c>
      <c r="Z285">
        <v>5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94" x14ac:dyDescent="0.35">
      <c r="A286">
        <v>284</v>
      </c>
      <c r="B286">
        <v>45533</v>
      </c>
      <c r="C286" t="s">
        <v>226</v>
      </c>
      <c r="D286" t="s">
        <v>257</v>
      </c>
      <c r="F286" t="s">
        <v>180</v>
      </c>
      <c r="G286" t="s">
        <v>97</v>
      </c>
      <c r="H286">
        <v>1005</v>
      </c>
      <c r="I286" t="s">
        <v>105</v>
      </c>
      <c r="J286">
        <v>4</v>
      </c>
      <c r="K286" t="s">
        <v>111</v>
      </c>
      <c r="L286">
        <v>3.6666666669999999</v>
      </c>
      <c r="M286" t="s">
        <v>100</v>
      </c>
      <c r="N286">
        <v>91.7</v>
      </c>
      <c r="O286">
        <v>8.2044997199999994</v>
      </c>
      <c r="P286">
        <v>30.083165640000001</v>
      </c>
      <c r="Q286">
        <v>0</v>
      </c>
      <c r="R286">
        <v>2758.6262889999998</v>
      </c>
      <c r="S286">
        <v>2758.6262889999998</v>
      </c>
      <c r="T286">
        <v>0.60347222199999995</v>
      </c>
      <c r="U286">
        <v>0.60694444400000003</v>
      </c>
      <c r="V286">
        <v>0</v>
      </c>
      <c r="W286">
        <v>2</v>
      </c>
      <c r="X286">
        <v>100</v>
      </c>
      <c r="Y286">
        <v>78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94" x14ac:dyDescent="0.35">
      <c r="A287">
        <v>285</v>
      </c>
      <c r="B287">
        <v>45533</v>
      </c>
      <c r="C287" t="s">
        <v>226</v>
      </c>
      <c r="D287" t="s">
        <v>258</v>
      </c>
      <c r="F287" t="s">
        <v>182</v>
      </c>
      <c r="G287" t="s">
        <v>97</v>
      </c>
      <c r="H287" t="s">
        <v>259</v>
      </c>
      <c r="I287" t="s">
        <v>110</v>
      </c>
      <c r="J287">
        <v>5</v>
      </c>
      <c r="K287" t="s">
        <v>111</v>
      </c>
      <c r="M287">
        <v>5</v>
      </c>
      <c r="N287">
        <v>76.900000000000006</v>
      </c>
      <c r="O287">
        <v>2.5322529999999999</v>
      </c>
      <c r="P287">
        <v>0</v>
      </c>
      <c r="Q287">
        <v>384.5</v>
      </c>
      <c r="R287">
        <v>0</v>
      </c>
      <c r="S287">
        <v>384.5</v>
      </c>
      <c r="T287">
        <v>0.53125</v>
      </c>
      <c r="U287">
        <v>0.53472222199999997</v>
      </c>
      <c r="V287">
        <v>0</v>
      </c>
      <c r="W287">
        <v>0</v>
      </c>
      <c r="X287">
        <v>100</v>
      </c>
      <c r="Y287">
        <v>76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94" x14ac:dyDescent="0.35">
      <c r="A288">
        <v>286</v>
      </c>
      <c r="B288">
        <v>45531</v>
      </c>
      <c r="C288" t="s">
        <v>226</v>
      </c>
      <c r="D288" t="s">
        <v>147</v>
      </c>
      <c r="F288" t="s">
        <v>148</v>
      </c>
      <c r="G288" t="s">
        <v>103</v>
      </c>
      <c r="H288">
        <v>18022</v>
      </c>
      <c r="I288" t="s">
        <v>98</v>
      </c>
      <c r="J288">
        <v>3</v>
      </c>
      <c r="K288" t="s">
        <v>123</v>
      </c>
      <c r="M288">
        <v>7</v>
      </c>
      <c r="N288">
        <v>563.42857140000001</v>
      </c>
      <c r="O288">
        <v>9.3348974590000005</v>
      </c>
      <c r="P288">
        <v>0</v>
      </c>
      <c r="Q288">
        <v>3944</v>
      </c>
      <c r="R288">
        <v>0</v>
      </c>
      <c r="S288">
        <v>3944</v>
      </c>
      <c r="T288">
        <v>0.43680555599999998</v>
      </c>
      <c r="U288">
        <v>0.44027777800000001</v>
      </c>
      <c r="V288">
        <v>0</v>
      </c>
      <c r="W288">
        <v>1</v>
      </c>
      <c r="X288">
        <v>100</v>
      </c>
      <c r="Y288">
        <v>86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BC3F-EE20-4130-82C4-3581C7544295}">
  <dimension ref="A1:BS288"/>
  <sheetViews>
    <sheetView tabSelected="1" workbookViewId="0">
      <pane xSplit="2" ySplit="1" topLeftCell="C272" activePane="bottomRight" state="frozen"/>
      <selection pane="topRight" activeCell="C1" sqref="C1"/>
      <selection pane="bottomLeft" activeCell="A2" sqref="A2"/>
      <selection pane="bottomRight" activeCell="D289" sqref="D289"/>
    </sheetView>
  </sheetViews>
  <sheetFormatPr defaultRowHeight="14.5" x14ac:dyDescent="0.35"/>
  <cols>
    <col min="1" max="1" width="11.1796875" bestFit="1" customWidth="1"/>
    <col min="3" max="3" width="8.7265625" style="4"/>
  </cols>
  <sheetData>
    <row r="1" spans="1:71" x14ac:dyDescent="0.35">
      <c r="A1" t="s">
        <v>344</v>
      </c>
      <c r="B1" t="s">
        <v>345</v>
      </c>
      <c r="C1" s="4" t="s">
        <v>346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</row>
    <row r="2" spans="1:71" ht="21" x14ac:dyDescent="0.5">
      <c r="A2">
        <v>1</v>
      </c>
      <c r="B2">
        <v>5</v>
      </c>
      <c r="C2" s="4">
        <f>SUM(B2)</f>
        <v>5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7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7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6">
        <v>1</v>
      </c>
      <c r="AU2" s="7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s="6">
        <v>1</v>
      </c>
    </row>
    <row r="3" spans="1:71" x14ac:dyDescent="0.35">
      <c r="A3">
        <v>2</v>
      </c>
      <c r="B3">
        <v>0</v>
      </c>
      <c r="C3" s="4">
        <f>SUM($B$2:$B3)</f>
        <v>5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ht="21" x14ac:dyDescent="0.5">
      <c r="A4">
        <v>3</v>
      </c>
      <c r="B4">
        <v>3</v>
      </c>
      <c r="C4" s="4">
        <f>SUM($B$2:$B4)</f>
        <v>8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 s="7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s="7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ht="18.5" x14ac:dyDescent="0.45">
      <c r="A5">
        <v>4</v>
      </c>
      <c r="B5">
        <v>1</v>
      </c>
      <c r="C5" s="4">
        <f>SUM($B$2:$B5)</f>
        <v>9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s="6">
        <v>1</v>
      </c>
      <c r="BP5">
        <v>0</v>
      </c>
      <c r="BQ5">
        <v>0</v>
      </c>
      <c r="BR5">
        <v>0</v>
      </c>
      <c r="BS5">
        <v>0</v>
      </c>
    </row>
    <row r="6" spans="1:71" ht="23.5" x14ac:dyDescent="0.55000000000000004">
      <c r="A6">
        <v>5</v>
      </c>
      <c r="B6">
        <v>2</v>
      </c>
      <c r="C6" s="4">
        <f>SUM($B$2:$B6)</f>
        <v>11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8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35">
      <c r="A7">
        <v>6</v>
      </c>
      <c r="B7">
        <v>0</v>
      </c>
      <c r="C7" s="4">
        <f>SUM($B$2:$B7)</f>
        <v>11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ht="23.5" x14ac:dyDescent="0.55000000000000004">
      <c r="A8">
        <v>7</v>
      </c>
      <c r="B8">
        <v>1</v>
      </c>
      <c r="C8" s="4">
        <f>SUM($B$2:$B8)</f>
        <v>12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8">
        <v>1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</row>
    <row r="9" spans="1:71" ht="21" x14ac:dyDescent="0.5">
      <c r="A9">
        <v>8</v>
      </c>
      <c r="B9">
        <v>3</v>
      </c>
      <c r="C9" s="4">
        <f>SUM($B$2:$B9)</f>
        <v>15</v>
      </c>
      <c r="D9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 s="6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7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35">
      <c r="A10">
        <v>9</v>
      </c>
      <c r="B10">
        <v>0</v>
      </c>
      <c r="C10" s="4">
        <f>SUM($B$2:$B10)</f>
        <v>15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35">
      <c r="A11">
        <v>10</v>
      </c>
      <c r="B11">
        <v>0</v>
      </c>
      <c r="C11" s="4">
        <f>SUM($B$2:$B11)</f>
        <v>15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35">
      <c r="A12">
        <v>11</v>
      </c>
      <c r="B12">
        <v>0</v>
      </c>
      <c r="C12" s="4">
        <f>SUM($B$2:$B12)</f>
        <v>15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ht="21" x14ac:dyDescent="0.5">
      <c r="A13">
        <v>12</v>
      </c>
      <c r="B13">
        <v>1</v>
      </c>
      <c r="C13" s="4">
        <f>SUM($B$2:$B13)</f>
        <v>16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7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ht="21" x14ac:dyDescent="0.5">
      <c r="A14">
        <v>13</v>
      </c>
      <c r="B14">
        <v>1</v>
      </c>
      <c r="C14" s="4">
        <f>SUM($B$2:$B14)</f>
        <v>17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 s="7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35">
      <c r="A15">
        <v>14</v>
      </c>
      <c r="B15">
        <v>0</v>
      </c>
      <c r="C15" s="4">
        <f>SUM($B$2:$B15)</f>
        <v>17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ht="21" x14ac:dyDescent="0.5">
      <c r="A16">
        <v>15</v>
      </c>
      <c r="B16">
        <v>1</v>
      </c>
      <c r="C16" s="4">
        <f>SUM($B$2:$B16)</f>
        <v>18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7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35">
      <c r="A17">
        <v>16</v>
      </c>
      <c r="B17">
        <v>0</v>
      </c>
      <c r="C17" s="4">
        <f>SUM($B$2:$B17)</f>
        <v>18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35">
      <c r="A18">
        <v>17</v>
      </c>
      <c r="B18">
        <v>0</v>
      </c>
      <c r="C18" s="4">
        <f>SUM($B$2:$B18)</f>
        <v>18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35">
      <c r="A19">
        <v>18</v>
      </c>
      <c r="B19">
        <v>0</v>
      </c>
      <c r="C19" s="4">
        <f>SUM($B$2:$B19)</f>
        <v>18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35">
      <c r="A20">
        <v>19</v>
      </c>
      <c r="B20">
        <v>0</v>
      </c>
      <c r="C20" s="4">
        <f>SUM($B$2:$B20)</f>
        <v>18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ht="18.5" x14ac:dyDescent="0.45">
      <c r="A21">
        <v>20</v>
      </c>
      <c r="B21">
        <v>1</v>
      </c>
      <c r="C21" s="4">
        <f>SUM($B$2:$B21)</f>
        <v>19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s="6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ht="21" x14ac:dyDescent="0.5">
      <c r="A22">
        <v>21</v>
      </c>
      <c r="B22">
        <v>2</v>
      </c>
      <c r="C22" s="4">
        <f>SUM($B$2:$B22)</f>
        <v>21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7">
        <v>1</v>
      </c>
      <c r="S22">
        <v>0</v>
      </c>
      <c r="T22">
        <v>0</v>
      </c>
      <c r="U22" s="7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s="7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ht="26" x14ac:dyDescent="0.6">
      <c r="A23">
        <v>22</v>
      </c>
      <c r="B23">
        <v>0</v>
      </c>
      <c r="C23" s="4">
        <f>SUM($B$2:$B23)</f>
        <v>21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 s="9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ht="21" x14ac:dyDescent="0.5">
      <c r="A24">
        <v>23</v>
      </c>
      <c r="B24">
        <v>1</v>
      </c>
      <c r="C24" s="4">
        <f>SUM($B$2:$B24)</f>
        <v>22</v>
      </c>
      <c r="D24">
        <v>5</v>
      </c>
      <c r="E24">
        <v>0</v>
      </c>
      <c r="F24">
        <v>0</v>
      </c>
      <c r="G24" s="7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35">
      <c r="A25">
        <v>24</v>
      </c>
      <c r="B25">
        <v>0</v>
      </c>
      <c r="C25" s="4">
        <f>SUM($B$2:$B25)</f>
        <v>22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35">
      <c r="A26">
        <v>25</v>
      </c>
      <c r="B26">
        <v>0</v>
      </c>
      <c r="C26" s="4">
        <f>SUM($B$2:$B26)</f>
        <v>22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ht="21" x14ac:dyDescent="0.5">
      <c r="A27">
        <v>26</v>
      </c>
      <c r="B27">
        <v>1</v>
      </c>
      <c r="C27" s="4">
        <f>SUM($B$2:$B27)</f>
        <v>23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 s="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35">
      <c r="A28">
        <v>27</v>
      </c>
      <c r="B28">
        <v>0</v>
      </c>
      <c r="C28" s="4">
        <f>SUM($B$2:$B28)</f>
        <v>23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ht="23.5" x14ac:dyDescent="0.55000000000000004">
      <c r="A29">
        <v>28</v>
      </c>
      <c r="B29">
        <v>1</v>
      </c>
      <c r="C29" s="4">
        <f>SUM($B$2:$B29)</f>
        <v>24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8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35">
      <c r="A30">
        <v>29</v>
      </c>
      <c r="B30">
        <v>0</v>
      </c>
      <c r="C30" s="4">
        <f>SUM($B$2:$B30)</f>
        <v>24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35">
      <c r="A31">
        <v>30</v>
      </c>
      <c r="B31">
        <v>0</v>
      </c>
      <c r="C31" s="4">
        <f>SUM($B$2:$B31)</f>
        <v>24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35">
      <c r="A32">
        <v>31</v>
      </c>
      <c r="B32">
        <v>0</v>
      </c>
      <c r="C32" s="4">
        <f>SUM($B$2:$B32)</f>
        <v>24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ht="23.5" x14ac:dyDescent="0.55000000000000004">
      <c r="A33">
        <v>32</v>
      </c>
      <c r="B33">
        <v>2</v>
      </c>
      <c r="C33" s="4">
        <f>SUM($B$2:$B33)</f>
        <v>26</v>
      </c>
      <c r="D33">
        <v>9</v>
      </c>
      <c r="E33">
        <v>0</v>
      </c>
      <c r="F33">
        <v>0</v>
      </c>
      <c r="G33">
        <v>0</v>
      </c>
      <c r="H33" s="8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 s="6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ht="23.5" x14ac:dyDescent="0.55000000000000004">
      <c r="A34">
        <v>33</v>
      </c>
      <c r="B34">
        <v>1</v>
      </c>
      <c r="C34" s="4">
        <f>SUM($B$2:$B34)</f>
        <v>27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8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35">
      <c r="A35">
        <v>34</v>
      </c>
      <c r="B35">
        <v>0</v>
      </c>
      <c r="C35" s="4">
        <f>SUM($B$2:$B35)</f>
        <v>27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35">
      <c r="A36">
        <v>35</v>
      </c>
      <c r="B36">
        <v>0</v>
      </c>
      <c r="C36" s="4">
        <f>SUM($B$2:$B36)</f>
        <v>27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35">
      <c r="A37">
        <v>36</v>
      </c>
      <c r="B37">
        <v>0</v>
      </c>
      <c r="C37" s="4">
        <f>SUM($B$2:$B37)</f>
        <v>27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35">
      <c r="A38">
        <v>37</v>
      </c>
      <c r="B38">
        <v>0</v>
      </c>
      <c r="C38" s="4">
        <f>SUM($B$2:$B38)</f>
        <v>27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35">
      <c r="A39">
        <v>38</v>
      </c>
      <c r="B39">
        <v>0</v>
      </c>
      <c r="C39" s="4">
        <f>SUM($B$2:$B39)</f>
        <v>27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35">
      <c r="A40">
        <v>39</v>
      </c>
      <c r="B40">
        <v>0</v>
      </c>
      <c r="C40" s="4">
        <f>SUM($B$2:$B40)</f>
        <v>27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ht="21" x14ac:dyDescent="0.5">
      <c r="A41">
        <v>40</v>
      </c>
      <c r="B41">
        <v>1</v>
      </c>
      <c r="C41" s="4">
        <f>SUM($B$2:$B41)</f>
        <v>28</v>
      </c>
      <c r="D41">
        <v>4</v>
      </c>
      <c r="E41" s="5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7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ht="21" x14ac:dyDescent="0.5">
      <c r="A42">
        <v>41</v>
      </c>
      <c r="B42">
        <v>1</v>
      </c>
      <c r="C42" s="4">
        <f>SUM($B$2:$B42)</f>
        <v>29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7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35">
      <c r="A43">
        <v>42</v>
      </c>
      <c r="B43">
        <v>0</v>
      </c>
      <c r="C43" s="4">
        <f>SUM($B$2:$B43)</f>
        <v>29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35">
      <c r="A44">
        <v>43</v>
      </c>
      <c r="B44">
        <v>0</v>
      </c>
      <c r="C44" s="4">
        <f>SUM($B$2:$B44)</f>
        <v>29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</row>
    <row r="45" spans="1:71" x14ac:dyDescent="0.35">
      <c r="A45">
        <v>44</v>
      </c>
      <c r="B45">
        <v>0</v>
      </c>
      <c r="C45" s="4">
        <f>SUM($B$2:$B45)</f>
        <v>29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35">
      <c r="A46">
        <v>45</v>
      </c>
      <c r="B46">
        <v>0</v>
      </c>
      <c r="C46" s="4">
        <f>SUM($B$2:$B46)</f>
        <v>29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ht="21" x14ac:dyDescent="0.5">
      <c r="A47">
        <v>46</v>
      </c>
      <c r="B47">
        <v>1</v>
      </c>
      <c r="C47" s="4">
        <f>SUM($B$2:$B47)</f>
        <v>30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s="7">
        <v>1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35">
      <c r="A48">
        <v>47</v>
      </c>
      <c r="B48">
        <v>0</v>
      </c>
      <c r="C48" s="4">
        <f>SUM($B$2:$B48)</f>
        <v>30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ht="21" x14ac:dyDescent="0.5">
      <c r="A49">
        <v>48</v>
      </c>
      <c r="B49">
        <v>1</v>
      </c>
      <c r="C49" s="4">
        <f>SUM($B$2:$B49)</f>
        <v>31</v>
      </c>
      <c r="D49">
        <v>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7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ht="26" x14ac:dyDescent="0.6">
      <c r="A50">
        <v>49</v>
      </c>
      <c r="B50">
        <v>2</v>
      </c>
      <c r="C50" s="4">
        <f>SUM($B$2:$B50)</f>
        <v>33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s="9">
        <v>1</v>
      </c>
      <c r="BH50">
        <v>0</v>
      </c>
      <c r="BI50">
        <v>0</v>
      </c>
      <c r="BJ50" s="7">
        <v>1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35">
      <c r="A51">
        <v>50</v>
      </c>
      <c r="B51">
        <v>0</v>
      </c>
      <c r="C51" s="4">
        <f>SUM($B$2:$B51)</f>
        <v>33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35">
      <c r="A52">
        <v>51</v>
      </c>
      <c r="B52">
        <v>0</v>
      </c>
      <c r="C52" s="4">
        <f>SUM($B$2:$B52)</f>
        <v>33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35">
      <c r="A53">
        <v>52</v>
      </c>
      <c r="B53">
        <v>0</v>
      </c>
      <c r="C53" s="4">
        <f>SUM($B$2:$B53)</f>
        <v>33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ht="26" x14ac:dyDescent="0.6">
      <c r="A54">
        <v>53</v>
      </c>
      <c r="B54">
        <v>1</v>
      </c>
      <c r="C54" s="4">
        <f>SUM($B$2:$B54)</f>
        <v>34</v>
      </c>
      <c r="D54">
        <v>6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9">
        <v>1</v>
      </c>
      <c r="AR54">
        <v>0</v>
      </c>
      <c r="AS54">
        <v>0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35">
      <c r="A55">
        <v>54</v>
      </c>
      <c r="B55">
        <v>0</v>
      </c>
      <c r="C55" s="4">
        <f>SUM($B$2:$B55)</f>
        <v>34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35">
      <c r="A56">
        <v>55</v>
      </c>
      <c r="B56">
        <v>0</v>
      </c>
      <c r="C56" s="4">
        <f>SUM($B$2:$B56)</f>
        <v>34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35">
      <c r="A57">
        <v>56</v>
      </c>
      <c r="B57">
        <v>0</v>
      </c>
      <c r="C57" s="4">
        <f>SUM($B$2:$B57)</f>
        <v>34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35">
      <c r="A58">
        <v>57</v>
      </c>
      <c r="B58">
        <v>0</v>
      </c>
      <c r="C58" s="4">
        <f>SUM($B$2:$B58)</f>
        <v>34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35">
      <c r="A59">
        <v>58</v>
      </c>
      <c r="B59">
        <v>0</v>
      </c>
      <c r="C59" s="4">
        <f>SUM($B$2:$B59)</f>
        <v>34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ht="18.5" x14ac:dyDescent="0.45">
      <c r="A60">
        <v>59</v>
      </c>
      <c r="B60">
        <v>1</v>
      </c>
      <c r="C60" s="4">
        <f>SUM($B$2:$B60)</f>
        <v>35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6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35">
      <c r="A61">
        <v>60</v>
      </c>
      <c r="B61">
        <v>0</v>
      </c>
      <c r="C61" s="4">
        <f>SUM($B$2:$B61)</f>
        <v>35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35">
      <c r="A62">
        <v>61</v>
      </c>
      <c r="B62">
        <v>0</v>
      </c>
      <c r="C62" s="4">
        <f>SUM($B$2:$B62)</f>
        <v>35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 x14ac:dyDescent="0.35">
      <c r="A63">
        <v>62</v>
      </c>
      <c r="B63">
        <v>0</v>
      </c>
      <c r="C63" s="4">
        <f>SUM($B$2:$B63)</f>
        <v>35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35">
      <c r="A64">
        <v>63</v>
      </c>
      <c r="B64">
        <v>0</v>
      </c>
      <c r="C64" s="4">
        <f>SUM($B$2:$B64)</f>
        <v>35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 x14ac:dyDescent="0.35">
      <c r="A65">
        <v>64</v>
      </c>
      <c r="B65">
        <v>0</v>
      </c>
      <c r="C65" s="4">
        <f>SUM($B$2:$B65)</f>
        <v>35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 ht="26" x14ac:dyDescent="0.6">
      <c r="A66">
        <v>65</v>
      </c>
      <c r="B66">
        <v>1</v>
      </c>
      <c r="C66" s="4">
        <f>SUM($B$2:$B66)</f>
        <v>36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s="9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35">
      <c r="A67">
        <v>66</v>
      </c>
      <c r="B67">
        <v>0</v>
      </c>
      <c r="C67" s="4">
        <f>SUM($B$2:$B67)</f>
        <v>36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ht="23.5" x14ac:dyDescent="0.55000000000000004">
      <c r="A68">
        <v>67</v>
      </c>
      <c r="B68">
        <v>1</v>
      </c>
      <c r="C68" s="4">
        <f>SUM($B$2:$B68)</f>
        <v>37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s="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ht="23.5" x14ac:dyDescent="0.55000000000000004">
      <c r="A69">
        <v>68</v>
      </c>
      <c r="B69">
        <v>1</v>
      </c>
      <c r="C69" s="4">
        <f>SUM($B$2:$B69)</f>
        <v>38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1</v>
      </c>
      <c r="AV69">
        <v>0</v>
      </c>
      <c r="AW69" s="8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ht="23.5" x14ac:dyDescent="0.55000000000000004">
      <c r="A70">
        <v>69</v>
      </c>
      <c r="B70">
        <v>1</v>
      </c>
      <c r="C70" s="4">
        <f>SUM($B$2:$B70)</f>
        <v>39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8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ht="23.5" x14ac:dyDescent="0.55000000000000004">
      <c r="A71">
        <v>70</v>
      </c>
      <c r="B71">
        <v>1</v>
      </c>
      <c r="C71" s="4">
        <f>SUM($B$2:$B71)</f>
        <v>40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s="8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35">
      <c r="A72">
        <v>71</v>
      </c>
      <c r="B72">
        <v>0</v>
      </c>
      <c r="C72" s="4">
        <f>SUM($B$2:$B72)</f>
        <v>40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35">
      <c r="A73">
        <v>72</v>
      </c>
      <c r="B73">
        <v>0</v>
      </c>
      <c r="C73" s="4">
        <f>SUM($B$2:$B73)</f>
        <v>40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35">
      <c r="A74">
        <v>73</v>
      </c>
      <c r="B74">
        <v>0</v>
      </c>
      <c r="C74" s="4">
        <f>SUM($B$2:$B74)</f>
        <v>40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35">
      <c r="A75">
        <v>74</v>
      </c>
      <c r="B75">
        <v>0</v>
      </c>
      <c r="C75" s="4">
        <f>SUM($B$2:$B75)</f>
        <v>40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ht="21" x14ac:dyDescent="0.5">
      <c r="A76">
        <v>75</v>
      </c>
      <c r="B76">
        <v>1</v>
      </c>
      <c r="C76" s="4">
        <f>SUM($B$2:$B76)</f>
        <v>41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 s="7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ht="23.5" x14ac:dyDescent="0.55000000000000004">
      <c r="A77">
        <v>76</v>
      </c>
      <c r="B77">
        <v>1</v>
      </c>
      <c r="C77" s="4">
        <f>SUM($B$2:$B77)</f>
        <v>42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 s="8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</row>
    <row r="78" spans="1:71" x14ac:dyDescent="0.35">
      <c r="A78">
        <v>77</v>
      </c>
      <c r="B78">
        <v>1</v>
      </c>
      <c r="C78" s="4">
        <f>SUM($B$2:$B78)</f>
        <v>43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35">
      <c r="A79">
        <v>78</v>
      </c>
      <c r="B79">
        <v>0</v>
      </c>
      <c r="C79" s="4">
        <f>SUM($B$2:$B79)</f>
        <v>43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 ht="23.5" x14ac:dyDescent="0.55000000000000004">
      <c r="A80">
        <v>79</v>
      </c>
      <c r="B80">
        <v>1</v>
      </c>
      <c r="C80" s="4">
        <f>SUM($B$2:$B80)</f>
        <v>44</v>
      </c>
      <c r="D80">
        <v>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8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35">
      <c r="A81">
        <v>80</v>
      </c>
      <c r="B81">
        <v>0</v>
      </c>
      <c r="C81" s="4">
        <f>SUM($B$2:$B81)</f>
        <v>44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35">
      <c r="A82">
        <v>81</v>
      </c>
      <c r="B82">
        <v>0</v>
      </c>
      <c r="C82" s="4">
        <f>SUM($B$2:$B82)</f>
        <v>44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 x14ac:dyDescent="0.35">
      <c r="A83">
        <v>82</v>
      </c>
      <c r="B83">
        <v>0</v>
      </c>
      <c r="C83" s="4">
        <f>SUM($B$2:$B83)</f>
        <v>44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35">
      <c r="A84">
        <v>83</v>
      </c>
      <c r="B84">
        <v>0</v>
      </c>
      <c r="C84" s="4">
        <f>SUM($B$2:$B84)</f>
        <v>44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35">
      <c r="A85">
        <v>84</v>
      </c>
      <c r="B85">
        <v>0</v>
      </c>
      <c r="C85" s="4">
        <f>SUM($B$2:$B85)</f>
        <v>44</v>
      </c>
      <c r="D85">
        <v>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35">
      <c r="A86">
        <v>85</v>
      </c>
      <c r="B86">
        <v>0</v>
      </c>
      <c r="C86" s="4">
        <f>SUM($B$2:$B86)</f>
        <v>44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</row>
    <row r="87" spans="1:71" x14ac:dyDescent="0.35">
      <c r="A87">
        <v>86</v>
      </c>
      <c r="B87">
        <v>0</v>
      </c>
      <c r="C87" s="4">
        <f>SUM($B$2:$B87)</f>
        <v>44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 x14ac:dyDescent="0.35">
      <c r="A88">
        <v>87</v>
      </c>
      <c r="B88">
        <v>0</v>
      </c>
      <c r="C88" s="4">
        <f>SUM($B$2:$B88)</f>
        <v>44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 x14ac:dyDescent="0.35">
      <c r="A89">
        <v>88</v>
      </c>
      <c r="B89">
        <v>0</v>
      </c>
      <c r="C89" s="4">
        <f>SUM($B$2:$B89)</f>
        <v>44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 ht="21" x14ac:dyDescent="0.5">
      <c r="A90">
        <v>89</v>
      </c>
      <c r="B90">
        <v>1</v>
      </c>
      <c r="C90" s="4">
        <f>SUM($B$2:$B90)</f>
        <v>45</v>
      </c>
      <c r="D90">
        <v>12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0</v>
      </c>
      <c r="AZ90" s="7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 x14ac:dyDescent="0.35">
      <c r="A91">
        <v>90</v>
      </c>
      <c r="B91">
        <v>0</v>
      </c>
      <c r="C91" s="4">
        <f>SUM($B$2:$B91)</f>
        <v>45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 x14ac:dyDescent="0.35">
      <c r="A92">
        <v>91</v>
      </c>
      <c r="B92">
        <v>0</v>
      </c>
      <c r="C92" s="4">
        <f>SUM($B$2:$B92)</f>
        <v>45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</row>
    <row r="93" spans="1:71" x14ac:dyDescent="0.35">
      <c r="A93">
        <v>92</v>
      </c>
      <c r="B93">
        <v>0</v>
      </c>
      <c r="C93" s="4">
        <f>SUM($B$2:$B93)</f>
        <v>45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</row>
    <row r="94" spans="1:71" x14ac:dyDescent="0.35">
      <c r="A94">
        <v>93</v>
      </c>
      <c r="B94">
        <v>0</v>
      </c>
      <c r="C94" s="4">
        <f>SUM($B$2:$B94)</f>
        <v>45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 x14ac:dyDescent="0.35">
      <c r="A95">
        <v>94</v>
      </c>
      <c r="B95">
        <v>0</v>
      </c>
      <c r="C95" s="4">
        <f>SUM($B$2:$B95)</f>
        <v>45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 ht="23.5" x14ac:dyDescent="0.55000000000000004">
      <c r="A96">
        <v>95</v>
      </c>
      <c r="B96">
        <v>1</v>
      </c>
      <c r="C96" s="4">
        <f>SUM($B$2:$B96)</f>
        <v>46</v>
      </c>
      <c r="D96">
        <v>10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8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 x14ac:dyDescent="0.35">
      <c r="A97">
        <v>96</v>
      </c>
      <c r="B97">
        <v>0</v>
      </c>
      <c r="C97" s="4">
        <f>SUM($B$2:$B97)</f>
        <v>46</v>
      </c>
      <c r="D97">
        <v>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</row>
    <row r="98" spans="1:71" x14ac:dyDescent="0.35">
      <c r="A98">
        <v>97</v>
      </c>
      <c r="B98">
        <v>0</v>
      </c>
      <c r="C98" s="4">
        <f>SUM($B$2:$B98)</f>
        <v>46</v>
      </c>
      <c r="D98">
        <v>8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</row>
    <row r="99" spans="1:71" x14ac:dyDescent="0.35">
      <c r="A99">
        <v>98</v>
      </c>
      <c r="B99">
        <v>0</v>
      </c>
      <c r="C99" s="4">
        <f>SUM($B$2:$B99)</f>
        <v>46</v>
      </c>
      <c r="D99">
        <v>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</row>
    <row r="100" spans="1:71" x14ac:dyDescent="0.35">
      <c r="A100">
        <v>99</v>
      </c>
      <c r="B100">
        <v>0</v>
      </c>
      <c r="C100" s="4">
        <f>SUM($B$2:$B100)</f>
        <v>46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35">
      <c r="A101">
        <v>100</v>
      </c>
      <c r="B101">
        <v>0</v>
      </c>
      <c r="C101" s="4">
        <f>SUM($B$2:$B101)</f>
        <v>46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35">
      <c r="A102">
        <v>101</v>
      </c>
      <c r="B102">
        <v>0</v>
      </c>
      <c r="C102" s="4">
        <f>SUM($B$2:$B102)</f>
        <v>46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35">
      <c r="A103">
        <v>102</v>
      </c>
      <c r="B103">
        <v>0</v>
      </c>
      <c r="C103" s="4">
        <f>SUM($B$2:$B103)</f>
        <v>46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35">
      <c r="A104">
        <v>103</v>
      </c>
      <c r="B104">
        <v>0</v>
      </c>
      <c r="C104" s="4">
        <f>SUM($B$2:$B104)</f>
        <v>46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35">
      <c r="A105">
        <v>104</v>
      </c>
      <c r="B105">
        <v>0</v>
      </c>
      <c r="C105" s="4">
        <f>SUM($B$2:$B105)</f>
        <v>46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ht="26" x14ac:dyDescent="0.6">
      <c r="A106">
        <v>105</v>
      </c>
      <c r="B106">
        <v>1</v>
      </c>
      <c r="C106" s="4">
        <f>SUM($B$2:$B106)</f>
        <v>47</v>
      </c>
      <c r="D106">
        <v>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9">
        <v>1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35">
      <c r="A107">
        <v>106</v>
      </c>
      <c r="B107">
        <v>1</v>
      </c>
      <c r="C107" s="4">
        <f>SUM($B$2:$B107)</f>
        <v>48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35">
      <c r="A108">
        <v>107</v>
      </c>
      <c r="B108">
        <v>0</v>
      </c>
      <c r="C108" s="4">
        <f>SUM($B$2:$B108)</f>
        <v>48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35">
      <c r="A109">
        <v>108</v>
      </c>
      <c r="B109">
        <v>0</v>
      </c>
      <c r="C109" s="4">
        <f>SUM($B$2:$B109)</f>
        <v>48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 x14ac:dyDescent="0.35">
      <c r="A110">
        <v>109</v>
      </c>
      <c r="B110">
        <v>0</v>
      </c>
      <c r="C110" s="4">
        <f>SUM($B$2:$B110)</f>
        <v>48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 ht="23.5" x14ac:dyDescent="0.55000000000000004">
      <c r="A111">
        <v>110</v>
      </c>
      <c r="B111">
        <v>1</v>
      </c>
      <c r="C111" s="4">
        <f>SUM($B$2:$B111)</f>
        <v>49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 s="8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</row>
    <row r="112" spans="1:71" x14ac:dyDescent="0.35">
      <c r="A112">
        <v>111</v>
      </c>
      <c r="B112">
        <v>0</v>
      </c>
      <c r="C112" s="4">
        <f>SUM($B$2:$B112)</f>
        <v>49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</row>
    <row r="113" spans="1:71" ht="21" x14ac:dyDescent="0.5">
      <c r="A113">
        <v>112</v>
      </c>
      <c r="B113">
        <v>1</v>
      </c>
      <c r="C113" s="4">
        <f>SUM($B$2:$B113)</f>
        <v>50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 s="7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</row>
    <row r="114" spans="1:71" x14ac:dyDescent="0.35">
      <c r="A114">
        <v>113</v>
      </c>
      <c r="B114">
        <v>0</v>
      </c>
      <c r="C114" s="4">
        <f>SUM($B$2:$B114)</f>
        <v>50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</row>
    <row r="115" spans="1:71" x14ac:dyDescent="0.35">
      <c r="A115">
        <v>114</v>
      </c>
      <c r="B115">
        <v>0</v>
      </c>
      <c r="C115" s="4">
        <f>SUM($B$2:$B115)</f>
        <v>50</v>
      </c>
      <c r="D115">
        <v>11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</row>
    <row r="116" spans="1:71" x14ac:dyDescent="0.35">
      <c r="A116">
        <v>115</v>
      </c>
      <c r="B116">
        <v>0</v>
      </c>
      <c r="C116" s="4">
        <f>SUM($B$2:$B116)</f>
        <v>50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</row>
    <row r="117" spans="1:71" x14ac:dyDescent="0.35">
      <c r="A117">
        <v>116</v>
      </c>
      <c r="B117">
        <v>0</v>
      </c>
      <c r="C117" s="4">
        <f>SUM($B$2:$B117)</f>
        <v>50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 x14ac:dyDescent="0.35">
      <c r="A118">
        <v>117</v>
      </c>
      <c r="B118">
        <v>0</v>
      </c>
      <c r="C118" s="4">
        <f>SUM($B$2:$B118)</f>
        <v>50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</row>
    <row r="119" spans="1:71" x14ac:dyDescent="0.35">
      <c r="A119">
        <v>118</v>
      </c>
      <c r="B119">
        <v>0</v>
      </c>
      <c r="C119" s="4">
        <f>SUM($B$2:$B119)</f>
        <v>50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 x14ac:dyDescent="0.35">
      <c r="A120">
        <v>119</v>
      </c>
      <c r="B120">
        <v>0</v>
      </c>
      <c r="C120" s="4">
        <f>SUM($B$2:$B120)</f>
        <v>50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</row>
    <row r="121" spans="1:71" x14ac:dyDescent="0.35">
      <c r="A121">
        <v>120</v>
      </c>
      <c r="B121">
        <v>0</v>
      </c>
      <c r="C121" s="4">
        <f>SUM($B$2:$B121)</f>
        <v>50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35">
      <c r="A122">
        <v>121</v>
      </c>
      <c r="B122">
        <v>0</v>
      </c>
      <c r="C122" s="4">
        <f>SUM($B$2:$B122)</f>
        <v>50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35">
      <c r="A123">
        <v>122</v>
      </c>
      <c r="B123">
        <v>0</v>
      </c>
      <c r="C123" s="4">
        <f>SUM($B$2:$B123)</f>
        <v>50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35">
      <c r="A124">
        <v>123</v>
      </c>
      <c r="B124">
        <v>0</v>
      </c>
      <c r="C124" s="4">
        <f>SUM($B$2:$B124)</f>
        <v>50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35">
      <c r="A125">
        <v>124</v>
      </c>
      <c r="B125">
        <v>0</v>
      </c>
      <c r="C125" s="4">
        <f>SUM($B$2:$B125)</f>
        <v>50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 x14ac:dyDescent="0.35">
      <c r="A126">
        <v>125</v>
      </c>
      <c r="B126">
        <v>0</v>
      </c>
      <c r="C126" s="4">
        <f>SUM($B$2:$B126)</f>
        <v>50</v>
      </c>
      <c r="D126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35">
      <c r="A127">
        <v>126</v>
      </c>
      <c r="B127">
        <v>0</v>
      </c>
      <c r="C127" s="4">
        <f>SUM($B$2:$B127)</f>
        <v>50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35">
      <c r="A128">
        <v>127</v>
      </c>
      <c r="B128">
        <v>0</v>
      </c>
      <c r="C128" s="4">
        <f>SUM($B$2:$B128)</f>
        <v>50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35">
      <c r="A129">
        <v>128</v>
      </c>
      <c r="B129">
        <v>0</v>
      </c>
      <c r="C129" s="4">
        <f>SUM($B$2:$B129)</f>
        <v>50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35">
      <c r="A130">
        <v>129</v>
      </c>
      <c r="B130">
        <v>0</v>
      </c>
      <c r="C130" s="4">
        <f>SUM($B$2:$B130)</f>
        <v>50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1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 ht="21" x14ac:dyDescent="0.5">
      <c r="A131">
        <v>130</v>
      </c>
      <c r="B131">
        <v>0</v>
      </c>
      <c r="C131" s="4">
        <f>SUM($B$2:$B131)</f>
        <v>50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 s="7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ht="23.5" x14ac:dyDescent="0.55000000000000004">
      <c r="A132">
        <v>131</v>
      </c>
      <c r="B132">
        <v>1</v>
      </c>
      <c r="C132" s="4">
        <f>SUM($B$2:$B132)</f>
        <v>51</v>
      </c>
      <c r="D132">
        <v>7</v>
      </c>
      <c r="E132">
        <v>0</v>
      </c>
      <c r="F132">
        <v>0</v>
      </c>
      <c r="G132">
        <v>0</v>
      </c>
      <c r="H132">
        <v>1</v>
      </c>
      <c r="I132" s="8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 x14ac:dyDescent="0.35">
      <c r="A133">
        <v>132</v>
      </c>
      <c r="B133">
        <v>0</v>
      </c>
      <c r="C133" s="4">
        <f>SUM($B$2:$B133)</f>
        <v>51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35">
      <c r="A134">
        <v>133</v>
      </c>
      <c r="B134">
        <v>0</v>
      </c>
      <c r="C134" s="4">
        <f>SUM($B$2:$B134)</f>
        <v>51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35">
      <c r="A135">
        <v>134</v>
      </c>
      <c r="B135">
        <v>0</v>
      </c>
      <c r="C135" s="4">
        <f>SUM($B$2:$B135)</f>
        <v>51</v>
      </c>
      <c r="D135">
        <v>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 x14ac:dyDescent="0.35">
      <c r="A136">
        <v>135</v>
      </c>
      <c r="B136">
        <v>0</v>
      </c>
      <c r="C136" s="4">
        <f>SUM($B$2:$B136)</f>
        <v>51</v>
      </c>
      <c r="D136">
        <v>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 ht="28.5" x14ac:dyDescent="0.65">
      <c r="A137">
        <v>136</v>
      </c>
      <c r="B137">
        <v>1</v>
      </c>
      <c r="C137" s="4">
        <f>SUM($B$2:$B137)</f>
        <v>52</v>
      </c>
      <c r="D137">
        <v>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 s="10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s="13" customFormat="1" x14ac:dyDescent="0.35">
      <c r="A138" s="13">
        <v>137</v>
      </c>
      <c r="B138" s="13">
        <v>0</v>
      </c>
      <c r="C138" s="13">
        <f>SUM($B$2:$B138)</f>
        <v>52</v>
      </c>
      <c r="D138" s="13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1</v>
      </c>
      <c r="T138" s="13">
        <v>0</v>
      </c>
      <c r="U138" s="13">
        <v>0</v>
      </c>
      <c r="V138" s="13">
        <v>0</v>
      </c>
      <c r="W138" s="13">
        <v>1</v>
      </c>
      <c r="X138" s="13">
        <v>1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1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1</v>
      </c>
      <c r="AS138" s="13">
        <v>0</v>
      </c>
      <c r="AT138" s="13">
        <v>0</v>
      </c>
      <c r="AU138" s="13">
        <v>1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</row>
    <row r="139" spans="1:71" x14ac:dyDescent="0.35">
      <c r="A139">
        <v>138</v>
      </c>
      <c r="B139">
        <v>0</v>
      </c>
      <c r="C139" s="4">
        <f>SUM($B$2:$B139)</f>
        <v>52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 x14ac:dyDescent="0.35">
      <c r="A140">
        <v>139</v>
      </c>
      <c r="B140">
        <v>0</v>
      </c>
      <c r="C140" s="4">
        <f>SUM($B$2:$B140)</f>
        <v>52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35">
      <c r="A141">
        <v>140</v>
      </c>
      <c r="B141">
        <v>0</v>
      </c>
      <c r="C141" s="4">
        <f>SUM($B$2:$B141)</f>
        <v>52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35">
      <c r="A142">
        <v>141</v>
      </c>
      <c r="B142">
        <v>0</v>
      </c>
      <c r="C142" s="4">
        <f>SUM($B$2:$B142)</f>
        <v>52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ht="28.5" x14ac:dyDescent="0.65">
      <c r="A143">
        <v>142</v>
      </c>
      <c r="B143">
        <v>1</v>
      </c>
      <c r="C143" s="4">
        <f>SUM($B$2:$B143)</f>
        <v>53</v>
      </c>
      <c r="D143">
        <v>5</v>
      </c>
      <c r="E143">
        <v>0</v>
      </c>
      <c r="F143" s="10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35">
      <c r="A144">
        <v>143</v>
      </c>
      <c r="B144">
        <v>0</v>
      </c>
      <c r="C144" s="4">
        <f>SUM($B$2:$B144)</f>
        <v>53</v>
      </c>
      <c r="D144">
        <v>2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 ht="26" x14ac:dyDescent="0.6">
      <c r="A145">
        <v>144</v>
      </c>
      <c r="B145">
        <v>1</v>
      </c>
      <c r="C145" s="4">
        <f>SUM($B$2:$B145)</f>
        <v>54</v>
      </c>
      <c r="D145">
        <v>11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1</v>
      </c>
      <c r="BP145" s="9">
        <v>1</v>
      </c>
      <c r="BQ145">
        <v>0</v>
      </c>
      <c r="BR145">
        <v>0</v>
      </c>
      <c r="BS145">
        <v>0</v>
      </c>
    </row>
    <row r="146" spans="1:71" x14ac:dyDescent="0.35">
      <c r="A146">
        <v>145</v>
      </c>
      <c r="B146">
        <v>0</v>
      </c>
      <c r="C146" s="4">
        <f>SUM($B$2:$B146)</f>
        <v>54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35">
      <c r="A147">
        <v>146</v>
      </c>
      <c r="B147">
        <v>0</v>
      </c>
      <c r="C147" s="4">
        <f>SUM($B$2:$B147)</f>
        <v>54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</row>
    <row r="148" spans="1:71" x14ac:dyDescent="0.35">
      <c r="A148">
        <v>147</v>
      </c>
      <c r="B148">
        <v>0</v>
      </c>
      <c r="C148" s="4">
        <f>SUM($B$2:$B148)</f>
        <v>54</v>
      </c>
      <c r="D148">
        <v>6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 x14ac:dyDescent="0.35">
      <c r="A149">
        <v>148</v>
      </c>
      <c r="B149">
        <v>0</v>
      </c>
      <c r="C149" s="4">
        <f>SUM($B$2:$B149)</f>
        <v>54</v>
      </c>
      <c r="D149">
        <v>9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35">
      <c r="A150">
        <v>149</v>
      </c>
      <c r="B150">
        <v>0</v>
      </c>
      <c r="C150" s="4">
        <f>SUM($B$2:$B150)</f>
        <v>54</v>
      </c>
      <c r="D150">
        <v>9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35">
      <c r="A151">
        <v>150</v>
      </c>
      <c r="B151">
        <v>0</v>
      </c>
      <c r="C151" s="4">
        <f>SUM($B$2:$B151)</f>
        <v>54</v>
      </c>
      <c r="D151">
        <v>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35">
      <c r="A152">
        <v>151</v>
      </c>
      <c r="B152">
        <v>0</v>
      </c>
      <c r="C152" s="4">
        <f>SUM($B$2:$B152)</f>
        <v>54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35">
      <c r="A153">
        <v>152</v>
      </c>
      <c r="B153">
        <v>0</v>
      </c>
      <c r="C153" s="4">
        <f>SUM($B$2:$B153)</f>
        <v>54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 x14ac:dyDescent="0.35">
      <c r="A154">
        <v>153</v>
      </c>
      <c r="B154">
        <v>0</v>
      </c>
      <c r="C154" s="4">
        <f>SUM($B$2:$B154)</f>
        <v>54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35">
      <c r="A155">
        <v>154</v>
      </c>
      <c r="B155">
        <v>0</v>
      </c>
      <c r="C155" s="4">
        <f>SUM($B$2:$B155)</f>
        <v>54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35">
      <c r="A156">
        <v>155</v>
      </c>
      <c r="B156">
        <v>0</v>
      </c>
      <c r="C156" s="4">
        <f>SUM($B$2:$B156)</f>
        <v>54</v>
      </c>
      <c r="D156">
        <v>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</row>
    <row r="157" spans="1:71" ht="26" x14ac:dyDescent="0.6">
      <c r="A157">
        <v>156</v>
      </c>
      <c r="B157">
        <v>1</v>
      </c>
      <c r="C157" s="4">
        <f>SUM($B$2:$B157)</f>
        <v>55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 s="9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</row>
    <row r="158" spans="1:71" x14ac:dyDescent="0.35">
      <c r="A158">
        <v>157</v>
      </c>
      <c r="B158">
        <v>0</v>
      </c>
      <c r="C158" s="4">
        <f>SUM($B$2:$B158)</f>
        <v>55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 x14ac:dyDescent="0.35">
      <c r="A159">
        <v>158</v>
      </c>
      <c r="B159">
        <v>0</v>
      </c>
      <c r="C159" s="4">
        <f>SUM($B$2:$B159)</f>
        <v>55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 s="12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</row>
    <row r="160" spans="1:71" x14ac:dyDescent="0.35">
      <c r="A160">
        <v>159</v>
      </c>
      <c r="B160">
        <v>0</v>
      </c>
      <c r="C160" s="4">
        <f>SUM($B$2:$B160)</f>
        <v>55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</row>
    <row r="161" spans="1:71" x14ac:dyDescent="0.35">
      <c r="A161">
        <v>160</v>
      </c>
      <c r="B161">
        <v>0</v>
      </c>
      <c r="C161" s="4">
        <f>SUM($B$2:$B161)</f>
        <v>55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</row>
    <row r="162" spans="1:71" x14ac:dyDescent="0.35">
      <c r="A162">
        <v>161</v>
      </c>
      <c r="B162">
        <v>0</v>
      </c>
      <c r="C162" s="4">
        <f>SUM($B$2:$B162)</f>
        <v>55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 x14ac:dyDescent="0.35">
      <c r="A163">
        <v>162</v>
      </c>
      <c r="B163">
        <v>0</v>
      </c>
      <c r="C163" s="4">
        <f>SUM($B$2:$B163)</f>
        <v>55</v>
      </c>
      <c r="D163">
        <v>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 x14ac:dyDescent="0.35">
      <c r="A164">
        <v>163</v>
      </c>
      <c r="B164">
        <v>0</v>
      </c>
      <c r="C164" s="4">
        <f>SUM($B$2:$B164)</f>
        <v>55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 x14ac:dyDescent="0.35">
      <c r="A165">
        <v>164</v>
      </c>
      <c r="B165">
        <v>0</v>
      </c>
      <c r="C165" s="4">
        <f>SUM($B$2:$B165)</f>
        <v>55</v>
      </c>
      <c r="D165">
        <v>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35">
      <c r="A166">
        <v>165</v>
      </c>
      <c r="B166">
        <v>0</v>
      </c>
      <c r="C166" s="4">
        <f>SUM($B$2:$B166)</f>
        <v>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35">
      <c r="A167">
        <v>166</v>
      </c>
      <c r="B167">
        <v>0</v>
      </c>
      <c r="C167" s="4">
        <f>SUM($B$2:$B167)</f>
        <v>55</v>
      </c>
      <c r="D167">
        <v>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35">
      <c r="A168">
        <v>167</v>
      </c>
      <c r="B168">
        <v>0</v>
      </c>
      <c r="C168" s="4">
        <f>SUM($B$2:$B168)</f>
        <v>55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35">
      <c r="A169">
        <v>168</v>
      </c>
      <c r="B169">
        <v>0</v>
      </c>
      <c r="C169" s="4">
        <f>SUM($B$2:$B169)</f>
        <v>55</v>
      </c>
      <c r="D169">
        <v>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35">
      <c r="A170">
        <v>169</v>
      </c>
      <c r="B170">
        <v>0</v>
      </c>
      <c r="C170" s="4">
        <f>SUM($B$2:$B170)</f>
        <v>55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35">
      <c r="A171">
        <v>170</v>
      </c>
      <c r="B171">
        <v>0</v>
      </c>
      <c r="C171" s="4">
        <f>SUM($B$2:$B171)</f>
        <v>55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ht="23.5" x14ac:dyDescent="0.55000000000000004">
      <c r="A172">
        <v>171</v>
      </c>
      <c r="B172">
        <v>1</v>
      </c>
      <c r="C172" s="4">
        <f>SUM($B$2:$B172)</f>
        <v>56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s="8">
        <v>1</v>
      </c>
      <c r="BS172">
        <v>0</v>
      </c>
    </row>
    <row r="173" spans="1:71" x14ac:dyDescent="0.35">
      <c r="A173">
        <v>172</v>
      </c>
      <c r="B173">
        <v>0</v>
      </c>
      <c r="C173" s="4">
        <f>SUM($B$2:$B173)</f>
        <v>56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</row>
    <row r="174" spans="1:71" x14ac:dyDescent="0.35">
      <c r="A174">
        <v>173</v>
      </c>
      <c r="B174">
        <v>0</v>
      </c>
      <c r="C174" s="4">
        <f>SUM($B$2:$B174)</f>
        <v>56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</row>
    <row r="175" spans="1:71" x14ac:dyDescent="0.35">
      <c r="A175">
        <v>174</v>
      </c>
      <c r="B175">
        <v>0</v>
      </c>
      <c r="C175" s="4">
        <f>SUM($B$2:$B175)</f>
        <v>56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</row>
    <row r="176" spans="1:71" x14ac:dyDescent="0.35">
      <c r="A176">
        <v>175</v>
      </c>
      <c r="B176">
        <v>0</v>
      </c>
      <c r="C176" s="4">
        <f>SUM($B$2:$B176)</f>
        <v>56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</row>
    <row r="177" spans="1:71" x14ac:dyDescent="0.35">
      <c r="A177">
        <v>176</v>
      </c>
      <c r="B177">
        <v>0</v>
      </c>
      <c r="C177" s="4">
        <f>SUM($B$2:$B177)</f>
        <v>56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</row>
    <row r="178" spans="1:71" x14ac:dyDescent="0.35">
      <c r="A178">
        <v>177</v>
      </c>
      <c r="B178">
        <v>0</v>
      </c>
      <c r="C178" s="4">
        <f>SUM($B$2:$B178)</f>
        <v>56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</row>
    <row r="179" spans="1:71" x14ac:dyDescent="0.35">
      <c r="A179">
        <v>178</v>
      </c>
      <c r="B179">
        <v>0</v>
      </c>
      <c r="C179" s="4">
        <f>SUM($B$2:$B179)</f>
        <v>56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</row>
    <row r="180" spans="1:71" x14ac:dyDescent="0.35">
      <c r="A180">
        <v>179</v>
      </c>
      <c r="B180">
        <v>0</v>
      </c>
      <c r="C180" s="4">
        <f>SUM($B$2:$B180)</f>
        <v>56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</row>
    <row r="181" spans="1:71" ht="26" x14ac:dyDescent="0.6">
      <c r="A181">
        <v>180</v>
      </c>
      <c r="B181">
        <v>1</v>
      </c>
      <c r="C181" s="4">
        <f>SUM($B$2:$B181)</f>
        <v>57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 s="9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</row>
    <row r="182" spans="1:71" x14ac:dyDescent="0.35">
      <c r="A182">
        <v>181</v>
      </c>
      <c r="B182">
        <v>0</v>
      </c>
      <c r="C182" s="4">
        <f>SUM($B$2:$B182)</f>
        <v>57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</row>
    <row r="183" spans="1:71" x14ac:dyDescent="0.35">
      <c r="A183">
        <v>182</v>
      </c>
      <c r="B183">
        <v>0</v>
      </c>
      <c r="C183" s="4">
        <f>SUM($B$2:$B183)</f>
        <v>57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</row>
    <row r="184" spans="1:71" ht="26" x14ac:dyDescent="0.6">
      <c r="A184">
        <v>183</v>
      </c>
      <c r="B184">
        <v>1</v>
      </c>
      <c r="C184" s="4">
        <f>SUM($B$2:$B184)</f>
        <v>58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9">
        <v>1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</row>
    <row r="185" spans="1:71" x14ac:dyDescent="0.35">
      <c r="A185">
        <v>184</v>
      </c>
      <c r="B185">
        <v>0</v>
      </c>
      <c r="C185" s="4">
        <f>SUM($B$2:$B185)</f>
        <v>58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</row>
    <row r="186" spans="1:71" x14ac:dyDescent="0.35">
      <c r="A186">
        <v>185</v>
      </c>
      <c r="B186">
        <v>0</v>
      </c>
      <c r="C186" s="4">
        <f>SUM($B$2:$B186)</f>
        <v>58</v>
      </c>
      <c r="D186">
        <v>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</row>
    <row r="187" spans="1:71" x14ac:dyDescent="0.35">
      <c r="A187">
        <v>186</v>
      </c>
      <c r="B187">
        <v>0</v>
      </c>
      <c r="C187" s="4">
        <f>SUM($B$2:$B187)</f>
        <v>58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</row>
    <row r="188" spans="1:71" x14ac:dyDescent="0.35">
      <c r="A188">
        <v>187</v>
      </c>
      <c r="B188">
        <v>0</v>
      </c>
      <c r="C188" s="4">
        <f>SUM($B$2:$B188)</f>
        <v>58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 x14ac:dyDescent="0.35">
      <c r="A189">
        <v>188</v>
      </c>
      <c r="B189">
        <v>0</v>
      </c>
      <c r="C189" s="4">
        <f>SUM($B$2:$B189)</f>
        <v>58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35">
      <c r="A190">
        <v>189</v>
      </c>
      <c r="B190">
        <v>0</v>
      </c>
      <c r="C190" s="4">
        <f>SUM($B$2:$B190)</f>
        <v>58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</row>
    <row r="191" spans="1:71" ht="26" x14ac:dyDescent="0.6">
      <c r="A191">
        <v>190</v>
      </c>
      <c r="B191">
        <v>1</v>
      </c>
      <c r="C191" s="4">
        <f>SUM($B$2:$B191)</f>
        <v>59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s="9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x14ac:dyDescent="0.35">
      <c r="A192">
        <v>191</v>
      </c>
      <c r="B192">
        <v>0</v>
      </c>
      <c r="C192" s="4">
        <f>SUM($B$2:$B192)</f>
        <v>59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1" x14ac:dyDescent="0.35">
      <c r="A193">
        <v>192</v>
      </c>
      <c r="B193">
        <v>0</v>
      </c>
      <c r="C193" s="4">
        <f>SUM($B$2:$B193)</f>
        <v>59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1" x14ac:dyDescent="0.35">
      <c r="A194">
        <v>193</v>
      </c>
      <c r="B194">
        <v>0</v>
      </c>
      <c r="C194" s="4">
        <f>SUM($B$2:$B194)</f>
        <v>59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</row>
    <row r="195" spans="1:71" ht="31" x14ac:dyDescent="0.7">
      <c r="A195">
        <v>194</v>
      </c>
      <c r="B195">
        <v>1</v>
      </c>
      <c r="C195" s="4">
        <f>SUM($B$2:$B195)</f>
        <v>60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 s="11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</row>
    <row r="196" spans="1:71" x14ac:dyDescent="0.35">
      <c r="A196">
        <v>195</v>
      </c>
      <c r="B196">
        <v>0</v>
      </c>
      <c r="C196" s="4">
        <f>SUM($B$2:$B196)</f>
        <v>60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</row>
    <row r="197" spans="1:71" x14ac:dyDescent="0.35">
      <c r="A197">
        <v>196</v>
      </c>
      <c r="B197">
        <v>0</v>
      </c>
      <c r="C197" s="4">
        <f>SUM($B$2:$B197)</f>
        <v>60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</row>
    <row r="198" spans="1:71" x14ac:dyDescent="0.35">
      <c r="A198">
        <v>197</v>
      </c>
      <c r="B198">
        <v>0</v>
      </c>
      <c r="C198" s="4">
        <f>SUM($B$2:$B198)</f>
        <v>60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</row>
    <row r="199" spans="1:71" x14ac:dyDescent="0.35">
      <c r="A199">
        <v>198</v>
      </c>
      <c r="B199">
        <v>0</v>
      </c>
      <c r="C199" s="4">
        <f>SUM($B$2:$B199)</f>
        <v>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</row>
    <row r="200" spans="1:71" x14ac:dyDescent="0.35">
      <c r="A200">
        <v>199</v>
      </c>
      <c r="B200">
        <v>0</v>
      </c>
      <c r="C200" s="4">
        <f>SUM($B$2:$B200)</f>
        <v>60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</row>
    <row r="201" spans="1:71" x14ac:dyDescent="0.35">
      <c r="A201">
        <v>200</v>
      </c>
      <c r="B201">
        <v>0</v>
      </c>
      <c r="C201" s="4">
        <f>SUM($B$2:$B201)</f>
        <v>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35">
      <c r="A202">
        <v>201</v>
      </c>
      <c r="B202">
        <v>0</v>
      </c>
      <c r="C202" s="4">
        <f>SUM($B$2:$B202)</f>
        <v>60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</row>
    <row r="203" spans="1:71" x14ac:dyDescent="0.35">
      <c r="A203">
        <v>202</v>
      </c>
      <c r="B203">
        <v>0</v>
      </c>
      <c r="C203" s="4">
        <f>SUM($B$2:$B203)</f>
        <v>60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</row>
    <row r="204" spans="1:71" x14ac:dyDescent="0.35">
      <c r="A204">
        <v>203</v>
      </c>
      <c r="B204">
        <v>0</v>
      </c>
      <c r="C204" s="4">
        <f>SUM($B$2:$B204)</f>
        <v>60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</row>
    <row r="205" spans="1:71" x14ac:dyDescent="0.35">
      <c r="A205">
        <v>204</v>
      </c>
      <c r="B205">
        <v>0</v>
      </c>
      <c r="C205" s="4">
        <f>SUM($B$2:$B205)</f>
        <v>60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</row>
    <row r="206" spans="1:71" x14ac:dyDescent="0.35">
      <c r="A206">
        <v>205</v>
      </c>
      <c r="B206">
        <v>0</v>
      </c>
      <c r="C206" s="4">
        <f>SUM($B$2:$B206)</f>
        <v>60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</row>
    <row r="207" spans="1:71" x14ac:dyDescent="0.35">
      <c r="A207">
        <v>206</v>
      </c>
      <c r="B207">
        <v>0</v>
      </c>
      <c r="C207" s="4">
        <f>SUM($B$2:$B207)</f>
        <v>60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</row>
    <row r="208" spans="1:71" x14ac:dyDescent="0.35">
      <c r="A208">
        <v>207</v>
      </c>
      <c r="B208">
        <v>0</v>
      </c>
      <c r="C208" s="4">
        <f>SUM($B$2:$B208)</f>
        <v>60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</row>
    <row r="209" spans="1:71" x14ac:dyDescent="0.35">
      <c r="A209">
        <v>208</v>
      </c>
      <c r="B209">
        <v>0</v>
      </c>
      <c r="C209" s="4">
        <f>SUM($B$2:$B209)</f>
        <v>60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35">
      <c r="A210">
        <v>209</v>
      </c>
      <c r="B210">
        <v>0</v>
      </c>
      <c r="C210" s="4">
        <f>SUM($B$2:$B210)</f>
        <v>60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</row>
    <row r="211" spans="1:71" x14ac:dyDescent="0.35">
      <c r="A211">
        <v>210</v>
      </c>
      <c r="B211">
        <v>0</v>
      </c>
      <c r="C211" s="4">
        <f>SUM($B$2:$B211)</f>
        <v>60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35">
      <c r="A212">
        <v>211</v>
      </c>
      <c r="B212">
        <v>0</v>
      </c>
      <c r="C212" s="4">
        <f>SUM($B$2:$B212)</f>
        <v>60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</row>
    <row r="213" spans="1:71" x14ac:dyDescent="0.35">
      <c r="A213">
        <v>212</v>
      </c>
      <c r="B213">
        <v>0</v>
      </c>
      <c r="C213" s="4">
        <f>SUM($B$2:$B213)</f>
        <v>60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35">
      <c r="A214">
        <v>213</v>
      </c>
      <c r="B214">
        <v>0</v>
      </c>
      <c r="C214" s="4">
        <f>SUM($B$2:$B214)</f>
        <v>60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</row>
    <row r="215" spans="1:71" x14ac:dyDescent="0.35">
      <c r="A215">
        <v>214</v>
      </c>
      <c r="B215">
        <v>0</v>
      </c>
      <c r="C215" s="4">
        <f>SUM($B$2:$B215)</f>
        <v>60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</row>
    <row r="216" spans="1:71" x14ac:dyDescent="0.35">
      <c r="A216">
        <v>215</v>
      </c>
      <c r="B216">
        <v>0</v>
      </c>
      <c r="C216" s="4">
        <f>SUM($B$2:$B216)</f>
        <v>60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</row>
    <row r="217" spans="1:71" x14ac:dyDescent="0.35">
      <c r="A217">
        <v>216</v>
      </c>
      <c r="B217">
        <v>0</v>
      </c>
      <c r="C217" s="4">
        <f>SUM($B$2:$B217)</f>
        <v>60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 x14ac:dyDescent="0.35">
      <c r="A218">
        <v>217</v>
      </c>
      <c r="B218">
        <v>0</v>
      </c>
      <c r="C218" s="4">
        <f>SUM($B$2:$B218)</f>
        <v>60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35">
      <c r="A219">
        <v>218</v>
      </c>
      <c r="B219">
        <v>0</v>
      </c>
      <c r="C219" s="4">
        <f>SUM($B$2:$B219)</f>
        <v>60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 ht="28.5" x14ac:dyDescent="0.65">
      <c r="A220">
        <v>219</v>
      </c>
      <c r="B220">
        <v>1</v>
      </c>
      <c r="C220" s="4">
        <f>SUM($B$2:$B220)</f>
        <v>61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1</v>
      </c>
      <c r="BP220">
        <v>0</v>
      </c>
      <c r="BQ220" s="10">
        <v>1</v>
      </c>
      <c r="BR220">
        <v>0</v>
      </c>
      <c r="BS220">
        <v>0</v>
      </c>
    </row>
    <row r="221" spans="1:71" x14ac:dyDescent="0.35">
      <c r="A221">
        <v>220</v>
      </c>
      <c r="B221">
        <v>0</v>
      </c>
      <c r="C221" s="4">
        <f>SUM($B$2:$B221)</f>
        <v>61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</row>
    <row r="222" spans="1:71" x14ac:dyDescent="0.35">
      <c r="A222">
        <v>221</v>
      </c>
      <c r="B222">
        <v>0</v>
      </c>
      <c r="C222" s="4">
        <f>SUM($B$2:$B222)</f>
        <v>61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</row>
    <row r="223" spans="1:71" x14ac:dyDescent="0.35">
      <c r="A223">
        <v>222</v>
      </c>
      <c r="B223">
        <v>0</v>
      </c>
      <c r="C223" s="4">
        <f>SUM($B$2:$B223)</f>
        <v>61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</row>
    <row r="224" spans="1:71" x14ac:dyDescent="0.35">
      <c r="A224">
        <v>223</v>
      </c>
      <c r="B224">
        <v>0</v>
      </c>
      <c r="C224" s="4">
        <f>SUM($B$2:$B224)</f>
        <v>61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</row>
    <row r="225" spans="1:71" x14ac:dyDescent="0.35">
      <c r="A225">
        <v>224</v>
      </c>
      <c r="B225">
        <v>0</v>
      </c>
      <c r="C225" s="4">
        <f>SUM($B$2:$B225)</f>
        <v>61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</row>
    <row r="226" spans="1:71" x14ac:dyDescent="0.35">
      <c r="A226">
        <v>225</v>
      </c>
      <c r="B226">
        <v>0</v>
      </c>
      <c r="C226" s="4">
        <f>SUM($B$2:$B226)</f>
        <v>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</row>
    <row r="227" spans="1:71" x14ac:dyDescent="0.35">
      <c r="A227">
        <v>226</v>
      </c>
      <c r="B227">
        <v>0</v>
      </c>
      <c r="C227" s="4">
        <f>SUM($B$2:$B227)</f>
        <v>61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</row>
    <row r="228" spans="1:71" x14ac:dyDescent="0.35">
      <c r="A228">
        <v>227</v>
      </c>
      <c r="B228">
        <v>0</v>
      </c>
      <c r="C228" s="4">
        <f>SUM($B$2:$B228)</f>
        <v>61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</row>
    <row r="229" spans="1:71" x14ac:dyDescent="0.35">
      <c r="A229">
        <v>228</v>
      </c>
      <c r="B229">
        <v>0</v>
      </c>
      <c r="C229" s="4">
        <f>SUM($B$2:$B229)</f>
        <v>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</row>
    <row r="230" spans="1:71" x14ac:dyDescent="0.35">
      <c r="A230">
        <v>229</v>
      </c>
      <c r="B230">
        <v>0</v>
      </c>
      <c r="C230" s="4">
        <f>SUM($B$2:$B230)</f>
        <v>61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</row>
    <row r="231" spans="1:71" x14ac:dyDescent="0.35">
      <c r="A231">
        <v>230</v>
      </c>
      <c r="B231">
        <v>0</v>
      </c>
      <c r="C231" s="4">
        <f>SUM($B$2:$B231)</f>
        <v>61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 x14ac:dyDescent="0.35">
      <c r="A232">
        <v>231</v>
      </c>
      <c r="B232">
        <v>0</v>
      </c>
      <c r="C232" s="4">
        <f>SUM($B$2:$B232)</f>
        <v>61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 x14ac:dyDescent="0.35">
      <c r="A233">
        <v>232</v>
      </c>
      <c r="B233">
        <v>0</v>
      </c>
      <c r="C233" s="4">
        <f>SUM($B$2:$B233)</f>
        <v>61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</row>
    <row r="234" spans="1:71" x14ac:dyDescent="0.35">
      <c r="A234">
        <v>233</v>
      </c>
      <c r="B234">
        <v>0</v>
      </c>
      <c r="C234" s="4">
        <f>SUM($B$2:$B234)</f>
        <v>61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</row>
    <row r="235" spans="1:71" x14ac:dyDescent="0.35">
      <c r="A235">
        <v>234</v>
      </c>
      <c r="B235">
        <v>0</v>
      </c>
      <c r="C235" s="4">
        <f>SUM($B$2:$B235)</f>
        <v>61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35">
      <c r="A236">
        <v>235</v>
      </c>
      <c r="B236">
        <v>0</v>
      </c>
      <c r="C236" s="4">
        <f>SUM($B$2:$B236)</f>
        <v>61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 x14ac:dyDescent="0.35">
      <c r="A237">
        <v>236</v>
      </c>
      <c r="B237">
        <v>0</v>
      </c>
      <c r="C237" s="4">
        <f>SUM($B$2:$B237)</f>
        <v>61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35">
      <c r="A238">
        <v>237</v>
      </c>
      <c r="B238">
        <v>0</v>
      </c>
      <c r="C238" s="4">
        <f>SUM($B$2:$B238)</f>
        <v>61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35">
      <c r="A239">
        <v>238</v>
      </c>
      <c r="B239">
        <v>0</v>
      </c>
      <c r="C239" s="4">
        <f>SUM($B$2:$B239)</f>
        <v>61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35">
      <c r="A240">
        <v>239</v>
      </c>
      <c r="B240">
        <v>0</v>
      </c>
      <c r="C240" s="4">
        <f>SUM($B$2:$B240)</f>
        <v>61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 x14ac:dyDescent="0.35">
      <c r="A241">
        <v>240</v>
      </c>
      <c r="B241">
        <v>0</v>
      </c>
      <c r="C241" s="4">
        <f>SUM($B$2:$B241)</f>
        <v>61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</row>
    <row r="242" spans="1:71" x14ac:dyDescent="0.35">
      <c r="A242">
        <v>241</v>
      </c>
      <c r="B242">
        <v>0</v>
      </c>
      <c r="C242" s="4">
        <f>SUM($B$2:$B242)</f>
        <v>61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 x14ac:dyDescent="0.35">
      <c r="A243">
        <v>242</v>
      </c>
      <c r="B243">
        <v>0</v>
      </c>
      <c r="C243" s="4">
        <f>SUM($B$2:$B243)</f>
        <v>61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 x14ac:dyDescent="0.35">
      <c r="A244">
        <v>243</v>
      </c>
      <c r="B244">
        <v>0</v>
      </c>
      <c r="C244" s="4">
        <f>SUM($B$2:$B244)</f>
        <v>61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</row>
    <row r="245" spans="1:71" x14ac:dyDescent="0.35">
      <c r="A245">
        <v>244</v>
      </c>
      <c r="B245">
        <v>0</v>
      </c>
      <c r="C245" s="4">
        <f>SUM($B$2:$B245)</f>
        <v>61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35">
      <c r="A246">
        <v>245</v>
      </c>
      <c r="B246">
        <v>0</v>
      </c>
      <c r="C246" s="4">
        <f>SUM($B$2:$B246)</f>
        <v>61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</row>
    <row r="247" spans="1:71" x14ac:dyDescent="0.35">
      <c r="A247">
        <v>246</v>
      </c>
      <c r="B247">
        <v>0</v>
      </c>
      <c r="C247" s="4">
        <f>SUM($B$2:$B247)</f>
        <v>61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</row>
    <row r="248" spans="1:71" x14ac:dyDescent="0.35">
      <c r="A248">
        <v>247</v>
      </c>
      <c r="B248">
        <v>0</v>
      </c>
      <c r="C248" s="4">
        <f>SUM($B$2:$B248)</f>
        <v>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</row>
    <row r="249" spans="1:71" x14ac:dyDescent="0.35">
      <c r="A249">
        <v>248</v>
      </c>
      <c r="B249">
        <v>0</v>
      </c>
      <c r="C249" s="4">
        <f>SUM($B$2:$B249)</f>
        <v>61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</row>
    <row r="250" spans="1:71" x14ac:dyDescent="0.35">
      <c r="A250">
        <v>249</v>
      </c>
      <c r="B250">
        <v>0</v>
      </c>
      <c r="C250" s="4">
        <f>SUM($B$2:$B250)</f>
        <v>61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</row>
    <row r="251" spans="1:71" x14ac:dyDescent="0.35">
      <c r="A251">
        <v>250</v>
      </c>
      <c r="B251">
        <v>0</v>
      </c>
      <c r="C251" s="4">
        <f>SUM($B$2:$B251)</f>
        <v>61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</row>
    <row r="252" spans="1:71" x14ac:dyDescent="0.35">
      <c r="A252">
        <v>251</v>
      </c>
      <c r="B252">
        <v>0</v>
      </c>
      <c r="C252" s="4">
        <f>SUM($B$2:$B252)</f>
        <v>61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</row>
    <row r="253" spans="1:71" x14ac:dyDescent="0.35">
      <c r="A253">
        <v>252</v>
      </c>
      <c r="B253">
        <v>0</v>
      </c>
      <c r="C253" s="4">
        <f>SUM($B$2:$B253)</f>
        <v>61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</row>
    <row r="254" spans="1:71" x14ac:dyDescent="0.35">
      <c r="A254">
        <v>253</v>
      </c>
      <c r="B254">
        <v>0</v>
      </c>
      <c r="C254" s="4">
        <f>SUM($B$2:$B254)</f>
        <v>61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</row>
    <row r="255" spans="1:71" x14ac:dyDescent="0.35">
      <c r="A255">
        <v>254</v>
      </c>
      <c r="B255">
        <v>0</v>
      </c>
      <c r="C255" s="4">
        <f>SUM($B$2:$B255)</f>
        <v>61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</row>
    <row r="256" spans="1:71" x14ac:dyDescent="0.35">
      <c r="A256">
        <v>255</v>
      </c>
      <c r="B256">
        <v>0</v>
      </c>
      <c r="C256" s="4">
        <f>SUM($B$2:$B256)</f>
        <v>61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</row>
    <row r="257" spans="1:71" x14ac:dyDescent="0.35">
      <c r="A257">
        <v>256</v>
      </c>
      <c r="B257">
        <v>0</v>
      </c>
      <c r="C257" s="4">
        <f>SUM($B$2:$B257)</f>
        <v>61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</row>
    <row r="258" spans="1:71" x14ac:dyDescent="0.35">
      <c r="A258">
        <v>257</v>
      </c>
      <c r="B258">
        <v>0</v>
      </c>
      <c r="C258" s="4">
        <f>SUM($B$2:$B258)</f>
        <v>61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 x14ac:dyDescent="0.35">
      <c r="A259">
        <v>258</v>
      </c>
      <c r="B259">
        <v>0</v>
      </c>
      <c r="C259" s="4">
        <f>SUM($B$2:$B259)</f>
        <v>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 x14ac:dyDescent="0.35">
      <c r="A260">
        <v>259</v>
      </c>
      <c r="B260">
        <v>0</v>
      </c>
      <c r="C260" s="4">
        <f>SUM($B$2:$B260)</f>
        <v>61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 x14ac:dyDescent="0.35">
      <c r="A261">
        <v>260</v>
      </c>
      <c r="B261">
        <v>0</v>
      </c>
      <c r="C261" s="4">
        <f>SUM($B$2:$B261)</f>
        <v>61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35">
      <c r="A262">
        <v>261</v>
      </c>
      <c r="B262">
        <v>0</v>
      </c>
      <c r="C262" s="4">
        <f>SUM($B$2:$B262)</f>
        <v>61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</row>
    <row r="263" spans="1:71" x14ac:dyDescent="0.35">
      <c r="A263">
        <v>262</v>
      </c>
      <c r="B263">
        <v>0</v>
      </c>
      <c r="C263" s="4">
        <f>SUM($B$2:$B263)</f>
        <v>61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35">
      <c r="A264">
        <v>263</v>
      </c>
      <c r="B264">
        <v>0</v>
      </c>
      <c r="C264" s="4">
        <f>SUM($B$2:$B264)</f>
        <v>61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</row>
    <row r="265" spans="1:71" x14ac:dyDescent="0.35">
      <c r="A265">
        <v>264</v>
      </c>
      <c r="B265">
        <v>0</v>
      </c>
      <c r="C265" s="4">
        <f>SUM($B$2:$B265)</f>
        <v>61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 x14ac:dyDescent="0.35">
      <c r="A266">
        <v>265</v>
      </c>
      <c r="B266">
        <v>0</v>
      </c>
      <c r="C266" s="4">
        <f>SUM($B$2:$B266)</f>
        <v>61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</row>
    <row r="267" spans="1:71" x14ac:dyDescent="0.35">
      <c r="A267">
        <v>266</v>
      </c>
      <c r="B267">
        <v>0</v>
      </c>
      <c r="C267" s="4">
        <f>SUM($B$2:$B267)</f>
        <v>61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</row>
    <row r="268" spans="1:71" x14ac:dyDescent="0.35">
      <c r="A268">
        <v>267</v>
      </c>
      <c r="B268">
        <v>0</v>
      </c>
      <c r="C268" s="4">
        <f>SUM($B$2:$B268)</f>
        <v>61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</row>
    <row r="269" spans="1:71" x14ac:dyDescent="0.35">
      <c r="A269">
        <v>268</v>
      </c>
      <c r="B269">
        <v>0</v>
      </c>
      <c r="C269" s="4">
        <f>SUM($B$2:$B269)</f>
        <v>61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</row>
    <row r="270" spans="1:71" x14ac:dyDescent="0.35">
      <c r="A270">
        <v>269</v>
      </c>
      <c r="B270">
        <v>0</v>
      </c>
      <c r="C270" s="4">
        <f>SUM($B$2:$B270)</f>
        <v>61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</row>
    <row r="271" spans="1:71" x14ac:dyDescent="0.35">
      <c r="A271">
        <v>270</v>
      </c>
      <c r="B271">
        <v>0</v>
      </c>
      <c r="C271" s="4">
        <f>SUM($B$2:$B271)</f>
        <v>61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</row>
    <row r="272" spans="1:71" x14ac:dyDescent="0.35">
      <c r="A272">
        <v>271</v>
      </c>
      <c r="B272">
        <v>0</v>
      </c>
      <c r="C272" s="4">
        <f>SUM($B$2:$B272)</f>
        <v>61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</row>
    <row r="273" spans="1:71" x14ac:dyDescent="0.35">
      <c r="A273">
        <v>272</v>
      </c>
      <c r="B273">
        <v>0</v>
      </c>
      <c r="C273" s="4">
        <f>SUM($B$2:$B273)</f>
        <v>61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</row>
    <row r="274" spans="1:71" x14ac:dyDescent="0.35">
      <c r="A274">
        <v>273</v>
      </c>
      <c r="B274">
        <v>0</v>
      </c>
      <c r="C274" s="4">
        <f>SUM($B$2:$B274)</f>
        <v>61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</row>
    <row r="275" spans="1:71" x14ac:dyDescent="0.35">
      <c r="A275">
        <v>274</v>
      </c>
      <c r="B275">
        <v>0</v>
      </c>
      <c r="C275" s="4">
        <f>SUM($B$2:$B275)</f>
        <v>61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</row>
    <row r="276" spans="1:71" x14ac:dyDescent="0.35">
      <c r="A276">
        <v>275</v>
      </c>
      <c r="B276">
        <v>0</v>
      </c>
      <c r="C276" s="4">
        <f>SUM($B$2:$B276)</f>
        <v>61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</row>
    <row r="277" spans="1:71" x14ac:dyDescent="0.35">
      <c r="A277">
        <v>276</v>
      </c>
      <c r="B277">
        <v>0</v>
      </c>
      <c r="C277" s="4">
        <f>SUM($B$2:$B277)</f>
        <v>61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</row>
    <row r="278" spans="1:71" x14ac:dyDescent="0.35">
      <c r="A278">
        <v>277</v>
      </c>
      <c r="B278">
        <v>0</v>
      </c>
      <c r="C278" s="4">
        <f>SUM($B$2:$B278)</f>
        <v>61</v>
      </c>
      <c r="D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35">
      <c r="A279">
        <v>278</v>
      </c>
      <c r="B279">
        <v>0</v>
      </c>
      <c r="C279" s="4">
        <f>SUM($B$2:$B279)</f>
        <v>61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</row>
    <row r="280" spans="1:71" x14ac:dyDescent="0.35">
      <c r="A280">
        <v>279</v>
      </c>
      <c r="B280">
        <v>0</v>
      </c>
      <c r="C280" s="4">
        <f>SUM($B$2:$B280)</f>
        <v>61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</row>
    <row r="281" spans="1:71" x14ac:dyDescent="0.35">
      <c r="A281">
        <v>280</v>
      </c>
      <c r="B281">
        <v>0</v>
      </c>
      <c r="C281" s="4">
        <f>SUM($B$2:$B281)</f>
        <v>61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35">
      <c r="A282">
        <v>281</v>
      </c>
      <c r="B282">
        <v>0</v>
      </c>
      <c r="C282" s="4">
        <f>SUM($B$2:$B282)</f>
        <v>61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 x14ac:dyDescent="0.35">
      <c r="A283">
        <v>282</v>
      </c>
      <c r="B283">
        <v>0</v>
      </c>
      <c r="C283" s="4">
        <f>SUM($B$2:$B283)</f>
        <v>61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 x14ac:dyDescent="0.35">
      <c r="A284">
        <v>283</v>
      </c>
      <c r="B284">
        <v>0</v>
      </c>
      <c r="C284" s="4">
        <f>SUM($B$2:$B284)</f>
        <v>61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 x14ac:dyDescent="0.35">
      <c r="A285">
        <v>284</v>
      </c>
      <c r="B285">
        <v>0</v>
      </c>
      <c r="C285" s="4">
        <f>SUM($B$2:$B285)</f>
        <v>61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</row>
    <row r="286" spans="1:71" x14ac:dyDescent="0.35">
      <c r="A286">
        <v>285</v>
      </c>
      <c r="B286">
        <v>0</v>
      </c>
      <c r="C286" s="4">
        <f>SUM($B$2:$B286)</f>
        <v>61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 x14ac:dyDescent="0.35">
      <c r="A287">
        <v>286</v>
      </c>
      <c r="B287">
        <v>0</v>
      </c>
      <c r="C287" s="4">
        <f>SUM($B$2:$B287)</f>
        <v>61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 x14ac:dyDescent="0.35">
      <c r="A288">
        <v>287</v>
      </c>
      <c r="B288">
        <v>0</v>
      </c>
      <c r="C288" s="4">
        <f>SUM($B$2:$B288)</f>
        <v>61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</sheetData>
  <conditionalFormatting sqref="E2:BS288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DAgg4</vt:lpstr>
      <vt:lpstr>VLookUp</vt:lpstr>
      <vt:lpstr>PivotTableCount</vt:lpstr>
      <vt:lpstr>RawData</vt:lpstr>
      <vt:lpstr>SpecAccum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2024-12-23T18:20:10Z</dcterms:created>
  <dcterms:modified xsi:type="dcterms:W3CDTF">2024-12-26T02:45:05Z</dcterms:modified>
</cp:coreProperties>
</file>