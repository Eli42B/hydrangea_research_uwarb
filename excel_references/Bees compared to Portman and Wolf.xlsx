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578D52EF-E8EC-4B0D-B6A1-1E8A9F4C622F}" xr6:coauthVersionLast="47" xr6:coauthVersionMax="47" xr10:uidLastSave="{00000000-0000-0000-0000-000000000000}"/>
  <bookViews>
    <workbookView xWindow="-84" yWindow="1008" windowWidth="22404" windowHeight="11868" activeTab="2" xr2:uid="{726A6074-52DA-41C8-BDFA-0BCAB261AFD2}"/>
  </bookViews>
  <sheets>
    <sheet name="Table of Bugs" sheetId="1" r:id="rId1"/>
    <sheet name="Pivot table" sheetId="3" r:id="rId2"/>
    <sheet name="Counting them up" sheetId="4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4" l="1"/>
  <c r="C5" i="4"/>
  <c r="C35" i="4"/>
  <c r="C40" i="4" l="1"/>
  <c r="D34" i="4" l="1"/>
  <c r="D22" i="4"/>
  <c r="D12" i="4"/>
  <c r="D33" i="4"/>
  <c r="D17" i="4"/>
  <c r="D13" i="4"/>
  <c r="D18" i="4"/>
  <c r="D2" i="4"/>
  <c r="D32" i="4"/>
  <c r="D19" i="4"/>
  <c r="D3" i="4"/>
  <c r="D30" i="4"/>
  <c r="D20" i="4"/>
  <c r="D4" i="4"/>
  <c r="D31" i="4"/>
  <c r="D6" i="4"/>
  <c r="D36" i="4"/>
  <c r="D28" i="4"/>
  <c r="D15" i="4"/>
  <c r="D37" i="4"/>
  <c r="D29" i="4"/>
  <c r="D16" i="4"/>
  <c r="D38" i="4"/>
  <c r="D27" i="4"/>
  <c r="D14" i="4"/>
  <c r="D39" i="4"/>
  <c r="D23" i="4"/>
  <c r="D7" i="4"/>
  <c r="D24" i="4"/>
  <c r="D8" i="4"/>
  <c r="D25" i="4"/>
  <c r="D9" i="4"/>
  <c r="D26" i="4"/>
  <c r="D10" i="4"/>
  <c r="D21" i="4"/>
  <c r="D11" i="4"/>
  <c r="D5" i="4"/>
  <c r="D35" i="4"/>
</calcChain>
</file>

<file path=xl/sharedStrings.xml><?xml version="1.0" encoding="utf-8"?>
<sst xmlns="http://schemas.openxmlformats.org/spreadsheetml/2006/main" count="526" uniqueCount="166">
  <si>
    <t>Order</t>
  </si>
  <si>
    <t xml:space="preserve">Family </t>
  </si>
  <si>
    <t>Genus</t>
  </si>
  <si>
    <t>Species</t>
  </si>
  <si>
    <t xml:space="preserve"> 2024*</t>
  </si>
  <si>
    <t>2019-2022**</t>
  </si>
  <si>
    <t>Coleoptera</t>
  </si>
  <si>
    <t>Cerambycidae</t>
  </si>
  <si>
    <t>Chrysomelidae</t>
  </si>
  <si>
    <t>Curculionidae</t>
  </si>
  <si>
    <t>Mordellidae</t>
  </si>
  <si>
    <t>Scarabaeoidea</t>
  </si>
  <si>
    <t xml:space="preserve">Unknown </t>
  </si>
  <si>
    <t>Diptera</t>
  </si>
  <si>
    <t>Bombyliidae</t>
  </si>
  <si>
    <t>Calliphoridae</t>
  </si>
  <si>
    <t>Cecidomyiidae</t>
  </si>
  <si>
    <t>Conopidae</t>
  </si>
  <si>
    <t>Culicidae</t>
  </si>
  <si>
    <t>Dolichopodidae</t>
  </si>
  <si>
    <t>Drosophilidae</t>
  </si>
  <si>
    <t>Empididae</t>
  </si>
  <si>
    <t>Muscidae</t>
  </si>
  <si>
    <t>Oestroidea</t>
  </si>
  <si>
    <t xml:space="preserve">Syrphidae </t>
  </si>
  <si>
    <t>Tipulidae</t>
  </si>
  <si>
    <t>Ulidiidae</t>
  </si>
  <si>
    <t>Unknown Bristly Flies, including Tachinidae</t>
  </si>
  <si>
    <t>Hemiptera</t>
  </si>
  <si>
    <t>Aphididae</t>
  </si>
  <si>
    <t>Cicadellidae</t>
  </si>
  <si>
    <t>Miridae</t>
  </si>
  <si>
    <t>Reduviidae</t>
  </si>
  <si>
    <t>Hymenoptera</t>
  </si>
  <si>
    <t>Andrenidae</t>
  </si>
  <si>
    <t>Protandrena</t>
  </si>
  <si>
    <t>Andrena</t>
  </si>
  <si>
    <t>Andrena milwaukeensis</t>
  </si>
  <si>
    <t>Andrena prunorum</t>
  </si>
  <si>
    <t>Panurginus</t>
  </si>
  <si>
    <t>Perdita</t>
  </si>
  <si>
    <t>Pseudopanurgus</t>
  </si>
  <si>
    <t>Apidae</t>
  </si>
  <si>
    <t>Apis</t>
  </si>
  <si>
    <t>Apis mellifera</t>
  </si>
  <si>
    <t>Anthophora</t>
  </si>
  <si>
    <t>Anthophora abrupta</t>
  </si>
  <si>
    <t>Anthophora plumipes</t>
  </si>
  <si>
    <t>Bombus</t>
  </si>
  <si>
    <t>Bombus auricomus</t>
  </si>
  <si>
    <t>Bombus affinis</t>
  </si>
  <si>
    <t>Bombus bimaculatus</t>
  </si>
  <si>
    <t>Bombus citrinus</t>
  </si>
  <si>
    <t>Bombus griseocollis</t>
  </si>
  <si>
    <t>Bombus flavidus</t>
  </si>
  <si>
    <t>Bombus impatiens</t>
  </si>
  <si>
    <t>Bombus pensylvanicus</t>
  </si>
  <si>
    <t>Bombus perplexus</t>
  </si>
  <si>
    <t>Bombus rufocinctus</t>
  </si>
  <si>
    <t>Bombus vagans sandersoni</t>
  </si>
  <si>
    <t>Bombus vagans</t>
  </si>
  <si>
    <t>Bombus (other)</t>
  </si>
  <si>
    <t>Bombus (unknown)</t>
  </si>
  <si>
    <t>Brachymelecta</t>
  </si>
  <si>
    <t>Ceratina</t>
  </si>
  <si>
    <t>Diadasia*</t>
  </si>
  <si>
    <t>Epeolus</t>
  </si>
  <si>
    <t>Florilegus</t>
  </si>
  <si>
    <t>Habropoda</t>
  </si>
  <si>
    <t>Melissodes</t>
  </si>
  <si>
    <t>Nomada</t>
  </si>
  <si>
    <t>Xylocopa</t>
  </si>
  <si>
    <t>Xylocopa virginica</t>
  </si>
  <si>
    <t>Unknown</t>
  </si>
  <si>
    <t>Apocrita (suborder)</t>
  </si>
  <si>
    <t>Astatidae</t>
  </si>
  <si>
    <t>Astata*</t>
  </si>
  <si>
    <t>Bembicidae</t>
  </si>
  <si>
    <t>Sphecius</t>
  </si>
  <si>
    <t>Sphecius speciosus</t>
  </si>
  <si>
    <t>Braconidae</t>
  </si>
  <si>
    <t>Chrysididae</t>
  </si>
  <si>
    <t>Colletidae</t>
  </si>
  <si>
    <t>Hylaeus</t>
  </si>
  <si>
    <t>Hylaeus_leptocephalus</t>
  </si>
  <si>
    <t>Hylaeus_modestus</t>
  </si>
  <si>
    <t>Eurytomidae</t>
  </si>
  <si>
    <t>Eurytoma</t>
  </si>
  <si>
    <t>Gasteruptiinae</t>
  </si>
  <si>
    <t>Gasteruption</t>
  </si>
  <si>
    <t>Halictidae</t>
  </si>
  <si>
    <t>Agapostemon</t>
  </si>
  <si>
    <t>Agapostemon splendens</t>
  </si>
  <si>
    <t>Augochlora</t>
  </si>
  <si>
    <t>Augochlorella</t>
  </si>
  <si>
    <t>Augochloropsis</t>
  </si>
  <si>
    <t>Green.Sweatbee</t>
  </si>
  <si>
    <t>Halictus</t>
  </si>
  <si>
    <t>Halictus ligatus</t>
  </si>
  <si>
    <t>Halictus rubicundus</t>
  </si>
  <si>
    <t>Halictus tripartitus</t>
  </si>
  <si>
    <t>Lasioglossum</t>
  </si>
  <si>
    <t>Sphecodes</t>
  </si>
  <si>
    <t>Megachilidae</t>
  </si>
  <si>
    <t>Anthidium</t>
  </si>
  <si>
    <t>Anthidium oblongatum</t>
  </si>
  <si>
    <t>Chelostoma</t>
  </si>
  <si>
    <t>Heriades</t>
  </si>
  <si>
    <t>Megachile</t>
  </si>
  <si>
    <t>Megachile sculpturalis</t>
  </si>
  <si>
    <t>Melissodes bimaculatus</t>
  </si>
  <si>
    <t>Osmia</t>
  </si>
  <si>
    <t>Stelis</t>
  </si>
  <si>
    <t>Melittidae</t>
  </si>
  <si>
    <t>Macropis</t>
  </si>
  <si>
    <t>Note: not included in final count after checked by hand</t>
  </si>
  <si>
    <t>Philanthidae</t>
  </si>
  <si>
    <t>Cerceris</t>
  </si>
  <si>
    <t>Scoliidae</t>
  </si>
  <si>
    <t>Scolia</t>
  </si>
  <si>
    <t>Sphecidae</t>
  </si>
  <si>
    <t>Sphex</t>
  </si>
  <si>
    <t>Vespidae</t>
  </si>
  <si>
    <t>Dolichovespula</t>
  </si>
  <si>
    <t>Dolichovespula maculata</t>
  </si>
  <si>
    <t>Symmorphus</t>
  </si>
  <si>
    <t>Hymenoptera (unknown)</t>
  </si>
  <si>
    <t>Lepidoptera</t>
  </si>
  <si>
    <t>Hesperiidae</t>
  </si>
  <si>
    <t>Epargyreus</t>
  </si>
  <si>
    <t>Epargyreus clarus</t>
  </si>
  <si>
    <t>Lycaenidae</t>
  </si>
  <si>
    <t>Celastrina</t>
  </si>
  <si>
    <t>Celastrina ladon</t>
  </si>
  <si>
    <t>Nymphalidae</t>
  </si>
  <si>
    <t>Libythean</t>
  </si>
  <si>
    <t>Libythean carinenta</t>
  </si>
  <si>
    <t>Polygonia</t>
  </si>
  <si>
    <t>Polygonia comma</t>
  </si>
  <si>
    <t>Vanessa</t>
  </si>
  <si>
    <t>Vanessa atalanta</t>
  </si>
  <si>
    <t>Pieridae</t>
  </si>
  <si>
    <t>Pieris</t>
  </si>
  <si>
    <t>Pieris rapae</t>
  </si>
  <si>
    <t>Lepidoptera (unknown)</t>
  </si>
  <si>
    <t>Row Labels</t>
  </si>
  <si>
    <t>(blank)</t>
  </si>
  <si>
    <t>Grand Total</t>
  </si>
  <si>
    <t>Sum of 2019-2022**</t>
  </si>
  <si>
    <t>Percentage</t>
  </si>
  <si>
    <t>Bee or wasp</t>
  </si>
  <si>
    <t>bee</t>
  </si>
  <si>
    <t>wasp</t>
  </si>
  <si>
    <t xml:space="preserve">Present in Porter et al.? </t>
  </si>
  <si>
    <t>Yes</t>
  </si>
  <si>
    <t>No</t>
  </si>
  <si>
    <t xml:space="preserve">Present in Wolf et al.? </t>
  </si>
  <si>
    <t>Notes</t>
  </si>
  <si>
    <t xml:space="preserve">Known to only be a western bee </t>
  </si>
  <si>
    <t xml:space="preserve">primarily a neotropical bee </t>
  </si>
  <si>
    <t xml:space="preserve">Possible, some reported in iNat in E US </t>
  </si>
  <si>
    <t>Possible, some reported in New England, holarctic species</t>
  </si>
  <si>
    <t xml:space="preserve">No </t>
  </si>
  <si>
    <t>rare bee, further check of photos experts disagreed</t>
  </si>
  <si>
    <t>Possible</t>
  </si>
  <si>
    <t>24 genera of 45 genera Zach Portman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</si>
</sst>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5903.697594328703" createdVersion="8" refreshedVersion="8" minRefreshableVersion="3" recordCount="95" xr:uid="{45A6728A-2BA4-443E-8005-062038768147}">
  <cacheSource type="worksheet">
    <worksheetSource ref="A1:C1048576" sheet="Sheet2" r:id="rId2"/>
  </cacheSource>
  <cacheFields count="3">
    <cacheField name="Genus" numFmtId="0">
      <sharedItems containsBlank="1" count="43">
        <s v="Protandrena"/>
        <s v="Andrena"/>
        <s v="Panurginus"/>
        <s v="Perdita"/>
        <s v="Pseudopanurgus"/>
        <s v="Apis"/>
        <s v="Anthophora"/>
        <s v="Bombus"/>
        <s v="Bombus (other)"/>
        <s v="Bombus (unknown)"/>
        <s v="Brachymelecta"/>
        <s v="Ceratina"/>
        <s v="Diadasia*"/>
        <s v="Epeolus"/>
        <s v="Florilegus"/>
        <s v="Habropoda"/>
        <s v="Melissodes"/>
        <s v="Nomada"/>
        <s v="Xylocopa"/>
        <s v="Unknown"/>
        <m/>
        <s v="Astata*"/>
        <s v="Sphecius"/>
        <s v="Hylaeus"/>
        <s v="Hylaeus_leptocephalus"/>
        <s v="Hylaeus_modestus"/>
        <s v="Eurytoma"/>
        <s v="Gasteruption"/>
        <s v="Agapostemon"/>
        <s v="Augochlora"/>
        <s v="Augochlorella"/>
        <s v="Augochloropsis"/>
        <s v="Green.Sweatbee"/>
        <s v="Halictus"/>
        <s v="Lasioglossum"/>
        <s v="Sphecodes"/>
        <s v="Anthidium"/>
        <s v="Chelostoma"/>
        <s v="Heriades"/>
        <s v="Megachile"/>
        <s v="Osmia"/>
        <s v="Stelis"/>
        <s v="Macropis"/>
      </sharedItems>
    </cacheField>
    <cacheField name="Species" numFmtId="0">
      <sharedItems containsBlank="1"/>
    </cacheField>
    <cacheField name="2019-2022**" numFmtId="0">
      <sharedItems containsString="0" containsBlank="1" containsNumber="1" containsInteger="1" minValue="0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m/>
    <n v="0"/>
  </r>
  <r>
    <x v="1"/>
    <m/>
    <n v="0"/>
  </r>
  <r>
    <x v="1"/>
    <s v="Andrena milwaukeensis"/>
    <n v="3"/>
  </r>
  <r>
    <x v="1"/>
    <s v="Andrena prunorum"/>
    <n v="1"/>
  </r>
  <r>
    <x v="2"/>
    <m/>
    <n v="1"/>
  </r>
  <r>
    <x v="3"/>
    <m/>
    <n v="6"/>
  </r>
  <r>
    <x v="4"/>
    <m/>
    <n v="4"/>
  </r>
  <r>
    <x v="5"/>
    <s v="Apis mellifera"/>
    <n v="71"/>
  </r>
  <r>
    <x v="6"/>
    <s v="Anthophora abrupta"/>
    <n v="4"/>
  </r>
  <r>
    <x v="6"/>
    <s v="Anthophora plumipes"/>
    <n v="1"/>
  </r>
  <r>
    <x v="6"/>
    <m/>
    <n v="1"/>
  </r>
  <r>
    <x v="7"/>
    <s v="Bombus auricomus"/>
    <n v="0"/>
  </r>
  <r>
    <x v="7"/>
    <s v="Bombus affinis"/>
    <n v="16"/>
  </r>
  <r>
    <x v="7"/>
    <s v="Bombus bimaculatus"/>
    <n v="20"/>
  </r>
  <r>
    <x v="7"/>
    <s v="Bombus citrinus"/>
    <n v="11"/>
  </r>
  <r>
    <x v="7"/>
    <s v="Bombus griseocollis"/>
    <n v="12"/>
  </r>
  <r>
    <x v="7"/>
    <s v="Bombus flavidus"/>
    <n v="2"/>
  </r>
  <r>
    <x v="7"/>
    <s v="Bombus impatiens"/>
    <n v="41"/>
  </r>
  <r>
    <x v="7"/>
    <s v="Bombus pensylvanicus"/>
    <n v="2"/>
  </r>
  <r>
    <x v="7"/>
    <s v="Bombus perplexus"/>
    <n v="3"/>
  </r>
  <r>
    <x v="7"/>
    <s v="Bombus rufocinctus"/>
    <n v="9"/>
  </r>
  <r>
    <x v="7"/>
    <s v="Bombus vagans sandersoni"/>
    <n v="7"/>
  </r>
  <r>
    <x v="7"/>
    <s v="Bombus vagans"/>
    <n v="0"/>
  </r>
  <r>
    <x v="8"/>
    <m/>
    <n v="16"/>
  </r>
  <r>
    <x v="9"/>
    <m/>
    <n v="18"/>
  </r>
  <r>
    <x v="10"/>
    <m/>
    <n v="1"/>
  </r>
  <r>
    <x v="11"/>
    <m/>
    <n v="11"/>
  </r>
  <r>
    <x v="12"/>
    <m/>
    <n v="1"/>
  </r>
  <r>
    <x v="13"/>
    <m/>
    <n v="1"/>
  </r>
  <r>
    <x v="14"/>
    <m/>
    <n v="1"/>
  </r>
  <r>
    <x v="15"/>
    <m/>
    <n v="3"/>
  </r>
  <r>
    <x v="16"/>
    <m/>
    <n v="0"/>
  </r>
  <r>
    <x v="17"/>
    <m/>
    <n v="6"/>
  </r>
  <r>
    <x v="18"/>
    <m/>
    <n v="11"/>
  </r>
  <r>
    <x v="18"/>
    <s v="Xylocopa virginica"/>
    <n v="4"/>
  </r>
  <r>
    <x v="19"/>
    <m/>
    <n v="4"/>
  </r>
  <r>
    <x v="20"/>
    <m/>
    <n v="0"/>
  </r>
  <r>
    <x v="21"/>
    <m/>
    <n v="0"/>
  </r>
  <r>
    <x v="22"/>
    <s v="Sphecius speciosus"/>
    <n v="0"/>
  </r>
  <r>
    <x v="20"/>
    <m/>
    <n v="0"/>
  </r>
  <r>
    <x v="20"/>
    <m/>
    <n v="0"/>
  </r>
  <r>
    <x v="23"/>
    <m/>
    <n v="20"/>
  </r>
  <r>
    <x v="24"/>
    <m/>
    <n v="10"/>
  </r>
  <r>
    <x v="25"/>
    <m/>
    <n v="12"/>
  </r>
  <r>
    <x v="26"/>
    <m/>
    <n v="0"/>
  </r>
  <r>
    <x v="27"/>
    <m/>
    <n v="0"/>
  </r>
  <r>
    <x v="28"/>
    <m/>
    <n v="0"/>
  </r>
  <r>
    <x v="28"/>
    <s v="Agapostemon splendens"/>
    <n v="1"/>
  </r>
  <r>
    <x v="29"/>
    <m/>
    <n v="15"/>
  </r>
  <r>
    <x v="30"/>
    <m/>
    <n v="9"/>
  </r>
  <r>
    <x v="31"/>
    <m/>
    <n v="11"/>
  </r>
  <r>
    <x v="32"/>
    <m/>
    <n v="0"/>
  </r>
  <r>
    <x v="33"/>
    <m/>
    <n v="14"/>
  </r>
  <r>
    <x v="33"/>
    <s v="Halictus ligatus"/>
    <n v="3"/>
  </r>
  <r>
    <x v="33"/>
    <s v="Halictus rubicundus"/>
    <n v="9"/>
  </r>
  <r>
    <x v="33"/>
    <s v="Halictus tripartitus"/>
    <n v="27"/>
  </r>
  <r>
    <x v="34"/>
    <m/>
    <n v="26"/>
  </r>
  <r>
    <x v="35"/>
    <m/>
    <n v="4"/>
  </r>
  <r>
    <x v="20"/>
    <m/>
    <n v="0"/>
  </r>
  <r>
    <x v="36"/>
    <s v="Anthidium oblongatum"/>
    <n v="1"/>
  </r>
  <r>
    <x v="36"/>
    <m/>
    <n v="2"/>
  </r>
  <r>
    <x v="37"/>
    <m/>
    <n v="6"/>
  </r>
  <r>
    <x v="38"/>
    <m/>
    <n v="1"/>
  </r>
  <r>
    <x v="39"/>
    <s v="Megachile sculpturalis"/>
    <n v="2"/>
  </r>
  <r>
    <x v="39"/>
    <s v="Melissodes bimaculatus"/>
    <n v="2"/>
  </r>
  <r>
    <x v="39"/>
    <m/>
    <n v="1"/>
  </r>
  <r>
    <x v="40"/>
    <m/>
    <n v="5"/>
  </r>
  <r>
    <x v="41"/>
    <m/>
    <n v="4"/>
  </r>
  <r>
    <x v="42"/>
    <s v="Note: not included in final count after checked by hand"/>
    <n v="2"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  <r>
    <x v="2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435EA-5874-4294-8B84-2C3FA4F8D9E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3">
    <pivotField axis="axisRow" showAll="0">
      <items count="44">
        <item x="28"/>
        <item x="1"/>
        <item x="36"/>
        <item x="6"/>
        <item x="5"/>
        <item x="21"/>
        <item x="29"/>
        <item x="30"/>
        <item x="31"/>
        <item x="7"/>
        <item x="8"/>
        <item x="9"/>
        <item x="10"/>
        <item x="11"/>
        <item x="37"/>
        <item x="12"/>
        <item x="13"/>
        <item x="26"/>
        <item x="14"/>
        <item x="27"/>
        <item x="32"/>
        <item x="15"/>
        <item x="33"/>
        <item x="38"/>
        <item x="23"/>
        <item x="24"/>
        <item x="25"/>
        <item x="34"/>
        <item x="42"/>
        <item x="39"/>
        <item x="16"/>
        <item x="17"/>
        <item x="40"/>
        <item x="2"/>
        <item x="3"/>
        <item x="0"/>
        <item x="4"/>
        <item x="22"/>
        <item x="35"/>
        <item x="41"/>
        <item x="19"/>
        <item x="18"/>
        <item x="20"/>
        <item t="default"/>
      </items>
    </pivotField>
    <pivotField showAll="0"/>
    <pivotField dataField="1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2019-2022**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A020-8EED-4143-A166-18B4AA88994A}">
  <dimension ref="A1:F112"/>
  <sheetViews>
    <sheetView workbookViewId="0">
      <selection activeCell="I15" sqref="I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E2">
        <v>2</v>
      </c>
      <c r="F2">
        <v>0</v>
      </c>
    </row>
    <row r="3" spans="1:6" x14ac:dyDescent="0.3">
      <c r="A3" t="s">
        <v>6</v>
      </c>
      <c r="B3" t="s">
        <v>8</v>
      </c>
      <c r="E3">
        <v>6</v>
      </c>
      <c r="F3">
        <v>0</v>
      </c>
    </row>
    <row r="4" spans="1:6" x14ac:dyDescent="0.3">
      <c r="A4" t="s">
        <v>6</v>
      </c>
      <c r="B4" t="s">
        <v>9</v>
      </c>
      <c r="E4">
        <v>7</v>
      </c>
      <c r="F4">
        <v>0</v>
      </c>
    </row>
    <row r="5" spans="1:6" x14ac:dyDescent="0.3">
      <c r="A5" t="s">
        <v>6</v>
      </c>
      <c r="B5" t="s">
        <v>10</v>
      </c>
      <c r="E5">
        <v>16</v>
      </c>
      <c r="F5">
        <v>0</v>
      </c>
    </row>
    <row r="6" spans="1:6" x14ac:dyDescent="0.3">
      <c r="A6" t="s">
        <v>6</v>
      </c>
      <c r="B6" t="s">
        <v>11</v>
      </c>
      <c r="E6">
        <v>3</v>
      </c>
      <c r="F6">
        <v>0</v>
      </c>
    </row>
    <row r="7" spans="1:6" x14ac:dyDescent="0.3">
      <c r="A7" t="s">
        <v>6</v>
      </c>
      <c r="B7" t="s">
        <v>12</v>
      </c>
      <c r="E7">
        <v>0</v>
      </c>
      <c r="F7">
        <v>54</v>
      </c>
    </row>
    <row r="8" spans="1:6" x14ac:dyDescent="0.3">
      <c r="A8" t="s">
        <v>13</v>
      </c>
      <c r="B8" t="s">
        <v>14</v>
      </c>
      <c r="E8">
        <v>5</v>
      </c>
      <c r="F8">
        <v>0</v>
      </c>
    </row>
    <row r="9" spans="1:6" x14ac:dyDescent="0.3">
      <c r="A9" t="s">
        <v>13</v>
      </c>
      <c r="B9" t="s">
        <v>15</v>
      </c>
      <c r="E9">
        <v>1</v>
      </c>
      <c r="F9">
        <v>0</v>
      </c>
    </row>
    <row r="10" spans="1:6" x14ac:dyDescent="0.3">
      <c r="A10" t="s">
        <v>13</v>
      </c>
      <c r="B10" t="s">
        <v>16</v>
      </c>
      <c r="E10">
        <v>17</v>
      </c>
      <c r="F10">
        <v>0</v>
      </c>
    </row>
    <row r="11" spans="1:6" x14ac:dyDescent="0.3">
      <c r="A11" t="s">
        <v>13</v>
      </c>
      <c r="B11" t="s">
        <v>17</v>
      </c>
      <c r="E11">
        <v>43</v>
      </c>
      <c r="F11">
        <v>0</v>
      </c>
    </row>
    <row r="12" spans="1:6" x14ac:dyDescent="0.3">
      <c r="A12" t="s">
        <v>13</v>
      </c>
      <c r="B12" t="s">
        <v>18</v>
      </c>
      <c r="E12">
        <v>1</v>
      </c>
      <c r="F12">
        <v>0</v>
      </c>
    </row>
    <row r="13" spans="1:6" x14ac:dyDescent="0.3">
      <c r="A13" t="s">
        <v>13</v>
      </c>
      <c r="B13" t="s">
        <v>19</v>
      </c>
      <c r="E13">
        <v>6</v>
      </c>
      <c r="F13">
        <v>0</v>
      </c>
    </row>
    <row r="14" spans="1:6" x14ac:dyDescent="0.3">
      <c r="A14" t="s">
        <v>13</v>
      </c>
      <c r="B14" t="s">
        <v>20</v>
      </c>
      <c r="E14">
        <v>63</v>
      </c>
      <c r="F14">
        <v>0</v>
      </c>
    </row>
    <row r="15" spans="1:6" x14ac:dyDescent="0.3">
      <c r="A15" t="s">
        <v>13</v>
      </c>
      <c r="B15" t="s">
        <v>21</v>
      </c>
      <c r="E15">
        <v>27</v>
      </c>
      <c r="F15">
        <v>0</v>
      </c>
    </row>
    <row r="16" spans="1:6" x14ac:dyDescent="0.3">
      <c r="A16" t="s">
        <v>13</v>
      </c>
      <c r="B16" t="s">
        <v>22</v>
      </c>
      <c r="E16">
        <v>3</v>
      </c>
      <c r="F16">
        <v>0</v>
      </c>
    </row>
    <row r="17" spans="1:6" x14ac:dyDescent="0.3">
      <c r="A17" t="s">
        <v>13</v>
      </c>
      <c r="B17" t="s">
        <v>23</v>
      </c>
      <c r="E17">
        <v>61</v>
      </c>
      <c r="F17">
        <v>0</v>
      </c>
    </row>
    <row r="18" spans="1:6" x14ac:dyDescent="0.3">
      <c r="A18" t="s">
        <v>13</v>
      </c>
      <c r="B18" t="s">
        <v>24</v>
      </c>
      <c r="E18">
        <v>132</v>
      </c>
      <c r="F18">
        <v>49</v>
      </c>
    </row>
    <row r="19" spans="1:6" x14ac:dyDescent="0.3">
      <c r="A19" t="s">
        <v>13</v>
      </c>
      <c r="B19" t="s">
        <v>25</v>
      </c>
      <c r="E19">
        <v>76</v>
      </c>
      <c r="F19">
        <v>0</v>
      </c>
    </row>
    <row r="20" spans="1:6" x14ac:dyDescent="0.3">
      <c r="A20" t="s">
        <v>13</v>
      </c>
      <c r="B20" t="s">
        <v>26</v>
      </c>
      <c r="E20">
        <v>1</v>
      </c>
      <c r="F20">
        <v>0</v>
      </c>
    </row>
    <row r="21" spans="1:6" x14ac:dyDescent="0.3">
      <c r="A21" t="s">
        <v>13</v>
      </c>
      <c r="B21" t="s">
        <v>27</v>
      </c>
      <c r="E21">
        <v>131</v>
      </c>
      <c r="F21">
        <v>0</v>
      </c>
    </row>
    <row r="22" spans="1:6" x14ac:dyDescent="0.3">
      <c r="A22" t="s">
        <v>13</v>
      </c>
      <c r="B22" t="s">
        <v>12</v>
      </c>
      <c r="E22">
        <v>1</v>
      </c>
      <c r="F22">
        <v>55</v>
      </c>
    </row>
    <row r="23" spans="1:6" x14ac:dyDescent="0.3">
      <c r="A23" t="s">
        <v>28</v>
      </c>
      <c r="B23" t="s">
        <v>29</v>
      </c>
      <c r="E23">
        <v>1</v>
      </c>
      <c r="F23">
        <v>0</v>
      </c>
    </row>
    <row r="24" spans="1:6" x14ac:dyDescent="0.3">
      <c r="A24" t="s">
        <v>28</v>
      </c>
      <c r="B24" t="s">
        <v>30</v>
      </c>
      <c r="E24">
        <v>1</v>
      </c>
      <c r="F24">
        <v>0</v>
      </c>
    </row>
    <row r="25" spans="1:6" x14ac:dyDescent="0.3">
      <c r="A25" t="s">
        <v>28</v>
      </c>
      <c r="B25" t="s">
        <v>31</v>
      </c>
      <c r="E25">
        <v>2</v>
      </c>
      <c r="F25">
        <v>0</v>
      </c>
    </row>
    <row r="26" spans="1:6" x14ac:dyDescent="0.3">
      <c r="A26" t="s">
        <v>28</v>
      </c>
      <c r="B26" t="s">
        <v>32</v>
      </c>
      <c r="E26">
        <v>3</v>
      </c>
      <c r="F26">
        <v>0</v>
      </c>
    </row>
    <row r="27" spans="1:6" x14ac:dyDescent="0.3">
      <c r="A27" t="s">
        <v>33</v>
      </c>
      <c r="B27" t="s">
        <v>34</v>
      </c>
      <c r="C27" t="s">
        <v>35</v>
      </c>
      <c r="E27">
        <v>2</v>
      </c>
      <c r="F27">
        <v>0</v>
      </c>
    </row>
    <row r="28" spans="1:6" x14ac:dyDescent="0.3">
      <c r="A28" t="s">
        <v>33</v>
      </c>
      <c r="B28" t="s">
        <v>34</v>
      </c>
      <c r="C28" t="s">
        <v>36</v>
      </c>
      <c r="E28">
        <v>6</v>
      </c>
      <c r="F28">
        <v>0</v>
      </c>
    </row>
    <row r="29" spans="1:6" x14ac:dyDescent="0.3">
      <c r="A29" t="s">
        <v>33</v>
      </c>
      <c r="B29" t="s">
        <v>34</v>
      </c>
      <c r="C29" t="s">
        <v>36</v>
      </c>
      <c r="D29" t="s">
        <v>37</v>
      </c>
      <c r="E29">
        <v>0</v>
      </c>
      <c r="F29">
        <v>3</v>
      </c>
    </row>
    <row r="30" spans="1:6" x14ac:dyDescent="0.3">
      <c r="A30" t="s">
        <v>33</v>
      </c>
      <c r="B30" t="s">
        <v>34</v>
      </c>
      <c r="C30" t="s">
        <v>36</v>
      </c>
      <c r="D30" t="s">
        <v>38</v>
      </c>
      <c r="E30">
        <v>0</v>
      </c>
      <c r="F30">
        <v>1</v>
      </c>
    </row>
    <row r="31" spans="1:6" x14ac:dyDescent="0.3">
      <c r="A31" t="s">
        <v>33</v>
      </c>
      <c r="B31" t="s">
        <v>34</v>
      </c>
      <c r="C31" t="s">
        <v>39</v>
      </c>
      <c r="E31">
        <v>0</v>
      </c>
      <c r="F31">
        <v>1</v>
      </c>
    </row>
    <row r="32" spans="1:6" x14ac:dyDescent="0.3">
      <c r="A32" t="s">
        <v>33</v>
      </c>
      <c r="B32" t="s">
        <v>34</v>
      </c>
      <c r="C32" t="s">
        <v>40</v>
      </c>
      <c r="E32">
        <v>0</v>
      </c>
      <c r="F32">
        <v>6</v>
      </c>
    </row>
    <row r="33" spans="1:6" x14ac:dyDescent="0.3">
      <c r="A33" t="s">
        <v>33</v>
      </c>
      <c r="B33" t="s">
        <v>34</v>
      </c>
      <c r="C33" t="s">
        <v>41</v>
      </c>
      <c r="E33">
        <v>0</v>
      </c>
      <c r="F33">
        <v>4</v>
      </c>
    </row>
    <row r="34" spans="1:6" x14ac:dyDescent="0.3">
      <c r="A34" t="s">
        <v>33</v>
      </c>
      <c r="B34" t="s">
        <v>42</v>
      </c>
      <c r="C34" t="s">
        <v>43</v>
      </c>
      <c r="D34" t="s">
        <v>44</v>
      </c>
      <c r="E34">
        <v>280</v>
      </c>
      <c r="F34">
        <v>71</v>
      </c>
    </row>
    <row r="35" spans="1:6" x14ac:dyDescent="0.3">
      <c r="A35" t="s">
        <v>33</v>
      </c>
      <c r="B35" t="s">
        <v>42</v>
      </c>
      <c r="C35" t="s">
        <v>45</v>
      </c>
      <c r="D35" t="s">
        <v>46</v>
      </c>
      <c r="E35">
        <v>0</v>
      </c>
      <c r="F35">
        <v>4</v>
      </c>
    </row>
    <row r="36" spans="1:6" x14ac:dyDescent="0.3">
      <c r="A36" t="s">
        <v>33</v>
      </c>
      <c r="B36" t="s">
        <v>42</v>
      </c>
      <c r="C36" t="s">
        <v>45</v>
      </c>
      <c r="D36" t="s">
        <v>47</v>
      </c>
      <c r="E36">
        <v>0</v>
      </c>
      <c r="F36">
        <v>1</v>
      </c>
    </row>
    <row r="37" spans="1:6" x14ac:dyDescent="0.3">
      <c r="A37" t="s">
        <v>33</v>
      </c>
      <c r="B37" t="s">
        <v>42</v>
      </c>
      <c r="C37" t="s">
        <v>45</v>
      </c>
      <c r="E37">
        <v>0</v>
      </c>
      <c r="F37">
        <v>1</v>
      </c>
    </row>
    <row r="38" spans="1:6" x14ac:dyDescent="0.3">
      <c r="A38" t="s">
        <v>33</v>
      </c>
      <c r="B38" t="s">
        <v>42</v>
      </c>
      <c r="C38" t="s">
        <v>48</v>
      </c>
      <c r="D38" t="s">
        <v>49</v>
      </c>
      <c r="E38">
        <v>1</v>
      </c>
      <c r="F38">
        <v>0</v>
      </c>
    </row>
    <row r="39" spans="1:6" x14ac:dyDescent="0.3">
      <c r="A39" t="s">
        <v>33</v>
      </c>
      <c r="B39" t="s">
        <v>42</v>
      </c>
      <c r="C39" t="s">
        <v>48</v>
      </c>
      <c r="D39" t="s">
        <v>50</v>
      </c>
      <c r="E39">
        <v>15</v>
      </c>
      <c r="F39">
        <v>16</v>
      </c>
    </row>
    <row r="40" spans="1:6" x14ac:dyDescent="0.3">
      <c r="A40" t="s">
        <v>33</v>
      </c>
      <c r="B40" t="s">
        <v>42</v>
      </c>
      <c r="C40" t="s">
        <v>48</v>
      </c>
      <c r="D40" t="s">
        <v>51</v>
      </c>
      <c r="E40">
        <v>2</v>
      </c>
      <c r="F40">
        <v>20</v>
      </c>
    </row>
    <row r="41" spans="1:6" x14ac:dyDescent="0.3">
      <c r="A41" t="s">
        <v>33</v>
      </c>
      <c r="B41" t="s">
        <v>42</v>
      </c>
      <c r="C41" t="s">
        <v>48</v>
      </c>
      <c r="D41" t="s">
        <v>52</v>
      </c>
      <c r="E41">
        <v>0</v>
      </c>
      <c r="F41">
        <v>11</v>
      </c>
    </row>
    <row r="42" spans="1:6" x14ac:dyDescent="0.3">
      <c r="A42" t="s">
        <v>33</v>
      </c>
      <c r="B42" t="s">
        <v>42</v>
      </c>
      <c r="C42" t="s">
        <v>48</v>
      </c>
      <c r="D42" t="s">
        <v>53</v>
      </c>
      <c r="E42">
        <v>3</v>
      </c>
      <c r="F42">
        <v>12</v>
      </c>
    </row>
    <row r="43" spans="1:6" x14ac:dyDescent="0.3">
      <c r="A43" t="s">
        <v>33</v>
      </c>
      <c r="B43" t="s">
        <v>42</v>
      </c>
      <c r="C43" t="s">
        <v>48</v>
      </c>
      <c r="D43" t="s">
        <v>54</v>
      </c>
      <c r="E43">
        <v>0</v>
      </c>
      <c r="F43">
        <v>2</v>
      </c>
    </row>
    <row r="44" spans="1:6" x14ac:dyDescent="0.3">
      <c r="A44" t="s">
        <v>33</v>
      </c>
      <c r="B44" t="s">
        <v>42</v>
      </c>
      <c r="C44" t="s">
        <v>48</v>
      </c>
      <c r="D44" t="s">
        <v>55</v>
      </c>
      <c r="E44">
        <v>243</v>
      </c>
      <c r="F44">
        <v>41</v>
      </c>
    </row>
    <row r="45" spans="1:6" x14ac:dyDescent="0.3">
      <c r="A45" t="s">
        <v>33</v>
      </c>
      <c r="B45" t="s">
        <v>42</v>
      </c>
      <c r="C45" t="s">
        <v>48</v>
      </c>
      <c r="D45" t="s">
        <v>56</v>
      </c>
      <c r="E45">
        <v>0</v>
      </c>
      <c r="F45">
        <v>2</v>
      </c>
    </row>
    <row r="46" spans="1:6" x14ac:dyDescent="0.3">
      <c r="A46" t="s">
        <v>33</v>
      </c>
      <c r="B46" t="s">
        <v>42</v>
      </c>
      <c r="C46" t="s">
        <v>48</v>
      </c>
      <c r="D46" t="s">
        <v>57</v>
      </c>
      <c r="E46">
        <v>0</v>
      </c>
      <c r="F46">
        <v>3</v>
      </c>
    </row>
    <row r="47" spans="1:6" x14ac:dyDescent="0.3">
      <c r="A47" t="s">
        <v>33</v>
      </c>
      <c r="B47" t="s">
        <v>42</v>
      </c>
      <c r="C47" t="s">
        <v>48</v>
      </c>
      <c r="D47" t="s">
        <v>58</v>
      </c>
      <c r="E47">
        <v>0</v>
      </c>
      <c r="F47">
        <v>9</v>
      </c>
    </row>
    <row r="48" spans="1:6" x14ac:dyDescent="0.3">
      <c r="A48" t="s">
        <v>33</v>
      </c>
      <c r="B48" t="s">
        <v>42</v>
      </c>
      <c r="C48" t="s">
        <v>48</v>
      </c>
      <c r="D48" t="s">
        <v>59</v>
      </c>
      <c r="E48">
        <v>0</v>
      </c>
      <c r="F48">
        <v>7</v>
      </c>
    </row>
    <row r="49" spans="1:6" x14ac:dyDescent="0.3">
      <c r="A49" t="s">
        <v>33</v>
      </c>
      <c r="B49" t="s">
        <v>42</v>
      </c>
      <c r="C49" t="s">
        <v>48</v>
      </c>
      <c r="D49" t="s">
        <v>60</v>
      </c>
      <c r="E49">
        <v>1</v>
      </c>
      <c r="F49">
        <v>0</v>
      </c>
    </row>
    <row r="50" spans="1:6" x14ac:dyDescent="0.3">
      <c r="A50" t="s">
        <v>33</v>
      </c>
      <c r="B50" t="s">
        <v>42</v>
      </c>
      <c r="C50" t="s">
        <v>61</v>
      </c>
      <c r="E50">
        <v>15</v>
      </c>
      <c r="F50">
        <v>16</v>
      </c>
    </row>
    <row r="51" spans="1:6" x14ac:dyDescent="0.3">
      <c r="A51" t="s">
        <v>33</v>
      </c>
      <c r="B51" t="s">
        <v>42</v>
      </c>
      <c r="C51" t="s">
        <v>62</v>
      </c>
      <c r="E51">
        <v>0</v>
      </c>
      <c r="F51">
        <v>18</v>
      </c>
    </row>
    <row r="52" spans="1:6" x14ac:dyDescent="0.3">
      <c r="A52" t="s">
        <v>33</v>
      </c>
      <c r="B52" t="s">
        <v>42</v>
      </c>
      <c r="C52" t="s">
        <v>63</v>
      </c>
      <c r="E52">
        <v>0</v>
      </c>
      <c r="F52">
        <v>1</v>
      </c>
    </row>
    <row r="53" spans="1:6" x14ac:dyDescent="0.3">
      <c r="A53" t="s">
        <v>33</v>
      </c>
      <c r="B53" t="s">
        <v>42</v>
      </c>
      <c r="C53" t="s">
        <v>64</v>
      </c>
      <c r="E53">
        <v>14</v>
      </c>
      <c r="F53">
        <v>11</v>
      </c>
    </row>
    <row r="54" spans="1:6" x14ac:dyDescent="0.3">
      <c r="A54" t="s">
        <v>33</v>
      </c>
      <c r="B54" t="s">
        <v>42</v>
      </c>
      <c r="C54" t="s">
        <v>65</v>
      </c>
      <c r="E54">
        <v>0</v>
      </c>
      <c r="F54">
        <v>1</v>
      </c>
    </row>
    <row r="55" spans="1:6" x14ac:dyDescent="0.3">
      <c r="A55" t="s">
        <v>33</v>
      </c>
      <c r="B55" t="s">
        <v>42</v>
      </c>
      <c r="C55" t="s">
        <v>66</v>
      </c>
      <c r="E55">
        <v>0</v>
      </c>
      <c r="F55">
        <v>1</v>
      </c>
    </row>
    <row r="56" spans="1:6" x14ac:dyDescent="0.3">
      <c r="A56" t="s">
        <v>33</v>
      </c>
      <c r="B56" t="s">
        <v>42</v>
      </c>
      <c r="C56" t="s">
        <v>67</v>
      </c>
      <c r="E56">
        <v>0</v>
      </c>
      <c r="F56">
        <v>1</v>
      </c>
    </row>
    <row r="57" spans="1:6" x14ac:dyDescent="0.3">
      <c r="A57" t="s">
        <v>33</v>
      </c>
      <c r="B57" t="s">
        <v>42</v>
      </c>
      <c r="C57" t="s">
        <v>68</v>
      </c>
      <c r="E57">
        <v>0</v>
      </c>
      <c r="F57">
        <v>3</v>
      </c>
    </row>
    <row r="58" spans="1:6" x14ac:dyDescent="0.3">
      <c r="A58" t="s">
        <v>33</v>
      </c>
      <c r="B58" t="s">
        <v>42</v>
      </c>
      <c r="C58" t="s">
        <v>69</v>
      </c>
      <c r="E58">
        <v>1</v>
      </c>
      <c r="F58">
        <v>0</v>
      </c>
    </row>
    <row r="59" spans="1:6" x14ac:dyDescent="0.3">
      <c r="A59" t="s">
        <v>33</v>
      </c>
      <c r="B59" t="s">
        <v>42</v>
      </c>
      <c r="C59" t="s">
        <v>70</v>
      </c>
      <c r="E59">
        <v>0</v>
      </c>
      <c r="F59">
        <v>6</v>
      </c>
    </row>
    <row r="60" spans="1:6" x14ac:dyDescent="0.3">
      <c r="A60" t="s">
        <v>33</v>
      </c>
      <c r="B60" t="s">
        <v>42</v>
      </c>
      <c r="C60" t="s">
        <v>71</v>
      </c>
      <c r="E60">
        <v>2</v>
      </c>
      <c r="F60">
        <v>11</v>
      </c>
    </row>
    <row r="61" spans="1:6" x14ac:dyDescent="0.3">
      <c r="A61" t="s">
        <v>33</v>
      </c>
      <c r="B61" t="s">
        <v>42</v>
      </c>
      <c r="C61" t="s">
        <v>71</v>
      </c>
      <c r="D61" t="s">
        <v>72</v>
      </c>
      <c r="E61">
        <v>0</v>
      </c>
      <c r="F61">
        <v>4</v>
      </c>
    </row>
    <row r="62" spans="1:6" x14ac:dyDescent="0.3">
      <c r="A62" t="s">
        <v>33</v>
      </c>
      <c r="B62" t="s">
        <v>42</v>
      </c>
      <c r="C62" t="s">
        <v>73</v>
      </c>
      <c r="E62">
        <v>0</v>
      </c>
      <c r="F62">
        <v>4</v>
      </c>
    </row>
    <row r="63" spans="1:6" x14ac:dyDescent="0.3">
      <c r="A63" t="s">
        <v>33</v>
      </c>
      <c r="B63" t="s">
        <v>74</v>
      </c>
      <c r="E63">
        <v>6</v>
      </c>
      <c r="F63">
        <v>0</v>
      </c>
    </row>
    <row r="64" spans="1:6" x14ac:dyDescent="0.3">
      <c r="A64" t="s">
        <v>33</v>
      </c>
      <c r="B64" t="s">
        <v>75</v>
      </c>
      <c r="C64" t="s">
        <v>76</v>
      </c>
      <c r="E64">
        <v>1</v>
      </c>
      <c r="F64">
        <v>0</v>
      </c>
    </row>
    <row r="65" spans="1:6" x14ac:dyDescent="0.3">
      <c r="A65" t="s">
        <v>33</v>
      </c>
      <c r="B65" t="s">
        <v>77</v>
      </c>
      <c r="C65" t="s">
        <v>78</v>
      </c>
      <c r="D65" t="s">
        <v>79</v>
      </c>
      <c r="E65">
        <v>9</v>
      </c>
      <c r="F65">
        <v>0</v>
      </c>
    </row>
    <row r="66" spans="1:6" x14ac:dyDescent="0.3">
      <c r="A66" t="s">
        <v>33</v>
      </c>
      <c r="B66" t="s">
        <v>80</v>
      </c>
      <c r="E66">
        <v>2</v>
      </c>
      <c r="F66">
        <v>0</v>
      </c>
    </row>
    <row r="67" spans="1:6" x14ac:dyDescent="0.3">
      <c r="A67" t="s">
        <v>33</v>
      </c>
      <c r="B67" t="s">
        <v>81</v>
      </c>
      <c r="E67">
        <v>1</v>
      </c>
      <c r="F67">
        <v>0</v>
      </c>
    </row>
    <row r="68" spans="1:6" x14ac:dyDescent="0.3">
      <c r="A68" t="s">
        <v>33</v>
      </c>
      <c r="B68" t="s">
        <v>82</v>
      </c>
      <c r="C68" t="s">
        <v>83</v>
      </c>
      <c r="E68">
        <v>26</v>
      </c>
      <c r="F68">
        <v>20</v>
      </c>
    </row>
    <row r="69" spans="1:6" x14ac:dyDescent="0.3">
      <c r="A69" t="s">
        <v>33</v>
      </c>
      <c r="B69" t="s">
        <v>82</v>
      </c>
      <c r="C69" t="s">
        <v>84</v>
      </c>
      <c r="E69">
        <v>0</v>
      </c>
      <c r="F69">
        <v>10</v>
      </c>
    </row>
    <row r="70" spans="1:6" x14ac:dyDescent="0.3">
      <c r="A70" t="s">
        <v>33</v>
      </c>
      <c r="B70" t="s">
        <v>82</v>
      </c>
      <c r="C70" t="s">
        <v>85</v>
      </c>
      <c r="E70">
        <v>0</v>
      </c>
      <c r="F70">
        <v>12</v>
      </c>
    </row>
    <row r="71" spans="1:6" x14ac:dyDescent="0.3">
      <c r="A71" t="s">
        <v>33</v>
      </c>
      <c r="B71" t="s">
        <v>86</v>
      </c>
      <c r="C71" t="s">
        <v>87</v>
      </c>
      <c r="E71">
        <v>1</v>
      </c>
      <c r="F71">
        <v>0</v>
      </c>
    </row>
    <row r="72" spans="1:6" x14ac:dyDescent="0.3">
      <c r="A72" t="s">
        <v>33</v>
      </c>
      <c r="B72" t="s">
        <v>88</v>
      </c>
      <c r="C72" t="s">
        <v>89</v>
      </c>
      <c r="E72">
        <v>1</v>
      </c>
      <c r="F72">
        <v>0</v>
      </c>
    </row>
    <row r="73" spans="1:6" x14ac:dyDescent="0.3">
      <c r="A73" t="s">
        <v>33</v>
      </c>
      <c r="B73" t="s">
        <v>90</v>
      </c>
      <c r="C73" t="s">
        <v>91</v>
      </c>
      <c r="E73">
        <v>8</v>
      </c>
      <c r="F73">
        <v>0</v>
      </c>
    </row>
    <row r="74" spans="1:6" x14ac:dyDescent="0.3">
      <c r="A74" t="s">
        <v>33</v>
      </c>
      <c r="B74" t="s">
        <v>90</v>
      </c>
      <c r="C74" t="s">
        <v>91</v>
      </c>
      <c r="D74" t="s">
        <v>92</v>
      </c>
      <c r="E74">
        <v>0</v>
      </c>
      <c r="F74">
        <v>1</v>
      </c>
    </row>
    <row r="75" spans="1:6" x14ac:dyDescent="0.3">
      <c r="A75" t="s">
        <v>33</v>
      </c>
      <c r="B75" t="s">
        <v>90</v>
      </c>
      <c r="C75" t="s">
        <v>93</v>
      </c>
      <c r="E75">
        <v>55</v>
      </c>
      <c r="F75">
        <v>15</v>
      </c>
    </row>
    <row r="76" spans="1:6" x14ac:dyDescent="0.3">
      <c r="A76" t="s">
        <v>33</v>
      </c>
      <c r="B76" t="s">
        <v>90</v>
      </c>
      <c r="C76" t="s">
        <v>94</v>
      </c>
      <c r="E76">
        <v>0</v>
      </c>
      <c r="F76">
        <v>9</v>
      </c>
    </row>
    <row r="77" spans="1:6" x14ac:dyDescent="0.3">
      <c r="A77" t="s">
        <v>33</v>
      </c>
      <c r="B77" t="s">
        <v>90</v>
      </c>
      <c r="C77" t="s">
        <v>95</v>
      </c>
      <c r="E77">
        <v>0</v>
      </c>
      <c r="F77">
        <v>11</v>
      </c>
    </row>
    <row r="78" spans="1:6" x14ac:dyDescent="0.3">
      <c r="A78" t="s">
        <v>33</v>
      </c>
      <c r="B78" t="s">
        <v>90</v>
      </c>
      <c r="C78" t="s">
        <v>96</v>
      </c>
      <c r="E78">
        <v>8</v>
      </c>
      <c r="F78">
        <v>0</v>
      </c>
    </row>
    <row r="79" spans="1:6" x14ac:dyDescent="0.3">
      <c r="A79" t="s">
        <v>33</v>
      </c>
      <c r="B79" t="s">
        <v>90</v>
      </c>
      <c r="C79" t="s">
        <v>97</v>
      </c>
      <c r="E79">
        <v>46</v>
      </c>
      <c r="F79">
        <v>14</v>
      </c>
    </row>
    <row r="80" spans="1:6" x14ac:dyDescent="0.3">
      <c r="A80" t="s">
        <v>33</v>
      </c>
      <c r="B80" t="s">
        <v>90</v>
      </c>
      <c r="C80" t="s">
        <v>97</v>
      </c>
      <c r="D80" t="s">
        <v>98</v>
      </c>
      <c r="E80">
        <v>0</v>
      </c>
      <c r="F80">
        <v>3</v>
      </c>
    </row>
    <row r="81" spans="1:6" x14ac:dyDescent="0.3">
      <c r="A81" t="s">
        <v>33</v>
      </c>
      <c r="B81" t="s">
        <v>90</v>
      </c>
      <c r="C81" t="s">
        <v>97</v>
      </c>
      <c r="D81" t="s">
        <v>99</v>
      </c>
      <c r="E81">
        <v>0</v>
      </c>
      <c r="F81">
        <v>9</v>
      </c>
    </row>
    <row r="82" spans="1:6" x14ac:dyDescent="0.3">
      <c r="A82" t="s">
        <v>33</v>
      </c>
      <c r="B82" t="s">
        <v>90</v>
      </c>
      <c r="C82" t="s">
        <v>97</v>
      </c>
      <c r="D82" t="s">
        <v>100</v>
      </c>
      <c r="E82">
        <v>0</v>
      </c>
      <c r="F82">
        <v>27</v>
      </c>
    </row>
    <row r="83" spans="1:6" x14ac:dyDescent="0.3">
      <c r="A83" t="s">
        <v>33</v>
      </c>
      <c r="B83" t="s">
        <v>90</v>
      </c>
      <c r="C83" t="s">
        <v>101</v>
      </c>
      <c r="E83">
        <v>302</v>
      </c>
      <c r="F83">
        <v>26</v>
      </c>
    </row>
    <row r="84" spans="1:6" x14ac:dyDescent="0.3">
      <c r="A84" t="s">
        <v>33</v>
      </c>
      <c r="B84" t="s">
        <v>90</v>
      </c>
      <c r="C84" t="s">
        <v>102</v>
      </c>
      <c r="E84">
        <v>0</v>
      </c>
      <c r="F84">
        <v>4</v>
      </c>
    </row>
    <row r="85" spans="1:6" x14ac:dyDescent="0.3">
      <c r="A85" t="s">
        <v>33</v>
      </c>
      <c r="B85" t="s">
        <v>90</v>
      </c>
      <c r="E85">
        <v>5</v>
      </c>
      <c r="F85">
        <v>0</v>
      </c>
    </row>
    <row r="86" spans="1:6" x14ac:dyDescent="0.3">
      <c r="A86" t="s">
        <v>33</v>
      </c>
      <c r="B86" t="s">
        <v>103</v>
      </c>
      <c r="C86" t="s">
        <v>104</v>
      </c>
      <c r="D86" t="s">
        <v>105</v>
      </c>
      <c r="E86">
        <v>0</v>
      </c>
      <c r="F86">
        <v>1</v>
      </c>
    </row>
    <row r="87" spans="1:6" x14ac:dyDescent="0.3">
      <c r="A87" t="s">
        <v>33</v>
      </c>
      <c r="B87" t="s">
        <v>103</v>
      </c>
      <c r="C87" t="s">
        <v>104</v>
      </c>
      <c r="E87">
        <v>0</v>
      </c>
      <c r="F87">
        <v>2</v>
      </c>
    </row>
    <row r="88" spans="1:6" x14ac:dyDescent="0.3">
      <c r="A88" t="s">
        <v>33</v>
      </c>
      <c r="B88" t="s">
        <v>103</v>
      </c>
      <c r="C88" t="s">
        <v>106</v>
      </c>
      <c r="E88">
        <v>0</v>
      </c>
      <c r="F88">
        <v>6</v>
      </c>
    </row>
    <row r="89" spans="1:6" x14ac:dyDescent="0.3">
      <c r="A89" t="s">
        <v>33</v>
      </c>
      <c r="B89" t="s">
        <v>103</v>
      </c>
      <c r="C89" t="s">
        <v>107</v>
      </c>
      <c r="E89">
        <v>0</v>
      </c>
      <c r="F89">
        <v>1</v>
      </c>
    </row>
    <row r="90" spans="1:6" x14ac:dyDescent="0.3">
      <c r="A90" t="s">
        <v>33</v>
      </c>
      <c r="B90" t="s">
        <v>103</v>
      </c>
      <c r="C90" t="s">
        <v>108</v>
      </c>
      <c r="D90" t="s">
        <v>109</v>
      </c>
      <c r="E90">
        <v>0</v>
      </c>
      <c r="F90">
        <v>2</v>
      </c>
    </row>
    <row r="91" spans="1:6" x14ac:dyDescent="0.3">
      <c r="A91" t="s">
        <v>33</v>
      </c>
      <c r="B91" t="s">
        <v>103</v>
      </c>
      <c r="C91" t="s">
        <v>108</v>
      </c>
      <c r="D91" t="s">
        <v>110</v>
      </c>
      <c r="E91">
        <v>0</v>
      </c>
      <c r="F91">
        <v>2</v>
      </c>
    </row>
    <row r="92" spans="1:6" x14ac:dyDescent="0.3">
      <c r="A92" t="s">
        <v>33</v>
      </c>
      <c r="B92" t="s">
        <v>103</v>
      </c>
      <c r="C92" t="s">
        <v>108</v>
      </c>
      <c r="E92">
        <v>0</v>
      </c>
      <c r="F92">
        <v>1</v>
      </c>
    </row>
    <row r="93" spans="1:6" x14ac:dyDescent="0.3">
      <c r="A93" t="s">
        <v>33</v>
      </c>
      <c r="B93" t="s">
        <v>103</v>
      </c>
      <c r="C93" t="s">
        <v>111</v>
      </c>
      <c r="E93">
        <v>0</v>
      </c>
      <c r="F93">
        <v>5</v>
      </c>
    </row>
    <row r="94" spans="1:6" x14ac:dyDescent="0.3">
      <c r="A94" t="s">
        <v>33</v>
      </c>
      <c r="B94" t="s">
        <v>103</v>
      </c>
      <c r="C94" t="s">
        <v>112</v>
      </c>
      <c r="E94">
        <v>0</v>
      </c>
      <c r="F94">
        <v>4</v>
      </c>
    </row>
    <row r="95" spans="1:6" ht="77.400000000000006" customHeight="1" x14ac:dyDescent="0.3">
      <c r="A95" t="s">
        <v>33</v>
      </c>
      <c r="B95" t="s">
        <v>113</v>
      </c>
      <c r="C95" t="s">
        <v>114</v>
      </c>
      <c r="D95" t="s">
        <v>115</v>
      </c>
      <c r="E95">
        <v>0</v>
      </c>
      <c r="F95">
        <v>2</v>
      </c>
    </row>
    <row r="97" spans="1:6" x14ac:dyDescent="0.3">
      <c r="A97" t="s">
        <v>33</v>
      </c>
      <c r="B97" t="s">
        <v>116</v>
      </c>
      <c r="C97" t="s">
        <v>117</v>
      </c>
      <c r="E97">
        <v>1</v>
      </c>
      <c r="F97">
        <v>0</v>
      </c>
    </row>
    <row r="98" spans="1:6" x14ac:dyDescent="0.3">
      <c r="A98" t="s">
        <v>33</v>
      </c>
      <c r="B98" t="s">
        <v>118</v>
      </c>
      <c r="C98" t="s">
        <v>119</v>
      </c>
      <c r="E98">
        <v>0</v>
      </c>
      <c r="F98">
        <v>0</v>
      </c>
    </row>
    <row r="99" spans="1:6" x14ac:dyDescent="0.3">
      <c r="A99" t="s">
        <v>33</v>
      </c>
      <c r="B99" t="s">
        <v>120</v>
      </c>
      <c r="C99" t="s">
        <v>121</v>
      </c>
      <c r="E99">
        <v>26</v>
      </c>
      <c r="F99">
        <v>0</v>
      </c>
    </row>
    <row r="100" spans="1:6" x14ac:dyDescent="0.3">
      <c r="A100" t="s">
        <v>33</v>
      </c>
      <c r="B100" t="s">
        <v>122</v>
      </c>
      <c r="C100" t="s">
        <v>123</v>
      </c>
      <c r="D100" t="s">
        <v>124</v>
      </c>
      <c r="E100">
        <v>5</v>
      </c>
      <c r="F100">
        <v>0</v>
      </c>
    </row>
    <row r="101" spans="1:6" x14ac:dyDescent="0.3">
      <c r="A101" t="s">
        <v>33</v>
      </c>
      <c r="B101" t="s">
        <v>122</v>
      </c>
      <c r="C101" t="s">
        <v>123</v>
      </c>
      <c r="E101">
        <v>172</v>
      </c>
      <c r="F101">
        <v>0</v>
      </c>
    </row>
    <row r="102" spans="1:6" x14ac:dyDescent="0.3">
      <c r="A102" t="s">
        <v>33</v>
      </c>
      <c r="B102" t="s">
        <v>122</v>
      </c>
      <c r="C102" t="s">
        <v>125</v>
      </c>
      <c r="E102">
        <v>1</v>
      </c>
      <c r="F102">
        <v>0</v>
      </c>
    </row>
    <row r="103" spans="1:6" x14ac:dyDescent="0.3">
      <c r="A103" t="s">
        <v>33</v>
      </c>
      <c r="B103" t="s">
        <v>122</v>
      </c>
      <c r="E103">
        <v>26</v>
      </c>
      <c r="F103">
        <v>0</v>
      </c>
    </row>
    <row r="104" spans="1:6" x14ac:dyDescent="0.3">
      <c r="A104" t="s">
        <v>126</v>
      </c>
      <c r="E104">
        <v>1</v>
      </c>
      <c r="F104">
        <v>62</v>
      </c>
    </row>
    <row r="105" spans="1:6" x14ac:dyDescent="0.3">
      <c r="A105" t="s">
        <v>127</v>
      </c>
      <c r="B105" t="s">
        <v>128</v>
      </c>
      <c r="C105" t="s">
        <v>129</v>
      </c>
      <c r="D105" t="s">
        <v>130</v>
      </c>
      <c r="E105">
        <v>8</v>
      </c>
      <c r="F105">
        <v>0</v>
      </c>
    </row>
    <row r="106" spans="1:6" x14ac:dyDescent="0.3">
      <c r="A106" t="s">
        <v>127</v>
      </c>
      <c r="B106" t="s">
        <v>128</v>
      </c>
      <c r="E106">
        <v>1</v>
      </c>
      <c r="F106">
        <v>0</v>
      </c>
    </row>
    <row r="107" spans="1:6" x14ac:dyDescent="0.3">
      <c r="A107" t="s">
        <v>127</v>
      </c>
      <c r="B107" t="s">
        <v>131</v>
      </c>
      <c r="C107" t="s">
        <v>132</v>
      </c>
      <c r="D107" t="s">
        <v>133</v>
      </c>
      <c r="E107">
        <v>1</v>
      </c>
      <c r="F107">
        <v>0</v>
      </c>
    </row>
    <row r="108" spans="1:6" x14ac:dyDescent="0.3">
      <c r="A108" t="s">
        <v>127</v>
      </c>
      <c r="B108" t="s">
        <v>134</v>
      </c>
      <c r="C108" t="s">
        <v>135</v>
      </c>
      <c r="D108" t="s">
        <v>136</v>
      </c>
      <c r="E108">
        <v>1</v>
      </c>
      <c r="F108">
        <v>0</v>
      </c>
    </row>
    <row r="109" spans="1:6" x14ac:dyDescent="0.3">
      <c r="A109" t="s">
        <v>127</v>
      </c>
      <c r="B109" t="s">
        <v>134</v>
      </c>
      <c r="C109" t="s">
        <v>137</v>
      </c>
      <c r="D109" t="s">
        <v>138</v>
      </c>
      <c r="E109">
        <v>3</v>
      </c>
      <c r="F109">
        <v>0</v>
      </c>
    </row>
    <row r="110" spans="1:6" x14ac:dyDescent="0.3">
      <c r="A110" t="s">
        <v>127</v>
      </c>
      <c r="B110" t="s">
        <v>134</v>
      </c>
      <c r="C110" t="s">
        <v>139</v>
      </c>
      <c r="D110" t="s">
        <v>140</v>
      </c>
      <c r="E110">
        <v>2</v>
      </c>
      <c r="F110">
        <v>0</v>
      </c>
    </row>
    <row r="111" spans="1:6" x14ac:dyDescent="0.3">
      <c r="A111" t="s">
        <v>127</v>
      </c>
      <c r="B111" t="s">
        <v>141</v>
      </c>
      <c r="C111" t="s">
        <v>142</v>
      </c>
      <c r="D111" t="s">
        <v>143</v>
      </c>
      <c r="E111">
        <v>1</v>
      </c>
      <c r="F111">
        <v>0</v>
      </c>
    </row>
    <row r="112" spans="1:6" x14ac:dyDescent="0.3">
      <c r="A112" t="s">
        <v>144</v>
      </c>
      <c r="E112">
        <v>1</v>
      </c>
      <c r="F112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AE4B-F959-4DF1-B551-ED5F09D5595A}">
  <dimension ref="A3:B47"/>
  <sheetViews>
    <sheetView topLeftCell="A19" workbookViewId="0">
      <selection activeCell="E43" sqref="E43"/>
    </sheetView>
  </sheetViews>
  <sheetFormatPr defaultRowHeight="14.4" x14ac:dyDescent="0.3"/>
  <cols>
    <col min="1" max="1" width="19.88671875" bestFit="1" customWidth="1"/>
    <col min="2" max="2" width="18.33203125" bestFit="1" customWidth="1"/>
  </cols>
  <sheetData>
    <row r="3" spans="1:2" x14ac:dyDescent="0.3">
      <c r="A3" s="1" t="s">
        <v>145</v>
      </c>
      <c r="B3" t="s">
        <v>148</v>
      </c>
    </row>
    <row r="4" spans="1:2" x14ac:dyDescent="0.3">
      <c r="A4" s="2" t="s">
        <v>91</v>
      </c>
      <c r="B4" s="3">
        <v>1</v>
      </c>
    </row>
    <row r="5" spans="1:2" x14ac:dyDescent="0.3">
      <c r="A5" s="2" t="s">
        <v>36</v>
      </c>
      <c r="B5" s="3">
        <v>4</v>
      </c>
    </row>
    <row r="6" spans="1:2" x14ac:dyDescent="0.3">
      <c r="A6" s="2" t="s">
        <v>104</v>
      </c>
      <c r="B6" s="3">
        <v>3</v>
      </c>
    </row>
    <row r="7" spans="1:2" x14ac:dyDescent="0.3">
      <c r="A7" s="2" t="s">
        <v>45</v>
      </c>
      <c r="B7" s="3">
        <v>6</v>
      </c>
    </row>
    <row r="8" spans="1:2" x14ac:dyDescent="0.3">
      <c r="A8" s="2" t="s">
        <v>43</v>
      </c>
      <c r="B8" s="3">
        <v>71</v>
      </c>
    </row>
    <row r="9" spans="1:2" x14ac:dyDescent="0.3">
      <c r="A9" s="2" t="s">
        <v>76</v>
      </c>
      <c r="B9" s="3">
        <v>0</v>
      </c>
    </row>
    <row r="10" spans="1:2" x14ac:dyDescent="0.3">
      <c r="A10" s="2" t="s">
        <v>93</v>
      </c>
      <c r="B10" s="3">
        <v>15</v>
      </c>
    </row>
    <row r="11" spans="1:2" x14ac:dyDescent="0.3">
      <c r="A11" s="2" t="s">
        <v>94</v>
      </c>
      <c r="B11" s="3">
        <v>9</v>
      </c>
    </row>
    <row r="12" spans="1:2" x14ac:dyDescent="0.3">
      <c r="A12" s="2" t="s">
        <v>95</v>
      </c>
      <c r="B12" s="3">
        <v>11</v>
      </c>
    </row>
    <row r="13" spans="1:2" x14ac:dyDescent="0.3">
      <c r="A13" s="2" t="s">
        <v>48</v>
      </c>
      <c r="B13" s="3">
        <v>123</v>
      </c>
    </row>
    <row r="14" spans="1:2" x14ac:dyDescent="0.3">
      <c r="A14" s="2" t="s">
        <v>61</v>
      </c>
      <c r="B14" s="3">
        <v>16</v>
      </c>
    </row>
    <row r="15" spans="1:2" x14ac:dyDescent="0.3">
      <c r="A15" s="2" t="s">
        <v>62</v>
      </c>
      <c r="B15" s="3">
        <v>18</v>
      </c>
    </row>
    <row r="16" spans="1:2" x14ac:dyDescent="0.3">
      <c r="A16" s="2" t="s">
        <v>63</v>
      </c>
      <c r="B16" s="3">
        <v>1</v>
      </c>
    </row>
    <row r="17" spans="1:2" x14ac:dyDescent="0.3">
      <c r="A17" s="2" t="s">
        <v>64</v>
      </c>
      <c r="B17" s="3">
        <v>11</v>
      </c>
    </row>
    <row r="18" spans="1:2" x14ac:dyDescent="0.3">
      <c r="A18" s="2" t="s">
        <v>106</v>
      </c>
      <c r="B18" s="3">
        <v>6</v>
      </c>
    </row>
    <row r="19" spans="1:2" x14ac:dyDescent="0.3">
      <c r="A19" s="2" t="s">
        <v>65</v>
      </c>
      <c r="B19" s="3">
        <v>1</v>
      </c>
    </row>
    <row r="20" spans="1:2" x14ac:dyDescent="0.3">
      <c r="A20" s="2" t="s">
        <v>66</v>
      </c>
      <c r="B20" s="3">
        <v>1</v>
      </c>
    </row>
    <row r="21" spans="1:2" x14ac:dyDescent="0.3">
      <c r="A21" s="2" t="s">
        <v>87</v>
      </c>
      <c r="B21" s="3">
        <v>0</v>
      </c>
    </row>
    <row r="22" spans="1:2" x14ac:dyDescent="0.3">
      <c r="A22" s="2" t="s">
        <v>67</v>
      </c>
      <c r="B22" s="3">
        <v>1</v>
      </c>
    </row>
    <row r="23" spans="1:2" x14ac:dyDescent="0.3">
      <c r="A23" s="2" t="s">
        <v>89</v>
      </c>
      <c r="B23" s="3">
        <v>0</v>
      </c>
    </row>
    <row r="24" spans="1:2" x14ac:dyDescent="0.3">
      <c r="A24" s="2" t="s">
        <v>96</v>
      </c>
      <c r="B24" s="3">
        <v>0</v>
      </c>
    </row>
    <row r="25" spans="1:2" x14ac:dyDescent="0.3">
      <c r="A25" s="2" t="s">
        <v>68</v>
      </c>
      <c r="B25" s="3">
        <v>3</v>
      </c>
    </row>
    <row r="26" spans="1:2" x14ac:dyDescent="0.3">
      <c r="A26" s="2" t="s">
        <v>97</v>
      </c>
      <c r="B26" s="3">
        <v>53</v>
      </c>
    </row>
    <row r="27" spans="1:2" x14ac:dyDescent="0.3">
      <c r="A27" s="2" t="s">
        <v>107</v>
      </c>
      <c r="B27" s="3">
        <v>1</v>
      </c>
    </row>
    <row r="28" spans="1:2" x14ac:dyDescent="0.3">
      <c r="A28" s="2" t="s">
        <v>83</v>
      </c>
      <c r="B28" s="3">
        <v>20</v>
      </c>
    </row>
    <row r="29" spans="1:2" x14ac:dyDescent="0.3">
      <c r="A29" s="2" t="s">
        <v>84</v>
      </c>
      <c r="B29" s="3">
        <v>10</v>
      </c>
    </row>
    <row r="30" spans="1:2" x14ac:dyDescent="0.3">
      <c r="A30" s="2" t="s">
        <v>85</v>
      </c>
      <c r="B30" s="3">
        <v>12</v>
      </c>
    </row>
    <row r="31" spans="1:2" x14ac:dyDescent="0.3">
      <c r="A31" s="2" t="s">
        <v>101</v>
      </c>
      <c r="B31" s="3">
        <v>26</v>
      </c>
    </row>
    <row r="32" spans="1:2" x14ac:dyDescent="0.3">
      <c r="A32" s="2" t="s">
        <v>114</v>
      </c>
      <c r="B32" s="3">
        <v>2</v>
      </c>
    </row>
    <row r="33" spans="1:2" x14ac:dyDescent="0.3">
      <c r="A33" s="2" t="s">
        <v>108</v>
      </c>
      <c r="B33" s="3">
        <v>5</v>
      </c>
    </row>
    <row r="34" spans="1:2" x14ac:dyDescent="0.3">
      <c r="A34" s="2" t="s">
        <v>69</v>
      </c>
      <c r="B34" s="3">
        <v>0</v>
      </c>
    </row>
    <row r="35" spans="1:2" x14ac:dyDescent="0.3">
      <c r="A35" s="2" t="s">
        <v>70</v>
      </c>
      <c r="B35" s="3">
        <v>6</v>
      </c>
    </row>
    <row r="36" spans="1:2" x14ac:dyDescent="0.3">
      <c r="A36" s="2" t="s">
        <v>111</v>
      </c>
      <c r="B36" s="3">
        <v>5</v>
      </c>
    </row>
    <row r="37" spans="1:2" x14ac:dyDescent="0.3">
      <c r="A37" s="2" t="s">
        <v>39</v>
      </c>
      <c r="B37" s="3">
        <v>1</v>
      </c>
    </row>
    <row r="38" spans="1:2" x14ac:dyDescent="0.3">
      <c r="A38" s="2" t="s">
        <v>40</v>
      </c>
      <c r="B38" s="3">
        <v>6</v>
      </c>
    </row>
    <row r="39" spans="1:2" x14ac:dyDescent="0.3">
      <c r="A39" s="2" t="s">
        <v>35</v>
      </c>
      <c r="B39" s="3">
        <v>0</v>
      </c>
    </row>
    <row r="40" spans="1:2" x14ac:dyDescent="0.3">
      <c r="A40" s="2" t="s">
        <v>41</v>
      </c>
      <c r="B40" s="3">
        <v>4</v>
      </c>
    </row>
    <row r="41" spans="1:2" x14ac:dyDescent="0.3">
      <c r="A41" s="2" t="s">
        <v>78</v>
      </c>
      <c r="B41" s="3">
        <v>0</v>
      </c>
    </row>
    <row r="42" spans="1:2" x14ac:dyDescent="0.3">
      <c r="A42" s="2" t="s">
        <v>102</v>
      </c>
      <c r="B42" s="3">
        <v>4</v>
      </c>
    </row>
    <row r="43" spans="1:2" x14ac:dyDescent="0.3">
      <c r="A43" s="2" t="s">
        <v>112</v>
      </c>
      <c r="B43" s="3">
        <v>4</v>
      </c>
    </row>
    <row r="44" spans="1:2" x14ac:dyDescent="0.3">
      <c r="A44" s="2" t="s">
        <v>73</v>
      </c>
      <c r="B44" s="3">
        <v>4</v>
      </c>
    </row>
    <row r="45" spans="1:2" x14ac:dyDescent="0.3">
      <c r="A45" s="2" t="s">
        <v>71</v>
      </c>
      <c r="B45" s="3">
        <v>15</v>
      </c>
    </row>
    <row r="46" spans="1:2" x14ac:dyDescent="0.3">
      <c r="A46" s="2" t="s">
        <v>146</v>
      </c>
      <c r="B46" s="3">
        <v>0</v>
      </c>
    </row>
    <row r="47" spans="1:2" x14ac:dyDescent="0.3">
      <c r="A47" s="2" t="s">
        <v>147</v>
      </c>
      <c r="B47" s="3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94C4-9A7B-4370-8E4C-02631EA5B706}">
  <dimension ref="A1:G41"/>
  <sheetViews>
    <sheetView tabSelected="1" topLeftCell="A7" workbookViewId="0">
      <selection activeCell="A11" sqref="A11"/>
    </sheetView>
  </sheetViews>
  <sheetFormatPr defaultRowHeight="14.4" x14ac:dyDescent="0.3"/>
  <cols>
    <col min="1" max="2" width="22.44140625" customWidth="1"/>
  </cols>
  <sheetData>
    <row r="1" spans="1:7" x14ac:dyDescent="0.3">
      <c r="A1" t="s">
        <v>2</v>
      </c>
      <c r="B1" t="s">
        <v>150</v>
      </c>
      <c r="C1" t="s">
        <v>148</v>
      </c>
      <c r="D1" t="s">
        <v>149</v>
      </c>
      <c r="E1" t="s">
        <v>153</v>
      </c>
      <c r="F1" t="s">
        <v>156</v>
      </c>
      <c r="G1" t="s">
        <v>157</v>
      </c>
    </row>
    <row r="2" spans="1:7" x14ac:dyDescent="0.3">
      <c r="A2" t="s">
        <v>76</v>
      </c>
      <c r="B2" t="s">
        <v>152</v>
      </c>
      <c r="C2">
        <v>0</v>
      </c>
      <c r="D2">
        <f>$C2/$C$40</f>
        <v>0</v>
      </c>
    </row>
    <row r="3" spans="1:7" x14ac:dyDescent="0.3">
      <c r="A3" t="s">
        <v>87</v>
      </c>
      <c r="B3" t="s">
        <v>152</v>
      </c>
      <c r="C3">
        <v>0</v>
      </c>
      <c r="D3">
        <f>$C3/$C$40</f>
        <v>0</v>
      </c>
    </row>
    <row r="4" spans="1:7" x14ac:dyDescent="0.3">
      <c r="A4" t="s">
        <v>89</v>
      </c>
      <c r="B4" t="s">
        <v>152</v>
      </c>
      <c r="C4">
        <v>0</v>
      </c>
      <c r="D4">
        <f>$C4/$C$40</f>
        <v>0</v>
      </c>
    </row>
    <row r="5" spans="1:7" x14ac:dyDescent="0.3">
      <c r="A5" t="s">
        <v>83</v>
      </c>
      <c r="B5" t="s">
        <v>152</v>
      </c>
      <c r="C5">
        <f>12+20+10</f>
        <v>42</v>
      </c>
      <c r="D5">
        <f>$C5/$C$40</f>
        <v>8.7682672233820466E-2</v>
      </c>
    </row>
    <row r="6" spans="1:7" x14ac:dyDescent="0.3">
      <c r="A6" t="s">
        <v>73</v>
      </c>
      <c r="B6" t="s">
        <v>73</v>
      </c>
      <c r="C6">
        <v>4</v>
      </c>
      <c r="D6">
        <f>$C6/$C$40</f>
        <v>8.350730688935281E-3</v>
      </c>
    </row>
    <row r="7" spans="1:7" x14ac:dyDescent="0.3">
      <c r="A7" t="s">
        <v>91</v>
      </c>
      <c r="B7" t="s">
        <v>151</v>
      </c>
      <c r="C7">
        <v>1</v>
      </c>
      <c r="D7">
        <f>$C7/$C$40</f>
        <v>2.0876826722338203E-3</v>
      </c>
      <c r="E7" t="s">
        <v>154</v>
      </c>
      <c r="F7" t="s">
        <v>154</v>
      </c>
    </row>
    <row r="8" spans="1:7" x14ac:dyDescent="0.3">
      <c r="A8" t="s">
        <v>63</v>
      </c>
      <c r="B8" t="s">
        <v>151</v>
      </c>
      <c r="C8">
        <v>1</v>
      </c>
      <c r="D8">
        <f>$C8/$C$40</f>
        <v>2.0876826722338203E-3</v>
      </c>
      <c r="E8" t="s">
        <v>154</v>
      </c>
      <c r="F8" t="s">
        <v>155</v>
      </c>
    </row>
    <row r="9" spans="1:7" x14ac:dyDescent="0.3">
      <c r="A9" t="s">
        <v>65</v>
      </c>
      <c r="B9" t="s">
        <v>151</v>
      </c>
      <c r="C9">
        <v>1</v>
      </c>
      <c r="D9">
        <f>$C9/$C$40</f>
        <v>2.0876826722338203E-3</v>
      </c>
      <c r="E9" t="s">
        <v>155</v>
      </c>
      <c r="F9" t="s">
        <v>155</v>
      </c>
      <c r="G9" t="s">
        <v>158</v>
      </c>
    </row>
    <row r="10" spans="1:7" x14ac:dyDescent="0.3">
      <c r="A10" t="s">
        <v>66</v>
      </c>
      <c r="B10" t="s">
        <v>151</v>
      </c>
      <c r="C10">
        <v>1</v>
      </c>
      <c r="D10">
        <f>$C10/$C$40</f>
        <v>2.0876826722338203E-3</v>
      </c>
      <c r="E10" t="s">
        <v>154</v>
      </c>
      <c r="F10" t="s">
        <v>154</v>
      </c>
    </row>
    <row r="11" spans="1:7" x14ac:dyDescent="0.3">
      <c r="A11" t="s">
        <v>67</v>
      </c>
      <c r="B11" t="s">
        <v>151</v>
      </c>
      <c r="C11">
        <v>1</v>
      </c>
      <c r="D11">
        <f>$C11/$C$40</f>
        <v>2.0876826722338203E-3</v>
      </c>
      <c r="E11" t="s">
        <v>155</v>
      </c>
      <c r="F11" t="s">
        <v>155</v>
      </c>
      <c r="G11" t="s">
        <v>159</v>
      </c>
    </row>
    <row r="12" spans="1:7" x14ac:dyDescent="0.3">
      <c r="A12" t="s">
        <v>107</v>
      </c>
      <c r="B12" t="s">
        <v>151</v>
      </c>
      <c r="C12">
        <v>1</v>
      </c>
      <c r="D12">
        <f>$C12/$C$40</f>
        <v>2.0876826722338203E-3</v>
      </c>
      <c r="E12" t="s">
        <v>154</v>
      </c>
      <c r="F12" t="s">
        <v>154</v>
      </c>
    </row>
    <row r="13" spans="1:7" x14ac:dyDescent="0.3">
      <c r="A13" t="s">
        <v>39</v>
      </c>
      <c r="B13" t="s">
        <v>151</v>
      </c>
      <c r="C13">
        <v>1</v>
      </c>
      <c r="D13">
        <f>$C13/$C$40</f>
        <v>2.0876826722338203E-3</v>
      </c>
      <c r="E13" t="s">
        <v>155</v>
      </c>
      <c r="F13" t="s">
        <v>155</v>
      </c>
      <c r="G13" t="s">
        <v>160</v>
      </c>
    </row>
    <row r="14" spans="1:7" x14ac:dyDescent="0.3">
      <c r="A14" t="s">
        <v>114</v>
      </c>
      <c r="B14" t="s">
        <v>151</v>
      </c>
      <c r="C14">
        <v>2</v>
      </c>
      <c r="D14">
        <f>$C14/$C$40</f>
        <v>4.1753653444676405E-3</v>
      </c>
      <c r="E14" t="s">
        <v>154</v>
      </c>
      <c r="F14" t="s">
        <v>154</v>
      </c>
      <c r="G14" t="s">
        <v>163</v>
      </c>
    </row>
    <row r="15" spans="1:7" x14ac:dyDescent="0.3">
      <c r="A15" t="s">
        <v>104</v>
      </c>
      <c r="B15" t="s">
        <v>151</v>
      </c>
      <c r="C15">
        <v>3</v>
      </c>
      <c r="D15">
        <f>$C15/$C$40</f>
        <v>6.2630480167014616E-3</v>
      </c>
      <c r="E15" t="s">
        <v>154</v>
      </c>
      <c r="F15" t="s">
        <v>154</v>
      </c>
    </row>
    <row r="16" spans="1:7" x14ac:dyDescent="0.3">
      <c r="A16" t="s">
        <v>68</v>
      </c>
      <c r="B16" t="s">
        <v>151</v>
      </c>
      <c r="C16">
        <v>3</v>
      </c>
      <c r="D16">
        <f>$C16/$C$40</f>
        <v>6.2630480167014616E-3</v>
      </c>
      <c r="E16" t="s">
        <v>155</v>
      </c>
      <c r="F16" t="s">
        <v>155</v>
      </c>
      <c r="G16" t="s">
        <v>161</v>
      </c>
    </row>
    <row r="17" spans="1:7" x14ac:dyDescent="0.3">
      <c r="A17" t="s">
        <v>36</v>
      </c>
      <c r="B17" t="s">
        <v>151</v>
      </c>
      <c r="C17">
        <v>4</v>
      </c>
      <c r="D17">
        <f>$C17/$C$40</f>
        <v>8.350730688935281E-3</v>
      </c>
      <c r="E17" t="s">
        <v>154</v>
      </c>
      <c r="F17" t="s">
        <v>154</v>
      </c>
    </row>
    <row r="18" spans="1:7" x14ac:dyDescent="0.3">
      <c r="A18" t="s">
        <v>41</v>
      </c>
      <c r="B18" t="s">
        <v>151</v>
      </c>
      <c r="C18">
        <v>4</v>
      </c>
      <c r="D18">
        <f>$C18/$C$40</f>
        <v>8.350730688935281E-3</v>
      </c>
      <c r="E18" t="s">
        <v>155</v>
      </c>
      <c r="F18" t="s">
        <v>154</v>
      </c>
      <c r="G18" t="s">
        <v>164</v>
      </c>
    </row>
    <row r="19" spans="1:7" x14ac:dyDescent="0.3">
      <c r="A19" t="s">
        <v>102</v>
      </c>
      <c r="B19" t="s">
        <v>151</v>
      </c>
      <c r="C19">
        <v>4</v>
      </c>
      <c r="D19">
        <f>$C19/$C$40</f>
        <v>8.350730688935281E-3</v>
      </c>
      <c r="E19" t="s">
        <v>154</v>
      </c>
      <c r="F19" t="s">
        <v>154</v>
      </c>
    </row>
    <row r="20" spans="1:7" x14ac:dyDescent="0.3">
      <c r="A20" t="s">
        <v>112</v>
      </c>
      <c r="B20" t="s">
        <v>151</v>
      </c>
      <c r="C20">
        <v>4</v>
      </c>
      <c r="D20">
        <f>$C20/$C$40</f>
        <v>8.350730688935281E-3</v>
      </c>
      <c r="E20" t="s">
        <v>154</v>
      </c>
      <c r="F20" t="s">
        <v>154</v>
      </c>
    </row>
    <row r="21" spans="1:7" x14ac:dyDescent="0.3">
      <c r="A21" t="s">
        <v>108</v>
      </c>
      <c r="B21" t="s">
        <v>151</v>
      </c>
      <c r="C21">
        <v>5</v>
      </c>
      <c r="D21">
        <f>$C21/$C$40</f>
        <v>1.0438413361169102E-2</v>
      </c>
      <c r="E21" t="s">
        <v>154</v>
      </c>
      <c r="F21" t="s">
        <v>154</v>
      </c>
    </row>
    <row r="22" spans="1:7" x14ac:dyDescent="0.3">
      <c r="A22" t="s">
        <v>111</v>
      </c>
      <c r="B22" t="s">
        <v>151</v>
      </c>
      <c r="C22">
        <v>5</v>
      </c>
      <c r="D22">
        <f>$C22/$C$40</f>
        <v>1.0438413361169102E-2</v>
      </c>
      <c r="E22" t="s">
        <v>154</v>
      </c>
      <c r="F22" t="s">
        <v>154</v>
      </c>
    </row>
    <row r="23" spans="1:7" x14ac:dyDescent="0.3">
      <c r="A23" t="s">
        <v>45</v>
      </c>
      <c r="B23" t="s">
        <v>151</v>
      </c>
      <c r="C23">
        <v>6</v>
      </c>
      <c r="D23">
        <f>$C23/$C$40</f>
        <v>1.2526096033402923E-2</v>
      </c>
      <c r="E23" t="s">
        <v>154</v>
      </c>
      <c r="F23" t="s">
        <v>154</v>
      </c>
    </row>
    <row r="24" spans="1:7" x14ac:dyDescent="0.3">
      <c r="A24" t="s">
        <v>106</v>
      </c>
      <c r="B24" t="s">
        <v>151</v>
      </c>
      <c r="C24">
        <v>6</v>
      </c>
      <c r="D24">
        <f>$C24/$C$40</f>
        <v>1.2526096033402923E-2</v>
      </c>
      <c r="E24" t="s">
        <v>154</v>
      </c>
      <c r="F24" t="s">
        <v>162</v>
      </c>
      <c r="G24" t="s">
        <v>164</v>
      </c>
    </row>
    <row r="25" spans="1:7" x14ac:dyDescent="0.3">
      <c r="A25" t="s">
        <v>70</v>
      </c>
      <c r="B25" t="s">
        <v>151</v>
      </c>
      <c r="C25">
        <v>6</v>
      </c>
      <c r="D25">
        <f>$C25/$C$40</f>
        <v>1.2526096033402923E-2</v>
      </c>
      <c r="E25" t="s">
        <v>154</v>
      </c>
      <c r="F25" t="s">
        <v>154</v>
      </c>
    </row>
    <row r="26" spans="1:7" x14ac:dyDescent="0.3">
      <c r="A26" t="s">
        <v>40</v>
      </c>
      <c r="B26" t="s">
        <v>151</v>
      </c>
      <c r="C26">
        <v>6</v>
      </c>
      <c r="D26">
        <f>$C26/$C$40</f>
        <v>1.2526096033402923E-2</v>
      </c>
      <c r="E26" t="s">
        <v>154</v>
      </c>
      <c r="F26" t="s">
        <v>154</v>
      </c>
    </row>
    <row r="27" spans="1:7" x14ac:dyDescent="0.3">
      <c r="A27" t="s">
        <v>94</v>
      </c>
      <c r="B27" t="s">
        <v>151</v>
      </c>
      <c r="C27">
        <v>9</v>
      </c>
      <c r="D27">
        <f>$C27/$C$40</f>
        <v>1.8789144050104383E-2</v>
      </c>
      <c r="E27" t="s">
        <v>154</v>
      </c>
      <c r="F27" t="s">
        <v>154</v>
      </c>
    </row>
    <row r="28" spans="1:7" x14ac:dyDescent="0.3">
      <c r="A28" t="s">
        <v>95</v>
      </c>
      <c r="B28" t="s">
        <v>151</v>
      </c>
      <c r="C28">
        <v>11</v>
      </c>
      <c r="D28">
        <f>$C28/$C$40</f>
        <v>2.2964509394572025E-2</v>
      </c>
      <c r="E28" t="s">
        <v>154</v>
      </c>
      <c r="F28" t="s">
        <v>154</v>
      </c>
    </row>
    <row r="29" spans="1:7" x14ac:dyDescent="0.3">
      <c r="A29" t="s">
        <v>64</v>
      </c>
      <c r="B29" t="s">
        <v>151</v>
      </c>
      <c r="C29">
        <v>11</v>
      </c>
      <c r="D29">
        <f>$C29/$C$40</f>
        <v>2.2964509394572025E-2</v>
      </c>
      <c r="E29" t="s">
        <v>154</v>
      </c>
      <c r="F29" t="s">
        <v>154</v>
      </c>
    </row>
    <row r="30" spans="1:7" x14ac:dyDescent="0.3">
      <c r="A30" t="s">
        <v>93</v>
      </c>
      <c r="B30" t="s">
        <v>151</v>
      </c>
      <c r="C30">
        <v>15</v>
      </c>
      <c r="D30">
        <f>$C30/$C$40</f>
        <v>3.1315240083507306E-2</v>
      </c>
      <c r="E30" t="s">
        <v>154</v>
      </c>
      <c r="F30" t="s">
        <v>154</v>
      </c>
    </row>
    <row r="31" spans="1:7" x14ac:dyDescent="0.3">
      <c r="A31" t="s">
        <v>71</v>
      </c>
      <c r="B31" t="s">
        <v>151</v>
      </c>
      <c r="C31">
        <v>15</v>
      </c>
      <c r="D31">
        <f>$C31/$C$40</f>
        <v>3.1315240083507306E-2</v>
      </c>
      <c r="E31" t="s">
        <v>154</v>
      </c>
      <c r="F31" t="s">
        <v>154</v>
      </c>
    </row>
    <row r="32" spans="1:7" x14ac:dyDescent="0.3">
      <c r="A32" t="s">
        <v>101</v>
      </c>
      <c r="B32" t="s">
        <v>151</v>
      </c>
      <c r="C32">
        <v>26</v>
      </c>
      <c r="D32">
        <f>$C32/$C$40</f>
        <v>5.4279749478079335E-2</v>
      </c>
      <c r="E32" t="s">
        <v>154</v>
      </c>
      <c r="F32" t="s">
        <v>154</v>
      </c>
    </row>
    <row r="33" spans="1:6" x14ac:dyDescent="0.3">
      <c r="A33" t="s">
        <v>97</v>
      </c>
      <c r="B33" t="s">
        <v>151</v>
      </c>
      <c r="C33">
        <v>53</v>
      </c>
      <c r="D33">
        <f>$C33/$C$40</f>
        <v>0.11064718162839249</v>
      </c>
      <c r="E33" t="s">
        <v>154</v>
      </c>
      <c r="F33" t="s">
        <v>154</v>
      </c>
    </row>
    <row r="34" spans="1:6" x14ac:dyDescent="0.3">
      <c r="A34" t="s">
        <v>43</v>
      </c>
      <c r="B34" t="s">
        <v>151</v>
      </c>
      <c r="C34">
        <v>71</v>
      </c>
      <c r="D34">
        <f>$C34/$C$40</f>
        <v>0.14822546972860126</v>
      </c>
      <c r="E34" t="s">
        <v>154</v>
      </c>
      <c r="F34" t="s">
        <v>154</v>
      </c>
    </row>
    <row r="35" spans="1:6" x14ac:dyDescent="0.3">
      <c r="A35" t="s">
        <v>48</v>
      </c>
      <c r="B35" t="s">
        <v>151</v>
      </c>
      <c r="C35">
        <f>18+16+123</f>
        <v>157</v>
      </c>
      <c r="D35">
        <f>$C35/$C$40</f>
        <v>0.3277661795407098</v>
      </c>
      <c r="E35" t="s">
        <v>154</v>
      </c>
      <c r="F35" t="s">
        <v>154</v>
      </c>
    </row>
    <row r="36" spans="1:6" x14ac:dyDescent="0.3">
      <c r="A36" t="s">
        <v>96</v>
      </c>
      <c r="C36">
        <v>0</v>
      </c>
      <c r="D36">
        <f>$C36/$C$40</f>
        <v>0</v>
      </c>
    </row>
    <row r="37" spans="1:6" x14ac:dyDescent="0.3">
      <c r="A37" t="s">
        <v>69</v>
      </c>
      <c r="C37">
        <v>0</v>
      </c>
      <c r="D37">
        <f>$C37/$C$40</f>
        <v>0</v>
      </c>
    </row>
    <row r="38" spans="1:6" x14ac:dyDescent="0.3">
      <c r="A38" t="s">
        <v>35</v>
      </c>
      <c r="C38">
        <v>0</v>
      </c>
      <c r="D38">
        <f>$C38/$C$40</f>
        <v>0</v>
      </c>
    </row>
    <row r="39" spans="1:6" x14ac:dyDescent="0.3">
      <c r="A39" t="s">
        <v>78</v>
      </c>
      <c r="C39">
        <v>0</v>
      </c>
      <c r="D39">
        <f>$C39/$C$40</f>
        <v>0</v>
      </c>
    </row>
    <row r="40" spans="1:6" x14ac:dyDescent="0.3">
      <c r="C40">
        <f>SUM(C2:C39)</f>
        <v>479</v>
      </c>
      <c r="E40" t="s">
        <v>165</v>
      </c>
    </row>
    <row r="41" spans="1:6" x14ac:dyDescent="0.3">
      <c r="E41">
        <f>24/45</f>
        <v>0.53333333333333333</v>
      </c>
    </row>
  </sheetData>
  <sortState xmlns:xlrd2="http://schemas.microsoft.com/office/spreadsheetml/2017/richdata2" ref="A2:E39">
    <sortCondition descending="1" ref="B2:B39"/>
    <sortCondition ref="C2:C39"/>
  </sortState>
  <conditionalFormatting sqref="E1:F1048576 G14 G18 G24">
    <cfRule type="containsText" dxfId="0" priority="1" operator="containsText" text="No">
      <formula>NOT(ISERROR(SEARCH("No",E1)))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Bugs</vt:lpstr>
      <vt:lpstr>Pivot table</vt:lpstr>
      <vt:lpstr>Counting them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2025-09-03T21:43:17Z</dcterms:created>
  <dcterms:modified xsi:type="dcterms:W3CDTF">2025-09-04T00:20:13Z</dcterms:modified>
</cp:coreProperties>
</file>