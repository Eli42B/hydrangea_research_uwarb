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zabeth\Documents\School\UW Arboretum Hydrangea research\UW Arboretum Hydrangea research\Hydrangea_R_code\Excel Files\"/>
    </mc:Choice>
  </mc:AlternateContent>
  <xr:revisionPtr revIDLastSave="0" documentId="13_ncr:9_{461599CD-D2EC-4004-9CA3-6FA6B6B4168B}" xr6:coauthVersionLast="47" xr6:coauthVersionMax="47" xr10:uidLastSave="{00000000-0000-0000-0000-000000000000}"/>
  <bookViews>
    <workbookView xWindow="2256" yWindow="3192" windowWidth="17280" windowHeight="9960" activeTab="1" xr2:uid="{866230BE-94BA-4D60-BA26-6C452BCD838C}"/>
  </bookViews>
  <sheets>
    <sheet name="spec_accum_vials" sheetId="1" r:id="rId1"/>
    <sheet name="OriginalData" sheetId="2" r:id="rId2"/>
  </sheets>
  <calcPr calcId="0"/>
</workbook>
</file>

<file path=xl/calcChain.xml><?xml version="1.0" encoding="utf-8"?>
<calcChain xmlns="http://schemas.openxmlformats.org/spreadsheetml/2006/main">
  <c r="Z287" i="2" l="1"/>
  <c r="AA6" i="2"/>
  <c r="AA4" i="2"/>
  <c r="C2" i="1"/>
  <c r="C3" i="1" s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AA15" i="2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/>
  <c r="AA27" i="2"/>
  <c r="AA28" i="2"/>
  <c r="AA29" i="2" s="1"/>
  <c r="AA30" i="2" s="1"/>
  <c r="AA31" i="2" s="1"/>
  <c r="AA32" i="2" s="1"/>
  <c r="AA33" i="2" s="1"/>
  <c r="AA34" i="2" s="1"/>
  <c r="AA35" i="2" s="1"/>
  <c r="AA36" i="2" s="1"/>
  <c r="AA37" i="2" s="1"/>
  <c r="AA38" i="2" s="1"/>
  <c r="AA39" i="2" s="1"/>
  <c r="AA40" i="2"/>
  <c r="AA41" i="2"/>
  <c r="AA42" i="2"/>
  <c r="AA43" i="2" s="1"/>
  <c r="AA44" i="2" s="1"/>
  <c r="AA45" i="2" s="1"/>
  <c r="AA46" i="2" s="1"/>
  <c r="AA47" i="2" s="1"/>
  <c r="AA48" i="2" s="1"/>
  <c r="AA49" i="2" s="1"/>
  <c r="AA50" i="2" s="1"/>
  <c r="AA51" i="2" s="1"/>
  <c r="AA52" i="2" s="1"/>
  <c r="AA53" i="2" s="1"/>
  <c r="AA54" i="2" s="1"/>
  <c r="AA55" i="2" s="1"/>
  <c r="AA56" i="2" s="1"/>
  <c r="AA57" i="2" s="1"/>
  <c r="AA58" i="2" s="1"/>
  <c r="AA59" i="2" s="1"/>
  <c r="AA60" i="2" s="1"/>
  <c r="AA61" i="2" s="1"/>
  <c r="AA62" i="2" s="1"/>
  <c r="AA63" i="2" s="1"/>
  <c r="AA64" i="2" s="1"/>
  <c r="AA65" i="2" s="1"/>
  <c r="AA66" i="2" s="1"/>
  <c r="AA67" i="2" s="1"/>
  <c r="AA68" i="2" s="1"/>
  <c r="AA69" i="2" s="1"/>
  <c r="AA70" i="2" s="1"/>
  <c r="AA71" i="2" s="1"/>
  <c r="AA72" i="2" s="1"/>
  <c r="AA73" i="2" s="1"/>
  <c r="AA74" i="2" s="1"/>
  <c r="AA75" i="2" s="1"/>
  <c r="AA76" i="2" s="1"/>
  <c r="AA77" i="2" s="1"/>
  <c r="AA78" i="2" s="1"/>
  <c r="AA79" i="2" s="1"/>
  <c r="AA80" i="2" s="1"/>
  <c r="AA81" i="2" s="1"/>
  <c r="AA82" i="2" s="1"/>
  <c r="AA83" i="2" s="1"/>
  <c r="AA84" i="2" s="1"/>
  <c r="AA85" i="2" s="1"/>
  <c r="AA86" i="2" s="1"/>
  <c r="AA87" i="2" s="1"/>
  <c r="AA88" i="2" s="1"/>
  <c r="AA89" i="2" s="1"/>
  <c r="AA90" i="2" s="1"/>
  <c r="AA91" i="2" s="1"/>
  <c r="AA92" i="2" s="1"/>
  <c r="AA93" i="2" s="1"/>
  <c r="AA94" i="2" s="1"/>
  <c r="AA95" i="2" s="1"/>
  <c r="AA96" i="2" s="1"/>
  <c r="AA97" i="2" s="1"/>
  <c r="AA98" i="2" s="1"/>
  <c r="AA99" i="2" s="1"/>
  <c r="AA100" i="2" s="1"/>
  <c r="AA101" i="2" s="1"/>
  <c r="AA102" i="2" s="1"/>
  <c r="AA103" i="2" s="1"/>
  <c r="AA104" i="2" s="1"/>
  <c r="AA105" i="2" s="1"/>
  <c r="AA106" i="2" s="1"/>
  <c r="AA107" i="2" s="1"/>
  <c r="AA108" i="2" s="1"/>
  <c r="AA109" i="2" s="1"/>
  <c r="AA110" i="2" s="1"/>
  <c r="AA111" i="2" s="1"/>
  <c r="AA112" i="2" s="1"/>
  <c r="AA113" i="2" s="1"/>
  <c r="AA114" i="2" s="1"/>
  <c r="AA115" i="2" s="1"/>
  <c r="AA116" i="2" s="1"/>
  <c r="AA117" i="2" s="1"/>
  <c r="AA118" i="2" s="1"/>
  <c r="AA119" i="2" s="1"/>
  <c r="AA120" i="2" s="1"/>
  <c r="AA121" i="2" s="1"/>
  <c r="AA122" i="2" s="1"/>
  <c r="AA123" i="2" s="1"/>
  <c r="AA124" i="2" s="1"/>
  <c r="AA125" i="2" s="1"/>
  <c r="AA126" i="2" s="1"/>
  <c r="AA127" i="2" s="1"/>
  <c r="AA128" i="2" s="1"/>
  <c r="AA129" i="2" s="1"/>
  <c r="AA130" i="2" s="1"/>
  <c r="AA131" i="2" s="1"/>
  <c r="AA132" i="2" s="1"/>
  <c r="AA133" i="2" s="1"/>
  <c r="AA134" i="2" s="1"/>
  <c r="AA135" i="2" s="1"/>
  <c r="AA136" i="2" s="1"/>
  <c r="AA137" i="2" s="1"/>
  <c r="AA138" i="2" s="1"/>
  <c r="AA139" i="2" s="1"/>
  <c r="AA140" i="2" s="1"/>
  <c r="AA141" i="2" s="1"/>
  <c r="AA142" i="2" s="1"/>
  <c r="AA143" i="2" s="1"/>
  <c r="AA144" i="2" s="1"/>
  <c r="AA145" i="2" s="1"/>
  <c r="AA146" i="2" s="1"/>
  <c r="AA147" i="2" s="1"/>
  <c r="AA148" i="2" s="1"/>
  <c r="AA149" i="2" s="1"/>
  <c r="AA150" i="2" s="1"/>
  <c r="AA151" i="2" s="1"/>
  <c r="AA152" i="2" s="1"/>
  <c r="AA153" i="2" s="1"/>
  <c r="AA154" i="2" s="1"/>
  <c r="AA155" i="2" s="1"/>
  <c r="AA156" i="2" s="1"/>
  <c r="AA157" i="2" s="1"/>
  <c r="AA158" i="2" s="1"/>
  <c r="AA159" i="2" s="1"/>
  <c r="AA160" i="2" s="1"/>
  <c r="AA161" i="2" s="1"/>
  <c r="AA162" i="2" s="1"/>
  <c r="AA163" i="2" s="1"/>
  <c r="AA164" i="2" s="1"/>
  <c r="AA165" i="2" s="1"/>
  <c r="AA166" i="2" s="1"/>
  <c r="AA167" i="2" s="1"/>
  <c r="AA168" i="2" s="1"/>
  <c r="AA169" i="2" s="1"/>
  <c r="AA170" i="2" s="1"/>
  <c r="AA171" i="2" s="1"/>
  <c r="AA172" i="2" s="1"/>
  <c r="AA173" i="2" s="1"/>
  <c r="AA174" i="2" s="1"/>
  <c r="AA175" i="2" s="1"/>
  <c r="AA176" i="2" s="1"/>
  <c r="AA177" i="2" s="1"/>
  <c r="AA178" i="2" s="1"/>
  <c r="AA179" i="2" s="1"/>
  <c r="AA180" i="2" s="1"/>
  <c r="AA181" i="2" s="1"/>
  <c r="AA182" i="2" s="1"/>
  <c r="AA183" i="2" s="1"/>
  <c r="AA184" i="2" s="1"/>
  <c r="AA185" i="2" s="1"/>
  <c r="AA186" i="2" s="1"/>
  <c r="AA187" i="2" s="1"/>
  <c r="AA188" i="2" s="1"/>
  <c r="AA189" i="2" s="1"/>
  <c r="AA190" i="2" s="1"/>
  <c r="AA191" i="2" s="1"/>
  <c r="AA192" i="2" s="1"/>
  <c r="AA193" i="2" s="1"/>
  <c r="AA194" i="2" s="1"/>
  <c r="AA195" i="2" s="1"/>
  <c r="AA196" i="2" s="1"/>
  <c r="AA197" i="2" s="1"/>
  <c r="AA198" i="2" s="1"/>
  <c r="AA199" i="2" s="1"/>
  <c r="AA200" i="2" s="1"/>
  <c r="AA201" i="2" s="1"/>
  <c r="AA202" i="2" s="1"/>
  <c r="AA203" i="2" s="1"/>
  <c r="AA204" i="2" s="1"/>
  <c r="AA205" i="2" s="1"/>
  <c r="AA206" i="2" s="1"/>
  <c r="AA207" i="2" s="1"/>
  <c r="AA208" i="2" s="1"/>
  <c r="AA209" i="2" s="1"/>
  <c r="AA210" i="2" s="1"/>
  <c r="AA211" i="2" s="1"/>
  <c r="AA212" i="2" s="1"/>
  <c r="AA213" i="2" s="1"/>
  <c r="AA214" i="2" s="1"/>
  <c r="AA215" i="2" s="1"/>
  <c r="AA216" i="2" s="1"/>
  <c r="AA217" i="2" s="1"/>
  <c r="AA218" i="2" s="1"/>
  <c r="AA219" i="2" s="1"/>
  <c r="AA220" i="2" s="1"/>
  <c r="AA221" i="2" s="1"/>
  <c r="AA222" i="2" s="1"/>
  <c r="AA223" i="2" s="1"/>
  <c r="AA224" i="2" s="1"/>
  <c r="AA225" i="2" s="1"/>
  <c r="AA226" i="2" s="1"/>
  <c r="AA227" i="2" s="1"/>
  <c r="AA228" i="2" s="1"/>
  <c r="AA229" i="2" s="1"/>
  <c r="AA230" i="2" s="1"/>
  <c r="AA231" i="2" s="1"/>
  <c r="AA232" i="2" s="1"/>
  <c r="AA233" i="2" s="1"/>
  <c r="AA234" i="2" s="1"/>
  <c r="AA235" i="2" s="1"/>
  <c r="AA236" i="2" s="1"/>
  <c r="AA237" i="2" s="1"/>
  <c r="AA238" i="2" s="1"/>
  <c r="AA239" i="2" s="1"/>
  <c r="AA240" i="2" s="1"/>
  <c r="AA241" i="2" s="1"/>
  <c r="AA242" i="2" s="1"/>
  <c r="AA243" i="2" s="1"/>
  <c r="AA244" i="2" s="1"/>
  <c r="AA245" i="2" s="1"/>
  <c r="AA246" i="2" s="1"/>
  <c r="AA247" i="2" s="1"/>
  <c r="AA248" i="2" s="1"/>
  <c r="AA249" i="2" s="1"/>
  <c r="AA250" i="2" s="1"/>
  <c r="AA251" i="2" s="1"/>
  <c r="AA252" i="2" s="1"/>
  <c r="AA253" i="2" s="1"/>
  <c r="AA254" i="2" s="1"/>
  <c r="AA255" i="2" s="1"/>
  <c r="AA256" i="2" s="1"/>
  <c r="AA257" i="2" s="1"/>
  <c r="AA258" i="2" s="1"/>
  <c r="AA259" i="2" s="1"/>
  <c r="AA260" i="2" s="1"/>
  <c r="AA261" i="2" s="1"/>
  <c r="AA262" i="2" s="1"/>
  <c r="AA263" i="2" s="1"/>
  <c r="AA264" i="2" s="1"/>
  <c r="AA265" i="2" s="1"/>
  <c r="AA266" i="2" s="1"/>
  <c r="AA267" i="2" s="1"/>
  <c r="AA268" i="2" s="1"/>
  <c r="AA269" i="2" s="1"/>
  <c r="AA270" i="2" s="1"/>
  <c r="AA271" i="2" s="1"/>
  <c r="AA272" i="2" s="1"/>
  <c r="AA273" i="2" s="1"/>
  <c r="AA274" i="2" s="1"/>
  <c r="AA275" i="2" s="1"/>
  <c r="AA276" i="2" s="1"/>
  <c r="AA277" i="2" s="1"/>
  <c r="AA278" i="2" s="1"/>
  <c r="AA279" i="2" s="1"/>
  <c r="AA280" i="2" s="1"/>
  <c r="AA281" i="2" s="1"/>
  <c r="AA282" i="2" s="1"/>
  <c r="AA283" i="2" s="1"/>
  <c r="AA284" i="2" s="1"/>
  <c r="AA285" i="2" s="1"/>
  <c r="AA286" i="2" s="1"/>
  <c r="AA5" i="2"/>
  <c r="AA7" i="2"/>
  <c r="AA8" i="2" s="1"/>
  <c r="AA9" i="2" s="1"/>
  <c r="AA10" i="2" s="1"/>
  <c r="AA11" i="2" s="1"/>
  <c r="AA12" i="2" s="1"/>
  <c r="AA13" i="2" s="1"/>
  <c r="AA14" i="2" s="1"/>
  <c r="AA3" i="2"/>
  <c r="AA2" i="2"/>
</calcChain>
</file>

<file path=xl/sharedStrings.xml><?xml version="1.0" encoding="utf-8"?>
<sst xmlns="http://schemas.openxmlformats.org/spreadsheetml/2006/main" count="2832" uniqueCount="331">
  <si>
    <t>NumSurveys</t>
  </si>
  <si>
    <t>CumulativeSpp</t>
  </si>
  <si>
    <t>Date</t>
  </si>
  <si>
    <t>Month</t>
  </si>
  <si>
    <t>Tag.Number</t>
  </si>
  <si>
    <t>Collector</t>
  </si>
  <si>
    <t xml:space="preserve">Cultivar </t>
  </si>
  <si>
    <t>Species</t>
  </si>
  <si>
    <t>AscensionNumber</t>
  </si>
  <si>
    <t>Inflorescence.Type</t>
  </si>
  <si>
    <t>Color</t>
  </si>
  <si>
    <t>False.Sepals</t>
  </si>
  <si>
    <t>Flower.Type</t>
  </si>
  <si>
    <t>PaniclesPerTransect</t>
  </si>
  <si>
    <t>TotalPaniclesA</t>
  </si>
  <si>
    <t>AvgInflorescencesPerPanicle</t>
  </si>
  <si>
    <t>transects_per_plant</t>
  </si>
  <si>
    <t>TotalPaniclesB</t>
  </si>
  <si>
    <t>TotalInflorescences_A</t>
  </si>
  <si>
    <t>TotalInflorescences_B</t>
  </si>
  <si>
    <t>TotalInflorescences_AB</t>
  </si>
  <si>
    <t>Start.Time</t>
  </si>
  <si>
    <t>End.Time</t>
  </si>
  <si>
    <t>Rain</t>
  </si>
  <si>
    <t>Wind</t>
  </si>
  <si>
    <t>Cloud</t>
  </si>
  <si>
    <t>TempF</t>
  </si>
  <si>
    <t>TotalInsects</t>
  </si>
  <si>
    <t>Araneae</t>
  </si>
  <si>
    <t>Chauliognathus</t>
  </si>
  <si>
    <t>Cerambycidae</t>
  </si>
  <si>
    <t>Chrysomelidae</t>
  </si>
  <si>
    <t>Curculionidae</t>
  </si>
  <si>
    <t>Mordellidae</t>
  </si>
  <si>
    <t>Scarabaeoidea</t>
  </si>
  <si>
    <t>Diptera</t>
  </si>
  <si>
    <t>Bombyliidae</t>
  </si>
  <si>
    <t>Calliphoridae</t>
  </si>
  <si>
    <t>Conopidae</t>
  </si>
  <si>
    <t>Cecidomyiidae</t>
  </si>
  <si>
    <t>Culicidae</t>
  </si>
  <si>
    <t>Dolichopodidae</t>
  </si>
  <si>
    <t>Drosophilidae</t>
  </si>
  <si>
    <t>Empididae</t>
  </si>
  <si>
    <t>Muscidae</t>
  </si>
  <si>
    <t>Oestroidea</t>
  </si>
  <si>
    <t>Syrphidae_total</t>
  </si>
  <si>
    <t>Unknown_Bristly_Flies</t>
  </si>
  <si>
    <t>Tipulidae</t>
  </si>
  <si>
    <t>Ulidiidae</t>
  </si>
  <si>
    <t>Hemiptera</t>
  </si>
  <si>
    <t>Aphididae</t>
  </si>
  <si>
    <t>Cicadellidae</t>
  </si>
  <si>
    <t>Miridae</t>
  </si>
  <si>
    <t>Reduviidae</t>
  </si>
  <si>
    <t>Hymenoptera</t>
  </si>
  <si>
    <t>Xylocopa</t>
  </si>
  <si>
    <t>Andrenidae</t>
  </si>
  <si>
    <t>Protandrena</t>
  </si>
  <si>
    <t>Apis.mellifera</t>
  </si>
  <si>
    <t>Melissodes</t>
  </si>
  <si>
    <t>Ceratina</t>
  </si>
  <si>
    <t>Cerceris</t>
  </si>
  <si>
    <t>Astata</t>
  </si>
  <si>
    <t>Chrysididae</t>
  </si>
  <si>
    <t>Hylaeus</t>
  </si>
  <si>
    <t>Halictidae</t>
  </si>
  <si>
    <t>Agapostemon</t>
  </si>
  <si>
    <t>Augochlora</t>
  </si>
  <si>
    <t>Green.Sweatbee</t>
  </si>
  <si>
    <t>Halictus</t>
  </si>
  <si>
    <t>Lasioglossum</t>
  </si>
  <si>
    <t>Bombus affinis</t>
  </si>
  <si>
    <t>Bombus auricomus</t>
  </si>
  <si>
    <t>Bombus impatiens</t>
  </si>
  <si>
    <t>Bombus bimaculatus</t>
  </si>
  <si>
    <t>Bombus griseocollis</t>
  </si>
  <si>
    <t>Bombus vagans</t>
  </si>
  <si>
    <t>Symmorphus</t>
  </si>
  <si>
    <t>Eurytoma</t>
  </si>
  <si>
    <t>Braconidae</t>
  </si>
  <si>
    <t>Apocrita</t>
  </si>
  <si>
    <t>Scolia</t>
  </si>
  <si>
    <t>Sphecius speciosus</t>
  </si>
  <si>
    <t>Sphex</t>
  </si>
  <si>
    <t>Vespidae</t>
  </si>
  <si>
    <t>Dolichovespula.maculata</t>
  </si>
  <si>
    <t>Dolichovespula</t>
  </si>
  <si>
    <t>Lepidoptera</t>
  </si>
  <si>
    <t>Hesperiidae</t>
  </si>
  <si>
    <t>Celastrina ladon</t>
  </si>
  <si>
    <t>Epargyreus clarus</t>
  </si>
  <si>
    <t>Libythean carinenta</t>
  </si>
  <si>
    <t>Pieris rapae</t>
  </si>
  <si>
    <t>Polygonia comma</t>
  </si>
  <si>
    <t>Vanessa atalanta</t>
  </si>
  <si>
    <t>Notes</t>
  </si>
  <si>
    <t>Jul</t>
  </si>
  <si>
    <t>11A</t>
  </si>
  <si>
    <t>E. Braatz</t>
  </si>
  <si>
    <t>Dharuma</t>
  </si>
  <si>
    <t>Hydrangea paniculata</t>
  </si>
  <si>
    <t>Open</t>
  </si>
  <si>
    <t>White</t>
  </si>
  <si>
    <t>Lacy panicle</t>
  </si>
  <si>
    <t>NA</t>
  </si>
  <si>
    <t>12F</t>
  </si>
  <si>
    <t>White Dome</t>
  </si>
  <si>
    <t>Hydrangea arborescens</t>
  </si>
  <si>
    <t>Lacy</t>
  </si>
  <si>
    <t>11E</t>
  </si>
  <si>
    <t>Seaside Serenade Bar</t>
  </si>
  <si>
    <t>19008B</t>
  </si>
  <si>
    <t>Dense</t>
  </si>
  <si>
    <t>Mop</t>
  </si>
  <si>
    <t>1A</t>
  </si>
  <si>
    <t>Strawberry Shake</t>
  </si>
  <si>
    <t>18031B</t>
  </si>
  <si>
    <t>Very dense</t>
  </si>
  <si>
    <t>Pink-white</t>
  </si>
  <si>
    <t>Mop-like panicle</t>
  </si>
  <si>
    <t>12A</t>
  </si>
  <si>
    <t>Candy Apple</t>
  </si>
  <si>
    <t>Green-white</t>
  </si>
  <si>
    <t>4A</t>
  </si>
  <si>
    <t>White Diamonds</t>
  </si>
  <si>
    <t>Half-open</t>
  </si>
  <si>
    <t>5A</t>
  </si>
  <si>
    <t>Quick Fire</t>
  </si>
  <si>
    <t>Pink</t>
  </si>
  <si>
    <t>8A</t>
  </si>
  <si>
    <t>Mega Pearl</t>
  </si>
  <si>
    <t>9A</t>
  </si>
  <si>
    <t>Fire &amp; Ice</t>
  </si>
  <si>
    <t>7E</t>
  </si>
  <si>
    <t>Invincibelle Wee White</t>
  </si>
  <si>
    <t>No bugs and shaded</t>
  </si>
  <si>
    <t>10C</t>
  </si>
  <si>
    <t>Fire Light</t>
  </si>
  <si>
    <t>10D</t>
  </si>
  <si>
    <t>Daimond Rogue</t>
  </si>
  <si>
    <t>11C</t>
  </si>
  <si>
    <t>Little Quick Fire</t>
  </si>
  <si>
    <t>13C</t>
  </si>
  <si>
    <t>18008B</t>
  </si>
  <si>
    <t>14C</t>
  </si>
  <si>
    <t>18008A</t>
  </si>
  <si>
    <t>16C</t>
  </si>
  <si>
    <t>Goldenrod soldier beetles</t>
  </si>
  <si>
    <t>18D</t>
  </si>
  <si>
    <t>Bobo</t>
  </si>
  <si>
    <t>12031B</t>
  </si>
  <si>
    <t>10F</t>
  </si>
  <si>
    <t>Incrediball</t>
  </si>
  <si>
    <t>2C</t>
  </si>
  <si>
    <t>Pinky Winky</t>
  </si>
  <si>
    <t>2F</t>
  </si>
  <si>
    <t>Silver Leaf</t>
  </si>
  <si>
    <t>Unknown</t>
  </si>
  <si>
    <t>Syrphid fly escaped</t>
  </si>
  <si>
    <t>12C</t>
  </si>
  <si>
    <t>Polar Ball</t>
  </si>
  <si>
    <t>4C</t>
  </si>
  <si>
    <t>Little Lamb</t>
  </si>
  <si>
    <t>12D</t>
  </si>
  <si>
    <t>Phantom</t>
  </si>
  <si>
    <t>Brown butterfly (painted lady?)</t>
  </si>
  <si>
    <t>4F</t>
  </si>
  <si>
    <t>Haas Halo</t>
  </si>
  <si>
    <t>5F</t>
  </si>
  <si>
    <t>Bella Anna</t>
  </si>
  <si>
    <t>8C</t>
  </si>
  <si>
    <t>18031A</t>
  </si>
  <si>
    <t>Syrphid</t>
  </si>
  <si>
    <t>9F</t>
  </si>
  <si>
    <t>15D</t>
  </si>
  <si>
    <t>Tickled Pink</t>
  </si>
  <si>
    <t>Sweatfly</t>
  </si>
  <si>
    <t>11D</t>
  </si>
  <si>
    <t>Kyushu</t>
  </si>
  <si>
    <t>19D</t>
  </si>
  <si>
    <t>Puffer Fish</t>
  </si>
  <si>
    <t>2023-030</t>
  </si>
  <si>
    <t>2 Golden digger waps</t>
  </si>
  <si>
    <t>20D</t>
  </si>
  <si>
    <t>Early Evolution</t>
  </si>
  <si>
    <t>2023-026A</t>
  </si>
  <si>
    <t>5B</t>
  </si>
  <si>
    <t>6D</t>
  </si>
  <si>
    <t>Strawberry Sundae</t>
  </si>
  <si>
    <t>3F</t>
  </si>
  <si>
    <t>Lime Rickey</t>
  </si>
  <si>
    <t>10E</t>
  </si>
  <si>
    <t>G. Meneses</t>
  </si>
  <si>
    <t>3E</t>
  </si>
  <si>
    <t>Bounty</t>
  </si>
  <si>
    <t>4E</t>
  </si>
  <si>
    <t>Hayes Starburst</t>
  </si>
  <si>
    <t>6F</t>
  </si>
  <si>
    <t>Invincibelle Spirit</t>
  </si>
  <si>
    <t>5E</t>
  </si>
  <si>
    <t>Annabelle</t>
  </si>
  <si>
    <t>6E</t>
  </si>
  <si>
    <t>Riven Lace</t>
  </si>
  <si>
    <t>8F</t>
  </si>
  <si>
    <t>Pink Pincushion</t>
  </si>
  <si>
    <t>5 flies</t>
  </si>
  <si>
    <t>10B</t>
  </si>
  <si>
    <t>Pink Lady</t>
  </si>
  <si>
    <t>13B</t>
  </si>
  <si>
    <t>19B</t>
  </si>
  <si>
    <t>3A</t>
  </si>
  <si>
    <t>Sweet Summer</t>
  </si>
  <si>
    <t>7A</t>
  </si>
  <si>
    <t>6A</t>
  </si>
  <si>
    <t>Honey Comb</t>
  </si>
  <si>
    <t>6B</t>
  </si>
  <si>
    <t>9E</t>
  </si>
  <si>
    <t>1 Golden digger wasp</t>
  </si>
  <si>
    <t>10A</t>
  </si>
  <si>
    <t>16B</t>
  </si>
  <si>
    <t>Dolly</t>
  </si>
  <si>
    <t>11B</t>
  </si>
  <si>
    <t>Forgot to enter</t>
  </si>
  <si>
    <t>1C</t>
  </si>
  <si>
    <t>Ruby</t>
  </si>
  <si>
    <t>22B</t>
  </si>
  <si>
    <t>Limelight Prime</t>
  </si>
  <si>
    <t>23B</t>
  </si>
  <si>
    <t>Quick Fire Fabulous</t>
  </si>
  <si>
    <t>No tag</t>
  </si>
  <si>
    <t>Lots of bracts</t>
  </si>
  <si>
    <t>24B</t>
  </si>
  <si>
    <t>Little Lime Punch</t>
  </si>
  <si>
    <t>26B</t>
  </si>
  <si>
    <t>Berry White</t>
  </si>
  <si>
    <t>2A</t>
  </si>
  <si>
    <t>Baby Lace</t>
  </si>
  <si>
    <t>27B</t>
  </si>
  <si>
    <t>20012B</t>
  </si>
  <si>
    <t>Weird bracts; tree</t>
  </si>
  <si>
    <t>2B</t>
  </si>
  <si>
    <t>3D</t>
  </si>
  <si>
    <t>Vanilla Strawberry</t>
  </si>
  <si>
    <t>Shaded</t>
  </si>
  <si>
    <t>9B</t>
  </si>
  <si>
    <t>Silver Dollar</t>
  </si>
  <si>
    <t>Very light sprinkle--sunny, but rained a bit</t>
  </si>
  <si>
    <t>15B</t>
  </si>
  <si>
    <t>Zinfin Doll</t>
  </si>
  <si>
    <t>No bugs</t>
  </si>
  <si>
    <t>2 Agapostemon</t>
  </si>
  <si>
    <t>9C</t>
  </si>
  <si>
    <t>Pillow Talk</t>
  </si>
  <si>
    <t>11F</t>
  </si>
  <si>
    <t>Invincibelle</t>
  </si>
  <si>
    <t>7/3 to 7/17 are missing a lot of pannicle data because I forgot</t>
  </si>
  <si>
    <t>25B</t>
  </si>
  <si>
    <t>2023-026B</t>
  </si>
  <si>
    <t>4D</t>
  </si>
  <si>
    <t>Great Star</t>
  </si>
  <si>
    <t>Aug</t>
  </si>
  <si>
    <t>No bugs and done blooming?</t>
  </si>
  <si>
    <t>1 unknown skipper</t>
  </si>
  <si>
    <t>21B</t>
  </si>
  <si>
    <t>E.Braatz</t>
  </si>
  <si>
    <t>12E</t>
  </si>
  <si>
    <t>Invincibelle Mini Mauvette</t>
  </si>
  <si>
    <t>Ended sampling early because vacuum battery died</t>
  </si>
  <si>
    <t>1E and 2E</t>
  </si>
  <si>
    <t>3B</t>
  </si>
  <si>
    <t>Little Lime</t>
  </si>
  <si>
    <t>Many bracts and few flowers</t>
  </si>
  <si>
    <t>Not blooming--only buds and bracts</t>
  </si>
  <si>
    <t>8B</t>
  </si>
  <si>
    <t>feels about to rain</t>
  </si>
  <si>
    <t>8E</t>
  </si>
  <si>
    <t>Ryan Gainey</t>
  </si>
  <si>
    <t>No bugs and almost done blooming</t>
  </si>
  <si>
    <t>J. Goldsby</t>
  </si>
  <si>
    <t>1D</t>
  </si>
  <si>
    <t>Floribunda</t>
  </si>
  <si>
    <t>87273-0</t>
  </si>
  <si>
    <t>2D</t>
  </si>
  <si>
    <t>Also 1 moth/butterfly</t>
  </si>
  <si>
    <t>16D</t>
  </si>
  <si>
    <t>Green Spire</t>
  </si>
  <si>
    <t>Also 1 butterfly/moth (same color as 11D)</t>
  </si>
  <si>
    <t>17D</t>
  </si>
  <si>
    <t>12B</t>
  </si>
  <si>
    <t>Lots of bracts/false sepals, zero panicles listed deliberately</t>
  </si>
  <si>
    <t>21D</t>
  </si>
  <si>
    <t>20012A</t>
  </si>
  <si>
    <t>7D</t>
  </si>
  <si>
    <t>Pink Diamond</t>
  </si>
  <si>
    <t>17B</t>
  </si>
  <si>
    <t>Limelight</t>
  </si>
  <si>
    <t>Lots of bracts and no bugs</t>
  </si>
  <si>
    <t>8D</t>
  </si>
  <si>
    <t>20B</t>
  </si>
  <si>
    <t>Only bracts and no flowers open</t>
  </si>
  <si>
    <t>5D</t>
  </si>
  <si>
    <t>Brussels Lace</t>
  </si>
  <si>
    <t>Mostly done blooming--only 2 blooms left</t>
  </si>
  <si>
    <t>5 petal common</t>
  </si>
  <si>
    <t>2 unknown skippers</t>
  </si>
  <si>
    <t>Only tops of panicles blooming, very small</t>
  </si>
  <si>
    <t>2 hummingbirds outside survey</t>
  </si>
  <si>
    <t>13D</t>
  </si>
  <si>
    <t>Almost all done blooming</t>
  </si>
  <si>
    <t>No bugs and mostly done blooming</t>
  </si>
  <si>
    <t>No bugs and nearly done blooming 8/8/24</t>
  </si>
  <si>
    <t>1 unknown moth</t>
  </si>
  <si>
    <t>Some flowers with double bracts</t>
  </si>
  <si>
    <t>Many blooms past</t>
  </si>
  <si>
    <t>E. Braatz + J. Goldsby</t>
  </si>
  <si>
    <t>1 rusty patched bumble bee seen outside of sampling time (10:45am)</t>
  </si>
  <si>
    <t>extra sepals</t>
  </si>
  <si>
    <t>Not many open flowers and colder day so fewer bugs, especially fewer small bugs</t>
  </si>
  <si>
    <t>Not many open flowers</t>
  </si>
  <si>
    <t>No pollinators seen</t>
  </si>
  <si>
    <t>Saw some flies but failed to catch</t>
  </si>
  <si>
    <t>Past bloom but still noticed a couple flies on levaes/fruit</t>
  </si>
  <si>
    <t>No pollinators seen, past bloom</t>
  </si>
  <si>
    <t>No data taken since past bloom but still noticed a couple flies on levaes/fruit</t>
  </si>
  <si>
    <t>7F</t>
  </si>
  <si>
    <t>18B</t>
  </si>
  <si>
    <t>Big Ben</t>
  </si>
  <si>
    <t>1 hummingbird outside of survey window</t>
  </si>
  <si>
    <t>Heat advisory going on</t>
  </si>
  <si>
    <t>CumulativeNumInsects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</si>
</sst>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5AF2E-97D6-4D52-BF91-56EF55F01011}">
  <dimension ref="A1:C288"/>
  <sheetViews>
    <sheetView workbookViewId="0">
      <selection activeCell="E9" sqref="E9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330</v>
      </c>
    </row>
    <row r="2" spans="1:3" x14ac:dyDescent="0.3">
      <c r="A2">
        <v>1</v>
      </c>
      <c r="B2">
        <v>5</v>
      </c>
      <c r="C2">
        <f>B2</f>
        <v>5</v>
      </c>
    </row>
    <row r="3" spans="1:3" x14ac:dyDescent="0.3">
      <c r="A3">
        <v>2</v>
      </c>
      <c r="B3">
        <v>5</v>
      </c>
      <c r="C3">
        <f>B3+C2</f>
        <v>10</v>
      </c>
    </row>
    <row r="4" spans="1:3" x14ac:dyDescent="0.3">
      <c r="A4">
        <v>3</v>
      </c>
      <c r="B4">
        <v>8</v>
      </c>
      <c r="C4">
        <f t="shared" ref="C4:C67" si="0">B4+C3</f>
        <v>18</v>
      </c>
    </row>
    <row r="5" spans="1:3" x14ac:dyDescent="0.3">
      <c r="A5">
        <v>4</v>
      </c>
      <c r="B5">
        <v>9</v>
      </c>
      <c r="C5">
        <f t="shared" si="0"/>
        <v>27</v>
      </c>
    </row>
    <row r="6" spans="1:3" x14ac:dyDescent="0.3">
      <c r="A6">
        <v>5</v>
      </c>
      <c r="B6">
        <v>11</v>
      </c>
      <c r="C6">
        <f t="shared" si="0"/>
        <v>38</v>
      </c>
    </row>
    <row r="7" spans="1:3" x14ac:dyDescent="0.3">
      <c r="A7">
        <v>6</v>
      </c>
      <c r="B7">
        <v>11</v>
      </c>
      <c r="C7">
        <f t="shared" si="0"/>
        <v>49</v>
      </c>
    </row>
    <row r="8" spans="1:3" x14ac:dyDescent="0.3">
      <c r="A8">
        <v>7</v>
      </c>
      <c r="B8">
        <v>12</v>
      </c>
      <c r="C8">
        <f t="shared" si="0"/>
        <v>61</v>
      </c>
    </row>
    <row r="9" spans="1:3" x14ac:dyDescent="0.3">
      <c r="A9">
        <v>8</v>
      </c>
      <c r="B9">
        <v>15</v>
      </c>
      <c r="C9">
        <f t="shared" si="0"/>
        <v>76</v>
      </c>
    </row>
    <row r="10" spans="1:3" x14ac:dyDescent="0.3">
      <c r="A10">
        <v>9</v>
      </c>
      <c r="B10">
        <v>15</v>
      </c>
      <c r="C10">
        <f t="shared" si="0"/>
        <v>91</v>
      </c>
    </row>
    <row r="11" spans="1:3" x14ac:dyDescent="0.3">
      <c r="A11">
        <v>10</v>
      </c>
      <c r="B11">
        <v>15</v>
      </c>
      <c r="C11">
        <f t="shared" si="0"/>
        <v>106</v>
      </c>
    </row>
    <row r="12" spans="1:3" x14ac:dyDescent="0.3">
      <c r="A12">
        <v>11</v>
      </c>
      <c r="B12">
        <v>15</v>
      </c>
      <c r="C12">
        <f t="shared" si="0"/>
        <v>121</v>
      </c>
    </row>
    <row r="13" spans="1:3" x14ac:dyDescent="0.3">
      <c r="A13">
        <v>12</v>
      </c>
      <c r="B13">
        <v>16</v>
      </c>
      <c r="C13">
        <f t="shared" si="0"/>
        <v>137</v>
      </c>
    </row>
    <row r="14" spans="1:3" x14ac:dyDescent="0.3">
      <c r="A14">
        <v>13</v>
      </c>
      <c r="B14">
        <v>17</v>
      </c>
      <c r="C14">
        <f t="shared" si="0"/>
        <v>154</v>
      </c>
    </row>
    <row r="15" spans="1:3" x14ac:dyDescent="0.3">
      <c r="A15">
        <v>14</v>
      </c>
      <c r="B15">
        <v>17</v>
      </c>
      <c r="C15">
        <f t="shared" si="0"/>
        <v>171</v>
      </c>
    </row>
    <row r="16" spans="1:3" x14ac:dyDescent="0.3">
      <c r="A16">
        <v>15</v>
      </c>
      <c r="B16">
        <v>18</v>
      </c>
      <c r="C16">
        <f t="shared" si="0"/>
        <v>189</v>
      </c>
    </row>
    <row r="17" spans="1:3" x14ac:dyDescent="0.3">
      <c r="A17">
        <v>16</v>
      </c>
      <c r="B17">
        <v>18</v>
      </c>
      <c r="C17">
        <f t="shared" si="0"/>
        <v>207</v>
      </c>
    </row>
    <row r="18" spans="1:3" x14ac:dyDescent="0.3">
      <c r="A18">
        <v>17</v>
      </c>
      <c r="B18">
        <v>18</v>
      </c>
      <c r="C18">
        <f t="shared" si="0"/>
        <v>225</v>
      </c>
    </row>
    <row r="19" spans="1:3" x14ac:dyDescent="0.3">
      <c r="A19">
        <v>18</v>
      </c>
      <c r="B19">
        <v>18</v>
      </c>
      <c r="C19">
        <f t="shared" si="0"/>
        <v>243</v>
      </c>
    </row>
    <row r="20" spans="1:3" x14ac:dyDescent="0.3">
      <c r="A20">
        <v>19</v>
      </c>
      <c r="B20">
        <v>18</v>
      </c>
      <c r="C20">
        <f t="shared" si="0"/>
        <v>261</v>
      </c>
    </row>
    <row r="21" spans="1:3" x14ac:dyDescent="0.3">
      <c r="A21">
        <v>20</v>
      </c>
      <c r="B21">
        <v>19</v>
      </c>
      <c r="C21">
        <f t="shared" si="0"/>
        <v>280</v>
      </c>
    </row>
    <row r="22" spans="1:3" x14ac:dyDescent="0.3">
      <c r="A22">
        <v>21</v>
      </c>
      <c r="B22">
        <v>21</v>
      </c>
      <c r="C22">
        <f t="shared" si="0"/>
        <v>301</v>
      </c>
    </row>
    <row r="23" spans="1:3" x14ac:dyDescent="0.3">
      <c r="A23">
        <v>22</v>
      </c>
      <c r="B23">
        <v>21</v>
      </c>
      <c r="C23">
        <f t="shared" si="0"/>
        <v>322</v>
      </c>
    </row>
    <row r="24" spans="1:3" x14ac:dyDescent="0.3">
      <c r="A24">
        <v>23</v>
      </c>
      <c r="B24">
        <v>22</v>
      </c>
      <c r="C24">
        <f t="shared" si="0"/>
        <v>344</v>
      </c>
    </row>
    <row r="25" spans="1:3" x14ac:dyDescent="0.3">
      <c r="A25">
        <v>24</v>
      </c>
      <c r="B25">
        <v>22</v>
      </c>
      <c r="C25">
        <f t="shared" si="0"/>
        <v>366</v>
      </c>
    </row>
    <row r="26" spans="1:3" x14ac:dyDescent="0.3">
      <c r="A26">
        <v>25</v>
      </c>
      <c r="B26">
        <v>22</v>
      </c>
      <c r="C26">
        <f t="shared" si="0"/>
        <v>388</v>
      </c>
    </row>
    <row r="27" spans="1:3" x14ac:dyDescent="0.3">
      <c r="A27">
        <v>26</v>
      </c>
      <c r="B27">
        <v>23</v>
      </c>
      <c r="C27">
        <f t="shared" si="0"/>
        <v>411</v>
      </c>
    </row>
    <row r="28" spans="1:3" x14ac:dyDescent="0.3">
      <c r="A28">
        <v>27</v>
      </c>
      <c r="B28">
        <v>23</v>
      </c>
      <c r="C28">
        <f t="shared" si="0"/>
        <v>434</v>
      </c>
    </row>
    <row r="29" spans="1:3" x14ac:dyDescent="0.3">
      <c r="A29">
        <v>28</v>
      </c>
      <c r="B29">
        <v>24</v>
      </c>
      <c r="C29">
        <f t="shared" si="0"/>
        <v>458</v>
      </c>
    </row>
    <row r="30" spans="1:3" x14ac:dyDescent="0.3">
      <c r="A30">
        <v>29</v>
      </c>
      <c r="B30">
        <v>24</v>
      </c>
      <c r="C30">
        <f t="shared" si="0"/>
        <v>482</v>
      </c>
    </row>
    <row r="31" spans="1:3" x14ac:dyDescent="0.3">
      <c r="A31">
        <v>30</v>
      </c>
      <c r="B31">
        <v>24</v>
      </c>
      <c r="C31">
        <f t="shared" si="0"/>
        <v>506</v>
      </c>
    </row>
    <row r="32" spans="1:3" x14ac:dyDescent="0.3">
      <c r="A32">
        <v>31</v>
      </c>
      <c r="B32">
        <v>24</v>
      </c>
      <c r="C32">
        <f t="shared" si="0"/>
        <v>530</v>
      </c>
    </row>
    <row r="33" spans="1:3" x14ac:dyDescent="0.3">
      <c r="A33">
        <v>32</v>
      </c>
      <c r="B33">
        <v>26</v>
      </c>
      <c r="C33">
        <f t="shared" si="0"/>
        <v>556</v>
      </c>
    </row>
    <row r="34" spans="1:3" x14ac:dyDescent="0.3">
      <c r="A34">
        <v>33</v>
      </c>
      <c r="B34">
        <v>27</v>
      </c>
      <c r="C34">
        <f t="shared" si="0"/>
        <v>583</v>
      </c>
    </row>
    <row r="35" spans="1:3" x14ac:dyDescent="0.3">
      <c r="A35">
        <v>34</v>
      </c>
      <c r="B35">
        <v>27</v>
      </c>
      <c r="C35">
        <f t="shared" si="0"/>
        <v>610</v>
      </c>
    </row>
    <row r="36" spans="1:3" x14ac:dyDescent="0.3">
      <c r="A36">
        <v>35</v>
      </c>
      <c r="B36">
        <v>27</v>
      </c>
      <c r="C36">
        <f t="shared" si="0"/>
        <v>637</v>
      </c>
    </row>
    <row r="37" spans="1:3" x14ac:dyDescent="0.3">
      <c r="A37">
        <v>36</v>
      </c>
      <c r="B37">
        <v>27</v>
      </c>
      <c r="C37">
        <f t="shared" si="0"/>
        <v>664</v>
      </c>
    </row>
    <row r="38" spans="1:3" x14ac:dyDescent="0.3">
      <c r="A38">
        <v>37</v>
      </c>
      <c r="B38">
        <v>27</v>
      </c>
      <c r="C38">
        <f t="shared" si="0"/>
        <v>691</v>
      </c>
    </row>
    <row r="39" spans="1:3" x14ac:dyDescent="0.3">
      <c r="A39">
        <v>38</v>
      </c>
      <c r="B39">
        <v>27</v>
      </c>
      <c r="C39">
        <f t="shared" si="0"/>
        <v>718</v>
      </c>
    </row>
    <row r="40" spans="1:3" x14ac:dyDescent="0.3">
      <c r="A40">
        <v>39</v>
      </c>
      <c r="B40">
        <v>27</v>
      </c>
      <c r="C40">
        <f t="shared" si="0"/>
        <v>745</v>
      </c>
    </row>
    <row r="41" spans="1:3" x14ac:dyDescent="0.3">
      <c r="A41">
        <v>40</v>
      </c>
      <c r="B41">
        <v>28</v>
      </c>
      <c r="C41">
        <f t="shared" si="0"/>
        <v>773</v>
      </c>
    </row>
    <row r="42" spans="1:3" x14ac:dyDescent="0.3">
      <c r="A42">
        <v>41</v>
      </c>
      <c r="B42">
        <v>29</v>
      </c>
      <c r="C42">
        <f t="shared" si="0"/>
        <v>802</v>
      </c>
    </row>
    <row r="43" spans="1:3" x14ac:dyDescent="0.3">
      <c r="A43">
        <v>42</v>
      </c>
      <c r="B43">
        <v>29</v>
      </c>
      <c r="C43">
        <f t="shared" si="0"/>
        <v>831</v>
      </c>
    </row>
    <row r="44" spans="1:3" x14ac:dyDescent="0.3">
      <c r="A44">
        <v>43</v>
      </c>
      <c r="B44">
        <v>29</v>
      </c>
      <c r="C44">
        <f t="shared" si="0"/>
        <v>860</v>
      </c>
    </row>
    <row r="45" spans="1:3" x14ac:dyDescent="0.3">
      <c r="A45">
        <v>44</v>
      </c>
      <c r="B45">
        <v>29</v>
      </c>
      <c r="C45">
        <f t="shared" si="0"/>
        <v>889</v>
      </c>
    </row>
    <row r="46" spans="1:3" x14ac:dyDescent="0.3">
      <c r="A46">
        <v>45</v>
      </c>
      <c r="B46">
        <v>29</v>
      </c>
      <c r="C46">
        <f t="shared" si="0"/>
        <v>918</v>
      </c>
    </row>
    <row r="47" spans="1:3" x14ac:dyDescent="0.3">
      <c r="A47">
        <v>46</v>
      </c>
      <c r="B47">
        <v>30</v>
      </c>
      <c r="C47">
        <f t="shared" si="0"/>
        <v>948</v>
      </c>
    </row>
    <row r="48" spans="1:3" x14ac:dyDescent="0.3">
      <c r="A48">
        <v>47</v>
      </c>
      <c r="B48">
        <v>30</v>
      </c>
      <c r="C48">
        <f t="shared" si="0"/>
        <v>978</v>
      </c>
    </row>
    <row r="49" spans="1:3" x14ac:dyDescent="0.3">
      <c r="A49">
        <v>48</v>
      </c>
      <c r="B49">
        <v>31</v>
      </c>
      <c r="C49">
        <f t="shared" si="0"/>
        <v>1009</v>
      </c>
    </row>
    <row r="50" spans="1:3" x14ac:dyDescent="0.3">
      <c r="A50">
        <v>49</v>
      </c>
      <c r="B50">
        <v>33</v>
      </c>
      <c r="C50">
        <f t="shared" si="0"/>
        <v>1042</v>
      </c>
    </row>
    <row r="51" spans="1:3" x14ac:dyDescent="0.3">
      <c r="A51">
        <v>50</v>
      </c>
      <c r="B51">
        <v>33</v>
      </c>
      <c r="C51">
        <f t="shared" si="0"/>
        <v>1075</v>
      </c>
    </row>
    <row r="52" spans="1:3" x14ac:dyDescent="0.3">
      <c r="A52">
        <v>51</v>
      </c>
      <c r="B52">
        <v>33</v>
      </c>
      <c r="C52">
        <f t="shared" si="0"/>
        <v>1108</v>
      </c>
    </row>
    <row r="53" spans="1:3" x14ac:dyDescent="0.3">
      <c r="A53">
        <v>52</v>
      </c>
      <c r="B53">
        <v>33</v>
      </c>
      <c r="C53">
        <f t="shared" si="0"/>
        <v>1141</v>
      </c>
    </row>
    <row r="54" spans="1:3" x14ac:dyDescent="0.3">
      <c r="A54">
        <v>53</v>
      </c>
      <c r="B54">
        <v>34</v>
      </c>
      <c r="C54">
        <f t="shared" si="0"/>
        <v>1175</v>
      </c>
    </row>
    <row r="55" spans="1:3" x14ac:dyDescent="0.3">
      <c r="A55">
        <v>54</v>
      </c>
      <c r="B55">
        <v>34</v>
      </c>
      <c r="C55">
        <f t="shared" si="0"/>
        <v>1209</v>
      </c>
    </row>
    <row r="56" spans="1:3" x14ac:dyDescent="0.3">
      <c r="A56">
        <v>55</v>
      </c>
      <c r="B56">
        <v>34</v>
      </c>
      <c r="C56">
        <f t="shared" si="0"/>
        <v>1243</v>
      </c>
    </row>
    <row r="57" spans="1:3" x14ac:dyDescent="0.3">
      <c r="A57">
        <v>56</v>
      </c>
      <c r="B57">
        <v>34</v>
      </c>
      <c r="C57">
        <f t="shared" si="0"/>
        <v>1277</v>
      </c>
    </row>
    <row r="58" spans="1:3" x14ac:dyDescent="0.3">
      <c r="A58">
        <v>57</v>
      </c>
      <c r="B58">
        <v>34</v>
      </c>
      <c r="C58">
        <f t="shared" si="0"/>
        <v>1311</v>
      </c>
    </row>
    <row r="59" spans="1:3" x14ac:dyDescent="0.3">
      <c r="A59">
        <v>58</v>
      </c>
      <c r="B59">
        <v>34</v>
      </c>
      <c r="C59">
        <f t="shared" si="0"/>
        <v>1345</v>
      </c>
    </row>
    <row r="60" spans="1:3" x14ac:dyDescent="0.3">
      <c r="A60">
        <v>59</v>
      </c>
      <c r="B60">
        <v>35</v>
      </c>
      <c r="C60">
        <f t="shared" si="0"/>
        <v>1380</v>
      </c>
    </row>
    <row r="61" spans="1:3" x14ac:dyDescent="0.3">
      <c r="A61">
        <v>60</v>
      </c>
      <c r="B61">
        <v>35</v>
      </c>
      <c r="C61">
        <f t="shared" si="0"/>
        <v>1415</v>
      </c>
    </row>
    <row r="62" spans="1:3" x14ac:dyDescent="0.3">
      <c r="A62">
        <v>61</v>
      </c>
      <c r="B62">
        <v>35</v>
      </c>
      <c r="C62">
        <f t="shared" si="0"/>
        <v>1450</v>
      </c>
    </row>
    <row r="63" spans="1:3" x14ac:dyDescent="0.3">
      <c r="A63">
        <v>62</v>
      </c>
      <c r="B63">
        <v>35</v>
      </c>
      <c r="C63">
        <f t="shared" si="0"/>
        <v>1485</v>
      </c>
    </row>
    <row r="64" spans="1:3" x14ac:dyDescent="0.3">
      <c r="A64">
        <v>63</v>
      </c>
      <c r="B64">
        <v>35</v>
      </c>
      <c r="C64">
        <f t="shared" si="0"/>
        <v>1520</v>
      </c>
    </row>
    <row r="65" spans="1:3" x14ac:dyDescent="0.3">
      <c r="A65">
        <v>64</v>
      </c>
      <c r="B65">
        <v>35</v>
      </c>
      <c r="C65">
        <f t="shared" si="0"/>
        <v>1555</v>
      </c>
    </row>
    <row r="66" spans="1:3" x14ac:dyDescent="0.3">
      <c r="A66">
        <v>65</v>
      </c>
      <c r="B66">
        <v>36</v>
      </c>
      <c r="C66">
        <f t="shared" si="0"/>
        <v>1591</v>
      </c>
    </row>
    <row r="67" spans="1:3" x14ac:dyDescent="0.3">
      <c r="A67">
        <v>66</v>
      </c>
      <c r="B67">
        <v>36</v>
      </c>
      <c r="C67">
        <f t="shared" si="0"/>
        <v>1627</v>
      </c>
    </row>
    <row r="68" spans="1:3" x14ac:dyDescent="0.3">
      <c r="A68">
        <v>67</v>
      </c>
      <c r="B68">
        <v>37</v>
      </c>
      <c r="C68">
        <f t="shared" ref="C68:C131" si="1">B68+C67</f>
        <v>1664</v>
      </c>
    </row>
    <row r="69" spans="1:3" x14ac:dyDescent="0.3">
      <c r="A69">
        <v>68</v>
      </c>
      <c r="B69">
        <v>38</v>
      </c>
      <c r="C69">
        <f t="shared" si="1"/>
        <v>1702</v>
      </c>
    </row>
    <row r="70" spans="1:3" x14ac:dyDescent="0.3">
      <c r="A70">
        <v>69</v>
      </c>
      <c r="B70">
        <v>39</v>
      </c>
      <c r="C70">
        <f t="shared" si="1"/>
        <v>1741</v>
      </c>
    </row>
    <row r="71" spans="1:3" x14ac:dyDescent="0.3">
      <c r="A71">
        <v>70</v>
      </c>
      <c r="B71">
        <v>40</v>
      </c>
      <c r="C71">
        <f t="shared" si="1"/>
        <v>1781</v>
      </c>
    </row>
    <row r="72" spans="1:3" x14ac:dyDescent="0.3">
      <c r="A72">
        <v>71</v>
      </c>
      <c r="B72">
        <v>40</v>
      </c>
      <c r="C72">
        <f t="shared" si="1"/>
        <v>1821</v>
      </c>
    </row>
    <row r="73" spans="1:3" x14ac:dyDescent="0.3">
      <c r="A73">
        <v>72</v>
      </c>
      <c r="B73">
        <v>40</v>
      </c>
      <c r="C73">
        <f t="shared" si="1"/>
        <v>1861</v>
      </c>
    </row>
    <row r="74" spans="1:3" x14ac:dyDescent="0.3">
      <c r="A74">
        <v>73</v>
      </c>
      <c r="B74">
        <v>40</v>
      </c>
      <c r="C74">
        <f t="shared" si="1"/>
        <v>1901</v>
      </c>
    </row>
    <row r="75" spans="1:3" x14ac:dyDescent="0.3">
      <c r="A75">
        <v>74</v>
      </c>
      <c r="B75">
        <v>40</v>
      </c>
      <c r="C75">
        <f t="shared" si="1"/>
        <v>1941</v>
      </c>
    </row>
    <row r="76" spans="1:3" x14ac:dyDescent="0.3">
      <c r="A76">
        <v>75</v>
      </c>
      <c r="B76">
        <v>41</v>
      </c>
      <c r="C76">
        <f t="shared" si="1"/>
        <v>1982</v>
      </c>
    </row>
    <row r="77" spans="1:3" x14ac:dyDescent="0.3">
      <c r="A77">
        <v>76</v>
      </c>
      <c r="B77">
        <v>42</v>
      </c>
      <c r="C77">
        <f t="shared" si="1"/>
        <v>2024</v>
      </c>
    </row>
    <row r="78" spans="1:3" x14ac:dyDescent="0.3">
      <c r="A78">
        <v>77</v>
      </c>
      <c r="B78">
        <v>43</v>
      </c>
      <c r="C78">
        <f t="shared" si="1"/>
        <v>2067</v>
      </c>
    </row>
    <row r="79" spans="1:3" x14ac:dyDescent="0.3">
      <c r="A79">
        <v>78</v>
      </c>
      <c r="B79">
        <v>43</v>
      </c>
      <c r="C79">
        <f t="shared" si="1"/>
        <v>2110</v>
      </c>
    </row>
    <row r="80" spans="1:3" x14ac:dyDescent="0.3">
      <c r="A80">
        <v>79</v>
      </c>
      <c r="B80">
        <v>44</v>
      </c>
      <c r="C80">
        <f t="shared" si="1"/>
        <v>2154</v>
      </c>
    </row>
    <row r="81" spans="1:3" x14ac:dyDescent="0.3">
      <c r="A81">
        <v>80</v>
      </c>
      <c r="B81">
        <v>44</v>
      </c>
      <c r="C81">
        <f t="shared" si="1"/>
        <v>2198</v>
      </c>
    </row>
    <row r="82" spans="1:3" x14ac:dyDescent="0.3">
      <c r="A82">
        <v>81</v>
      </c>
      <c r="B82">
        <v>44</v>
      </c>
      <c r="C82">
        <f t="shared" si="1"/>
        <v>2242</v>
      </c>
    </row>
    <row r="83" spans="1:3" x14ac:dyDescent="0.3">
      <c r="A83">
        <v>82</v>
      </c>
      <c r="B83">
        <v>44</v>
      </c>
      <c r="C83">
        <f t="shared" si="1"/>
        <v>2286</v>
      </c>
    </row>
    <row r="84" spans="1:3" x14ac:dyDescent="0.3">
      <c r="A84">
        <v>83</v>
      </c>
      <c r="B84">
        <v>44</v>
      </c>
      <c r="C84">
        <f t="shared" si="1"/>
        <v>2330</v>
      </c>
    </row>
    <row r="85" spans="1:3" x14ac:dyDescent="0.3">
      <c r="A85">
        <v>84</v>
      </c>
      <c r="B85">
        <v>44</v>
      </c>
      <c r="C85">
        <f t="shared" si="1"/>
        <v>2374</v>
      </c>
    </row>
    <row r="86" spans="1:3" x14ac:dyDescent="0.3">
      <c r="A86">
        <v>85</v>
      </c>
      <c r="B86">
        <v>44</v>
      </c>
      <c r="C86">
        <f t="shared" si="1"/>
        <v>2418</v>
      </c>
    </row>
    <row r="87" spans="1:3" x14ac:dyDescent="0.3">
      <c r="A87">
        <v>86</v>
      </c>
      <c r="B87">
        <v>44</v>
      </c>
      <c r="C87">
        <f t="shared" si="1"/>
        <v>2462</v>
      </c>
    </row>
    <row r="88" spans="1:3" x14ac:dyDescent="0.3">
      <c r="A88">
        <v>87</v>
      </c>
      <c r="B88">
        <v>44</v>
      </c>
      <c r="C88">
        <f t="shared" si="1"/>
        <v>2506</v>
      </c>
    </row>
    <row r="89" spans="1:3" x14ac:dyDescent="0.3">
      <c r="A89">
        <v>88</v>
      </c>
      <c r="B89">
        <v>44</v>
      </c>
      <c r="C89">
        <f t="shared" si="1"/>
        <v>2550</v>
      </c>
    </row>
    <row r="90" spans="1:3" x14ac:dyDescent="0.3">
      <c r="A90">
        <v>89</v>
      </c>
      <c r="B90">
        <v>45</v>
      </c>
      <c r="C90">
        <f t="shared" si="1"/>
        <v>2595</v>
      </c>
    </row>
    <row r="91" spans="1:3" x14ac:dyDescent="0.3">
      <c r="A91">
        <v>90</v>
      </c>
      <c r="B91">
        <v>45</v>
      </c>
      <c r="C91">
        <f t="shared" si="1"/>
        <v>2640</v>
      </c>
    </row>
    <row r="92" spans="1:3" x14ac:dyDescent="0.3">
      <c r="A92">
        <v>91</v>
      </c>
      <c r="B92">
        <v>45</v>
      </c>
      <c r="C92">
        <f t="shared" si="1"/>
        <v>2685</v>
      </c>
    </row>
    <row r="93" spans="1:3" x14ac:dyDescent="0.3">
      <c r="A93">
        <v>92</v>
      </c>
      <c r="B93">
        <v>45</v>
      </c>
      <c r="C93">
        <f t="shared" si="1"/>
        <v>2730</v>
      </c>
    </row>
    <row r="94" spans="1:3" x14ac:dyDescent="0.3">
      <c r="A94">
        <v>93</v>
      </c>
      <c r="B94">
        <v>45</v>
      </c>
      <c r="C94">
        <f t="shared" si="1"/>
        <v>2775</v>
      </c>
    </row>
    <row r="95" spans="1:3" x14ac:dyDescent="0.3">
      <c r="A95">
        <v>94</v>
      </c>
      <c r="B95">
        <v>45</v>
      </c>
      <c r="C95">
        <f t="shared" si="1"/>
        <v>2820</v>
      </c>
    </row>
    <row r="96" spans="1:3" x14ac:dyDescent="0.3">
      <c r="A96">
        <v>95</v>
      </c>
      <c r="B96">
        <v>46</v>
      </c>
      <c r="C96">
        <f t="shared" si="1"/>
        <v>2866</v>
      </c>
    </row>
    <row r="97" spans="1:3" x14ac:dyDescent="0.3">
      <c r="A97">
        <v>96</v>
      </c>
      <c r="B97">
        <v>46</v>
      </c>
      <c r="C97">
        <f t="shared" si="1"/>
        <v>2912</v>
      </c>
    </row>
    <row r="98" spans="1:3" x14ac:dyDescent="0.3">
      <c r="A98">
        <v>97</v>
      </c>
      <c r="B98">
        <v>46</v>
      </c>
      <c r="C98">
        <f t="shared" si="1"/>
        <v>2958</v>
      </c>
    </row>
    <row r="99" spans="1:3" x14ac:dyDescent="0.3">
      <c r="A99">
        <v>98</v>
      </c>
      <c r="B99">
        <v>46</v>
      </c>
      <c r="C99">
        <f t="shared" si="1"/>
        <v>3004</v>
      </c>
    </row>
    <row r="100" spans="1:3" x14ac:dyDescent="0.3">
      <c r="A100">
        <v>99</v>
      </c>
      <c r="B100">
        <v>46</v>
      </c>
      <c r="C100">
        <f t="shared" si="1"/>
        <v>3050</v>
      </c>
    </row>
    <row r="101" spans="1:3" x14ac:dyDescent="0.3">
      <c r="A101">
        <v>100</v>
      </c>
      <c r="B101">
        <v>46</v>
      </c>
      <c r="C101">
        <f t="shared" si="1"/>
        <v>3096</v>
      </c>
    </row>
    <row r="102" spans="1:3" x14ac:dyDescent="0.3">
      <c r="A102">
        <v>101</v>
      </c>
      <c r="B102">
        <v>46</v>
      </c>
      <c r="C102">
        <f t="shared" si="1"/>
        <v>3142</v>
      </c>
    </row>
    <row r="103" spans="1:3" x14ac:dyDescent="0.3">
      <c r="A103">
        <v>102</v>
      </c>
      <c r="B103">
        <v>46</v>
      </c>
      <c r="C103">
        <f t="shared" si="1"/>
        <v>3188</v>
      </c>
    </row>
    <row r="104" spans="1:3" x14ac:dyDescent="0.3">
      <c r="A104">
        <v>103</v>
      </c>
      <c r="B104">
        <v>46</v>
      </c>
      <c r="C104">
        <f t="shared" si="1"/>
        <v>3234</v>
      </c>
    </row>
    <row r="105" spans="1:3" x14ac:dyDescent="0.3">
      <c r="A105">
        <v>104</v>
      </c>
      <c r="B105">
        <v>46</v>
      </c>
      <c r="C105">
        <f t="shared" si="1"/>
        <v>3280</v>
      </c>
    </row>
    <row r="106" spans="1:3" x14ac:dyDescent="0.3">
      <c r="A106">
        <v>105</v>
      </c>
      <c r="B106">
        <v>47</v>
      </c>
      <c r="C106">
        <f t="shared" si="1"/>
        <v>3327</v>
      </c>
    </row>
    <row r="107" spans="1:3" x14ac:dyDescent="0.3">
      <c r="A107">
        <v>106</v>
      </c>
      <c r="B107">
        <v>48</v>
      </c>
      <c r="C107">
        <f t="shared" si="1"/>
        <v>3375</v>
      </c>
    </row>
    <row r="108" spans="1:3" x14ac:dyDescent="0.3">
      <c r="A108">
        <v>107</v>
      </c>
      <c r="B108">
        <v>48</v>
      </c>
      <c r="C108">
        <f t="shared" si="1"/>
        <v>3423</v>
      </c>
    </row>
    <row r="109" spans="1:3" x14ac:dyDescent="0.3">
      <c r="A109">
        <v>108</v>
      </c>
      <c r="B109">
        <v>48</v>
      </c>
      <c r="C109">
        <f t="shared" si="1"/>
        <v>3471</v>
      </c>
    </row>
    <row r="110" spans="1:3" x14ac:dyDescent="0.3">
      <c r="A110">
        <v>109</v>
      </c>
      <c r="B110">
        <v>48</v>
      </c>
      <c r="C110">
        <f t="shared" si="1"/>
        <v>3519</v>
      </c>
    </row>
    <row r="111" spans="1:3" x14ac:dyDescent="0.3">
      <c r="A111">
        <v>110</v>
      </c>
      <c r="B111">
        <v>49</v>
      </c>
      <c r="C111">
        <f t="shared" si="1"/>
        <v>3568</v>
      </c>
    </row>
    <row r="112" spans="1:3" x14ac:dyDescent="0.3">
      <c r="A112">
        <v>111</v>
      </c>
      <c r="B112">
        <v>49</v>
      </c>
      <c r="C112">
        <f t="shared" si="1"/>
        <v>3617</v>
      </c>
    </row>
    <row r="113" spans="1:3" x14ac:dyDescent="0.3">
      <c r="A113">
        <v>112</v>
      </c>
      <c r="B113">
        <v>50</v>
      </c>
      <c r="C113">
        <f t="shared" si="1"/>
        <v>3667</v>
      </c>
    </row>
    <row r="114" spans="1:3" x14ac:dyDescent="0.3">
      <c r="A114">
        <v>113</v>
      </c>
      <c r="B114">
        <v>50</v>
      </c>
      <c r="C114">
        <f t="shared" si="1"/>
        <v>3717</v>
      </c>
    </row>
    <row r="115" spans="1:3" x14ac:dyDescent="0.3">
      <c r="A115">
        <v>114</v>
      </c>
      <c r="B115">
        <v>50</v>
      </c>
      <c r="C115">
        <f t="shared" si="1"/>
        <v>3767</v>
      </c>
    </row>
    <row r="116" spans="1:3" x14ac:dyDescent="0.3">
      <c r="A116">
        <v>115</v>
      </c>
      <c r="B116">
        <v>50</v>
      </c>
      <c r="C116">
        <f t="shared" si="1"/>
        <v>3817</v>
      </c>
    </row>
    <row r="117" spans="1:3" x14ac:dyDescent="0.3">
      <c r="A117">
        <v>116</v>
      </c>
      <c r="B117">
        <v>50</v>
      </c>
      <c r="C117">
        <f t="shared" si="1"/>
        <v>3867</v>
      </c>
    </row>
    <row r="118" spans="1:3" x14ac:dyDescent="0.3">
      <c r="A118">
        <v>117</v>
      </c>
      <c r="B118">
        <v>50</v>
      </c>
      <c r="C118">
        <f t="shared" si="1"/>
        <v>3917</v>
      </c>
    </row>
    <row r="119" spans="1:3" x14ac:dyDescent="0.3">
      <c r="A119">
        <v>118</v>
      </c>
      <c r="B119">
        <v>50</v>
      </c>
      <c r="C119">
        <f t="shared" si="1"/>
        <v>3967</v>
      </c>
    </row>
    <row r="120" spans="1:3" x14ac:dyDescent="0.3">
      <c r="A120">
        <v>119</v>
      </c>
      <c r="B120">
        <v>50</v>
      </c>
      <c r="C120">
        <f t="shared" si="1"/>
        <v>4017</v>
      </c>
    </row>
    <row r="121" spans="1:3" x14ac:dyDescent="0.3">
      <c r="A121">
        <v>120</v>
      </c>
      <c r="B121">
        <v>50</v>
      </c>
      <c r="C121">
        <f t="shared" si="1"/>
        <v>4067</v>
      </c>
    </row>
    <row r="122" spans="1:3" x14ac:dyDescent="0.3">
      <c r="A122">
        <v>121</v>
      </c>
      <c r="B122">
        <v>50</v>
      </c>
      <c r="C122">
        <f t="shared" si="1"/>
        <v>4117</v>
      </c>
    </row>
    <row r="123" spans="1:3" x14ac:dyDescent="0.3">
      <c r="A123">
        <v>122</v>
      </c>
      <c r="B123">
        <v>50</v>
      </c>
      <c r="C123">
        <f t="shared" si="1"/>
        <v>4167</v>
      </c>
    </row>
    <row r="124" spans="1:3" x14ac:dyDescent="0.3">
      <c r="A124">
        <v>123</v>
      </c>
      <c r="B124">
        <v>50</v>
      </c>
      <c r="C124">
        <f t="shared" si="1"/>
        <v>4217</v>
      </c>
    </row>
    <row r="125" spans="1:3" x14ac:dyDescent="0.3">
      <c r="A125">
        <v>124</v>
      </c>
      <c r="B125">
        <v>50</v>
      </c>
      <c r="C125">
        <f t="shared" si="1"/>
        <v>4267</v>
      </c>
    </row>
    <row r="126" spans="1:3" x14ac:dyDescent="0.3">
      <c r="A126">
        <v>125</v>
      </c>
      <c r="B126">
        <v>50</v>
      </c>
      <c r="C126">
        <f t="shared" si="1"/>
        <v>4317</v>
      </c>
    </row>
    <row r="127" spans="1:3" x14ac:dyDescent="0.3">
      <c r="A127">
        <v>126</v>
      </c>
      <c r="B127">
        <v>50</v>
      </c>
      <c r="C127">
        <f t="shared" si="1"/>
        <v>4367</v>
      </c>
    </row>
    <row r="128" spans="1:3" x14ac:dyDescent="0.3">
      <c r="A128">
        <v>127</v>
      </c>
      <c r="B128">
        <v>50</v>
      </c>
      <c r="C128">
        <f t="shared" si="1"/>
        <v>4417</v>
      </c>
    </row>
    <row r="129" spans="1:3" x14ac:dyDescent="0.3">
      <c r="A129">
        <v>128</v>
      </c>
      <c r="B129">
        <v>50</v>
      </c>
      <c r="C129">
        <f t="shared" si="1"/>
        <v>4467</v>
      </c>
    </row>
    <row r="130" spans="1:3" x14ac:dyDescent="0.3">
      <c r="A130">
        <v>129</v>
      </c>
      <c r="B130">
        <v>50</v>
      </c>
      <c r="C130">
        <f t="shared" si="1"/>
        <v>4517</v>
      </c>
    </row>
    <row r="131" spans="1:3" x14ac:dyDescent="0.3">
      <c r="A131">
        <v>130</v>
      </c>
      <c r="B131">
        <v>50</v>
      </c>
      <c r="C131">
        <f t="shared" si="1"/>
        <v>4567</v>
      </c>
    </row>
    <row r="132" spans="1:3" x14ac:dyDescent="0.3">
      <c r="A132">
        <v>131</v>
      </c>
      <c r="B132">
        <v>51</v>
      </c>
      <c r="C132">
        <f t="shared" ref="C132:C195" si="2">B132+C131</f>
        <v>4618</v>
      </c>
    </row>
    <row r="133" spans="1:3" x14ac:dyDescent="0.3">
      <c r="A133">
        <v>132</v>
      </c>
      <c r="B133">
        <v>51</v>
      </c>
      <c r="C133">
        <f t="shared" si="2"/>
        <v>4669</v>
      </c>
    </row>
    <row r="134" spans="1:3" x14ac:dyDescent="0.3">
      <c r="A134">
        <v>133</v>
      </c>
      <c r="B134">
        <v>51</v>
      </c>
      <c r="C134">
        <f t="shared" si="2"/>
        <v>4720</v>
      </c>
    </row>
    <row r="135" spans="1:3" x14ac:dyDescent="0.3">
      <c r="A135">
        <v>134</v>
      </c>
      <c r="B135">
        <v>51</v>
      </c>
      <c r="C135">
        <f t="shared" si="2"/>
        <v>4771</v>
      </c>
    </row>
    <row r="136" spans="1:3" x14ac:dyDescent="0.3">
      <c r="A136">
        <v>135</v>
      </c>
      <c r="B136">
        <v>51</v>
      </c>
      <c r="C136">
        <f t="shared" si="2"/>
        <v>4822</v>
      </c>
    </row>
    <row r="137" spans="1:3" x14ac:dyDescent="0.3">
      <c r="A137">
        <v>136</v>
      </c>
      <c r="B137">
        <v>52</v>
      </c>
      <c r="C137">
        <f t="shared" si="2"/>
        <v>4874</v>
      </c>
    </row>
    <row r="138" spans="1:3" x14ac:dyDescent="0.3">
      <c r="A138">
        <v>137</v>
      </c>
      <c r="B138">
        <v>52</v>
      </c>
      <c r="C138">
        <f t="shared" si="2"/>
        <v>4926</v>
      </c>
    </row>
    <row r="139" spans="1:3" x14ac:dyDescent="0.3">
      <c r="A139">
        <v>138</v>
      </c>
      <c r="B139">
        <v>52</v>
      </c>
      <c r="C139">
        <f t="shared" si="2"/>
        <v>4978</v>
      </c>
    </row>
    <row r="140" spans="1:3" x14ac:dyDescent="0.3">
      <c r="A140">
        <v>139</v>
      </c>
      <c r="B140">
        <v>52</v>
      </c>
      <c r="C140">
        <f t="shared" si="2"/>
        <v>5030</v>
      </c>
    </row>
    <row r="141" spans="1:3" x14ac:dyDescent="0.3">
      <c r="A141">
        <v>140</v>
      </c>
      <c r="B141">
        <v>52</v>
      </c>
      <c r="C141">
        <f t="shared" si="2"/>
        <v>5082</v>
      </c>
    </row>
    <row r="142" spans="1:3" x14ac:dyDescent="0.3">
      <c r="A142">
        <v>141</v>
      </c>
      <c r="B142">
        <v>52</v>
      </c>
      <c r="C142">
        <f t="shared" si="2"/>
        <v>5134</v>
      </c>
    </row>
    <row r="143" spans="1:3" x14ac:dyDescent="0.3">
      <c r="A143">
        <v>142</v>
      </c>
      <c r="B143">
        <v>53</v>
      </c>
      <c r="C143">
        <f t="shared" si="2"/>
        <v>5187</v>
      </c>
    </row>
    <row r="144" spans="1:3" x14ac:dyDescent="0.3">
      <c r="A144">
        <v>143</v>
      </c>
      <c r="B144">
        <v>53</v>
      </c>
      <c r="C144">
        <f t="shared" si="2"/>
        <v>5240</v>
      </c>
    </row>
    <row r="145" spans="1:3" x14ac:dyDescent="0.3">
      <c r="A145">
        <v>144</v>
      </c>
      <c r="B145">
        <v>54</v>
      </c>
      <c r="C145">
        <f t="shared" si="2"/>
        <v>5294</v>
      </c>
    </row>
    <row r="146" spans="1:3" x14ac:dyDescent="0.3">
      <c r="A146">
        <v>145</v>
      </c>
      <c r="B146">
        <v>54</v>
      </c>
      <c r="C146">
        <f t="shared" si="2"/>
        <v>5348</v>
      </c>
    </row>
    <row r="147" spans="1:3" x14ac:dyDescent="0.3">
      <c r="A147">
        <v>146</v>
      </c>
      <c r="B147">
        <v>54</v>
      </c>
      <c r="C147">
        <f t="shared" si="2"/>
        <v>5402</v>
      </c>
    </row>
    <row r="148" spans="1:3" x14ac:dyDescent="0.3">
      <c r="A148">
        <v>147</v>
      </c>
      <c r="B148">
        <v>54</v>
      </c>
      <c r="C148">
        <f t="shared" si="2"/>
        <v>5456</v>
      </c>
    </row>
    <row r="149" spans="1:3" x14ac:dyDescent="0.3">
      <c r="A149">
        <v>148</v>
      </c>
      <c r="B149">
        <v>54</v>
      </c>
      <c r="C149">
        <f t="shared" si="2"/>
        <v>5510</v>
      </c>
    </row>
    <row r="150" spans="1:3" x14ac:dyDescent="0.3">
      <c r="A150">
        <v>149</v>
      </c>
      <c r="B150">
        <v>54</v>
      </c>
      <c r="C150">
        <f t="shared" si="2"/>
        <v>5564</v>
      </c>
    </row>
    <row r="151" spans="1:3" x14ac:dyDescent="0.3">
      <c r="A151">
        <v>150</v>
      </c>
      <c r="B151">
        <v>54</v>
      </c>
      <c r="C151">
        <f t="shared" si="2"/>
        <v>5618</v>
      </c>
    </row>
    <row r="152" spans="1:3" x14ac:dyDescent="0.3">
      <c r="A152">
        <v>151</v>
      </c>
      <c r="B152">
        <v>54</v>
      </c>
      <c r="C152">
        <f t="shared" si="2"/>
        <v>5672</v>
      </c>
    </row>
    <row r="153" spans="1:3" x14ac:dyDescent="0.3">
      <c r="A153">
        <v>152</v>
      </c>
      <c r="B153">
        <v>54</v>
      </c>
      <c r="C153">
        <f t="shared" si="2"/>
        <v>5726</v>
      </c>
    </row>
    <row r="154" spans="1:3" x14ac:dyDescent="0.3">
      <c r="A154">
        <v>153</v>
      </c>
      <c r="B154">
        <v>54</v>
      </c>
      <c r="C154">
        <f t="shared" si="2"/>
        <v>5780</v>
      </c>
    </row>
    <row r="155" spans="1:3" x14ac:dyDescent="0.3">
      <c r="A155">
        <v>154</v>
      </c>
      <c r="B155">
        <v>54</v>
      </c>
      <c r="C155">
        <f t="shared" si="2"/>
        <v>5834</v>
      </c>
    </row>
    <row r="156" spans="1:3" x14ac:dyDescent="0.3">
      <c r="A156">
        <v>155</v>
      </c>
      <c r="B156">
        <v>54</v>
      </c>
      <c r="C156">
        <f t="shared" si="2"/>
        <v>5888</v>
      </c>
    </row>
    <row r="157" spans="1:3" x14ac:dyDescent="0.3">
      <c r="A157">
        <v>156</v>
      </c>
      <c r="B157">
        <v>55</v>
      </c>
      <c r="C157">
        <f t="shared" si="2"/>
        <v>5943</v>
      </c>
    </row>
    <row r="158" spans="1:3" x14ac:dyDescent="0.3">
      <c r="A158">
        <v>157</v>
      </c>
      <c r="B158">
        <v>55</v>
      </c>
      <c r="C158">
        <f t="shared" si="2"/>
        <v>5998</v>
      </c>
    </row>
    <row r="159" spans="1:3" x14ac:dyDescent="0.3">
      <c r="A159">
        <v>158</v>
      </c>
      <c r="B159">
        <v>55</v>
      </c>
      <c r="C159">
        <f t="shared" si="2"/>
        <v>6053</v>
      </c>
    </row>
    <row r="160" spans="1:3" x14ac:dyDescent="0.3">
      <c r="A160">
        <v>159</v>
      </c>
      <c r="B160">
        <v>55</v>
      </c>
      <c r="C160">
        <f t="shared" si="2"/>
        <v>6108</v>
      </c>
    </row>
    <row r="161" spans="1:3" x14ac:dyDescent="0.3">
      <c r="A161">
        <v>160</v>
      </c>
      <c r="B161">
        <v>55</v>
      </c>
      <c r="C161">
        <f t="shared" si="2"/>
        <v>6163</v>
      </c>
    </row>
    <row r="162" spans="1:3" x14ac:dyDescent="0.3">
      <c r="A162">
        <v>161</v>
      </c>
      <c r="B162">
        <v>55</v>
      </c>
      <c r="C162">
        <f t="shared" si="2"/>
        <v>6218</v>
      </c>
    </row>
    <row r="163" spans="1:3" x14ac:dyDescent="0.3">
      <c r="A163">
        <v>162</v>
      </c>
      <c r="B163">
        <v>55</v>
      </c>
      <c r="C163">
        <f t="shared" si="2"/>
        <v>6273</v>
      </c>
    </row>
    <row r="164" spans="1:3" x14ac:dyDescent="0.3">
      <c r="A164">
        <v>163</v>
      </c>
      <c r="B164">
        <v>55</v>
      </c>
      <c r="C164">
        <f t="shared" si="2"/>
        <v>6328</v>
      </c>
    </row>
    <row r="165" spans="1:3" x14ac:dyDescent="0.3">
      <c r="A165">
        <v>164</v>
      </c>
      <c r="B165">
        <v>55</v>
      </c>
      <c r="C165">
        <f t="shared" si="2"/>
        <v>6383</v>
      </c>
    </row>
    <row r="166" spans="1:3" x14ac:dyDescent="0.3">
      <c r="A166">
        <v>165</v>
      </c>
      <c r="B166">
        <v>55</v>
      </c>
      <c r="C166">
        <f t="shared" si="2"/>
        <v>6438</v>
      </c>
    </row>
    <row r="167" spans="1:3" x14ac:dyDescent="0.3">
      <c r="A167">
        <v>166</v>
      </c>
      <c r="B167">
        <v>55</v>
      </c>
      <c r="C167">
        <f t="shared" si="2"/>
        <v>6493</v>
      </c>
    </row>
    <row r="168" spans="1:3" x14ac:dyDescent="0.3">
      <c r="A168">
        <v>167</v>
      </c>
      <c r="B168">
        <v>55</v>
      </c>
      <c r="C168">
        <f t="shared" si="2"/>
        <v>6548</v>
      </c>
    </row>
    <row r="169" spans="1:3" x14ac:dyDescent="0.3">
      <c r="A169">
        <v>168</v>
      </c>
      <c r="B169">
        <v>55</v>
      </c>
      <c r="C169">
        <f t="shared" si="2"/>
        <v>6603</v>
      </c>
    </row>
    <row r="170" spans="1:3" x14ac:dyDescent="0.3">
      <c r="A170">
        <v>169</v>
      </c>
      <c r="B170">
        <v>55</v>
      </c>
      <c r="C170">
        <f t="shared" si="2"/>
        <v>6658</v>
      </c>
    </row>
    <row r="171" spans="1:3" x14ac:dyDescent="0.3">
      <c r="A171">
        <v>170</v>
      </c>
      <c r="B171">
        <v>55</v>
      </c>
      <c r="C171">
        <f t="shared" si="2"/>
        <v>6713</v>
      </c>
    </row>
    <row r="172" spans="1:3" x14ac:dyDescent="0.3">
      <c r="A172">
        <v>171</v>
      </c>
      <c r="B172">
        <v>56</v>
      </c>
      <c r="C172">
        <f t="shared" si="2"/>
        <v>6769</v>
      </c>
    </row>
    <row r="173" spans="1:3" x14ac:dyDescent="0.3">
      <c r="A173">
        <v>172</v>
      </c>
      <c r="B173">
        <v>56</v>
      </c>
      <c r="C173">
        <f t="shared" si="2"/>
        <v>6825</v>
      </c>
    </row>
    <row r="174" spans="1:3" x14ac:dyDescent="0.3">
      <c r="A174">
        <v>173</v>
      </c>
      <c r="B174">
        <v>56</v>
      </c>
      <c r="C174">
        <f t="shared" si="2"/>
        <v>6881</v>
      </c>
    </row>
    <row r="175" spans="1:3" x14ac:dyDescent="0.3">
      <c r="A175">
        <v>174</v>
      </c>
      <c r="B175">
        <v>56</v>
      </c>
      <c r="C175">
        <f t="shared" si="2"/>
        <v>6937</v>
      </c>
    </row>
    <row r="176" spans="1:3" x14ac:dyDescent="0.3">
      <c r="A176">
        <v>175</v>
      </c>
      <c r="B176">
        <v>56</v>
      </c>
      <c r="C176">
        <f t="shared" si="2"/>
        <v>6993</v>
      </c>
    </row>
    <row r="177" spans="1:3" x14ac:dyDescent="0.3">
      <c r="A177">
        <v>176</v>
      </c>
      <c r="B177">
        <v>56</v>
      </c>
      <c r="C177">
        <f t="shared" si="2"/>
        <v>7049</v>
      </c>
    </row>
    <row r="178" spans="1:3" x14ac:dyDescent="0.3">
      <c r="A178">
        <v>177</v>
      </c>
      <c r="B178">
        <v>56</v>
      </c>
      <c r="C178">
        <f t="shared" si="2"/>
        <v>7105</v>
      </c>
    </row>
    <row r="179" spans="1:3" x14ac:dyDescent="0.3">
      <c r="A179">
        <v>178</v>
      </c>
      <c r="B179">
        <v>56</v>
      </c>
      <c r="C179">
        <f t="shared" si="2"/>
        <v>7161</v>
      </c>
    </row>
    <row r="180" spans="1:3" x14ac:dyDescent="0.3">
      <c r="A180">
        <v>179</v>
      </c>
      <c r="B180">
        <v>56</v>
      </c>
      <c r="C180">
        <f t="shared" si="2"/>
        <v>7217</v>
      </c>
    </row>
    <row r="181" spans="1:3" x14ac:dyDescent="0.3">
      <c r="A181">
        <v>180</v>
      </c>
      <c r="B181">
        <v>57</v>
      </c>
      <c r="C181">
        <f t="shared" si="2"/>
        <v>7274</v>
      </c>
    </row>
    <row r="182" spans="1:3" x14ac:dyDescent="0.3">
      <c r="A182">
        <v>181</v>
      </c>
      <c r="B182">
        <v>57</v>
      </c>
      <c r="C182">
        <f t="shared" si="2"/>
        <v>7331</v>
      </c>
    </row>
    <row r="183" spans="1:3" x14ac:dyDescent="0.3">
      <c r="A183">
        <v>182</v>
      </c>
      <c r="B183">
        <v>57</v>
      </c>
      <c r="C183">
        <f t="shared" si="2"/>
        <v>7388</v>
      </c>
    </row>
    <row r="184" spans="1:3" x14ac:dyDescent="0.3">
      <c r="A184">
        <v>183</v>
      </c>
      <c r="B184">
        <v>58</v>
      </c>
      <c r="C184">
        <f t="shared" si="2"/>
        <v>7446</v>
      </c>
    </row>
    <row r="185" spans="1:3" x14ac:dyDescent="0.3">
      <c r="A185">
        <v>184</v>
      </c>
      <c r="B185">
        <v>58</v>
      </c>
      <c r="C185">
        <f t="shared" si="2"/>
        <v>7504</v>
      </c>
    </row>
    <row r="186" spans="1:3" x14ac:dyDescent="0.3">
      <c r="A186">
        <v>185</v>
      </c>
      <c r="B186">
        <v>58</v>
      </c>
      <c r="C186">
        <f t="shared" si="2"/>
        <v>7562</v>
      </c>
    </row>
    <row r="187" spans="1:3" x14ac:dyDescent="0.3">
      <c r="A187">
        <v>186</v>
      </c>
      <c r="B187">
        <v>58</v>
      </c>
      <c r="C187">
        <f t="shared" si="2"/>
        <v>7620</v>
      </c>
    </row>
    <row r="188" spans="1:3" x14ac:dyDescent="0.3">
      <c r="A188">
        <v>187</v>
      </c>
      <c r="B188">
        <v>58</v>
      </c>
      <c r="C188">
        <f t="shared" si="2"/>
        <v>7678</v>
      </c>
    </row>
    <row r="189" spans="1:3" x14ac:dyDescent="0.3">
      <c r="A189">
        <v>188</v>
      </c>
      <c r="B189">
        <v>58</v>
      </c>
      <c r="C189">
        <f t="shared" si="2"/>
        <v>7736</v>
      </c>
    </row>
    <row r="190" spans="1:3" x14ac:dyDescent="0.3">
      <c r="A190">
        <v>189</v>
      </c>
      <c r="B190">
        <v>58</v>
      </c>
      <c r="C190">
        <f t="shared" si="2"/>
        <v>7794</v>
      </c>
    </row>
    <row r="191" spans="1:3" x14ac:dyDescent="0.3">
      <c r="A191">
        <v>190</v>
      </c>
      <c r="B191">
        <v>59</v>
      </c>
      <c r="C191">
        <f t="shared" si="2"/>
        <v>7853</v>
      </c>
    </row>
    <row r="192" spans="1:3" x14ac:dyDescent="0.3">
      <c r="A192">
        <v>191</v>
      </c>
      <c r="B192">
        <v>59</v>
      </c>
      <c r="C192">
        <f t="shared" si="2"/>
        <v>7912</v>
      </c>
    </row>
    <row r="193" spans="1:3" x14ac:dyDescent="0.3">
      <c r="A193">
        <v>192</v>
      </c>
      <c r="B193">
        <v>59</v>
      </c>
      <c r="C193">
        <f t="shared" si="2"/>
        <v>7971</v>
      </c>
    </row>
    <row r="194" spans="1:3" x14ac:dyDescent="0.3">
      <c r="A194">
        <v>193</v>
      </c>
      <c r="B194">
        <v>59</v>
      </c>
      <c r="C194">
        <f t="shared" si="2"/>
        <v>8030</v>
      </c>
    </row>
    <row r="195" spans="1:3" x14ac:dyDescent="0.3">
      <c r="A195">
        <v>194</v>
      </c>
      <c r="B195">
        <v>60</v>
      </c>
      <c r="C195">
        <f t="shared" si="2"/>
        <v>8090</v>
      </c>
    </row>
    <row r="196" spans="1:3" x14ac:dyDescent="0.3">
      <c r="A196">
        <v>195</v>
      </c>
      <c r="B196">
        <v>60</v>
      </c>
      <c r="C196">
        <f t="shared" ref="C196:C259" si="3">B196+C195</f>
        <v>8150</v>
      </c>
    </row>
    <row r="197" spans="1:3" x14ac:dyDescent="0.3">
      <c r="A197">
        <v>196</v>
      </c>
      <c r="B197">
        <v>60</v>
      </c>
      <c r="C197">
        <f t="shared" si="3"/>
        <v>8210</v>
      </c>
    </row>
    <row r="198" spans="1:3" x14ac:dyDescent="0.3">
      <c r="A198">
        <v>197</v>
      </c>
      <c r="B198">
        <v>60</v>
      </c>
      <c r="C198">
        <f t="shared" si="3"/>
        <v>8270</v>
      </c>
    </row>
    <row r="199" spans="1:3" x14ac:dyDescent="0.3">
      <c r="A199">
        <v>198</v>
      </c>
      <c r="B199">
        <v>60</v>
      </c>
      <c r="C199">
        <f t="shared" si="3"/>
        <v>8330</v>
      </c>
    </row>
    <row r="200" spans="1:3" x14ac:dyDescent="0.3">
      <c r="A200">
        <v>199</v>
      </c>
      <c r="B200">
        <v>60</v>
      </c>
      <c r="C200">
        <f t="shared" si="3"/>
        <v>8390</v>
      </c>
    </row>
    <row r="201" spans="1:3" x14ac:dyDescent="0.3">
      <c r="A201">
        <v>200</v>
      </c>
      <c r="B201">
        <v>60</v>
      </c>
      <c r="C201">
        <f t="shared" si="3"/>
        <v>8450</v>
      </c>
    </row>
    <row r="202" spans="1:3" x14ac:dyDescent="0.3">
      <c r="A202">
        <v>201</v>
      </c>
      <c r="B202">
        <v>60</v>
      </c>
      <c r="C202">
        <f t="shared" si="3"/>
        <v>8510</v>
      </c>
    </row>
    <row r="203" spans="1:3" x14ac:dyDescent="0.3">
      <c r="A203">
        <v>202</v>
      </c>
      <c r="B203">
        <v>60</v>
      </c>
      <c r="C203">
        <f t="shared" si="3"/>
        <v>8570</v>
      </c>
    </row>
    <row r="204" spans="1:3" x14ac:dyDescent="0.3">
      <c r="A204">
        <v>203</v>
      </c>
      <c r="B204">
        <v>60</v>
      </c>
      <c r="C204">
        <f t="shared" si="3"/>
        <v>8630</v>
      </c>
    </row>
    <row r="205" spans="1:3" x14ac:dyDescent="0.3">
      <c r="A205">
        <v>204</v>
      </c>
      <c r="B205">
        <v>60</v>
      </c>
      <c r="C205">
        <f t="shared" si="3"/>
        <v>8690</v>
      </c>
    </row>
    <row r="206" spans="1:3" x14ac:dyDescent="0.3">
      <c r="A206">
        <v>205</v>
      </c>
      <c r="B206">
        <v>60</v>
      </c>
      <c r="C206">
        <f t="shared" si="3"/>
        <v>8750</v>
      </c>
    </row>
    <row r="207" spans="1:3" x14ac:dyDescent="0.3">
      <c r="A207">
        <v>206</v>
      </c>
      <c r="B207">
        <v>60</v>
      </c>
      <c r="C207">
        <f t="shared" si="3"/>
        <v>8810</v>
      </c>
    </row>
    <row r="208" spans="1:3" x14ac:dyDescent="0.3">
      <c r="A208">
        <v>207</v>
      </c>
      <c r="B208">
        <v>60</v>
      </c>
      <c r="C208">
        <f t="shared" si="3"/>
        <v>8870</v>
      </c>
    </row>
    <row r="209" spans="1:3" x14ac:dyDescent="0.3">
      <c r="A209">
        <v>208</v>
      </c>
      <c r="B209">
        <v>60</v>
      </c>
      <c r="C209">
        <f t="shared" si="3"/>
        <v>8930</v>
      </c>
    </row>
    <row r="210" spans="1:3" x14ac:dyDescent="0.3">
      <c r="A210">
        <v>209</v>
      </c>
      <c r="B210">
        <v>60</v>
      </c>
      <c r="C210">
        <f t="shared" si="3"/>
        <v>8990</v>
      </c>
    </row>
    <row r="211" spans="1:3" x14ac:dyDescent="0.3">
      <c r="A211">
        <v>210</v>
      </c>
      <c r="B211">
        <v>60</v>
      </c>
      <c r="C211">
        <f t="shared" si="3"/>
        <v>9050</v>
      </c>
    </row>
    <row r="212" spans="1:3" x14ac:dyDescent="0.3">
      <c r="A212">
        <v>211</v>
      </c>
      <c r="B212">
        <v>60</v>
      </c>
      <c r="C212">
        <f t="shared" si="3"/>
        <v>9110</v>
      </c>
    </row>
    <row r="213" spans="1:3" x14ac:dyDescent="0.3">
      <c r="A213">
        <v>212</v>
      </c>
      <c r="B213">
        <v>60</v>
      </c>
      <c r="C213">
        <f t="shared" si="3"/>
        <v>9170</v>
      </c>
    </row>
    <row r="214" spans="1:3" x14ac:dyDescent="0.3">
      <c r="A214">
        <v>213</v>
      </c>
      <c r="B214">
        <v>60</v>
      </c>
      <c r="C214">
        <f t="shared" si="3"/>
        <v>9230</v>
      </c>
    </row>
    <row r="215" spans="1:3" x14ac:dyDescent="0.3">
      <c r="A215">
        <v>214</v>
      </c>
      <c r="B215">
        <v>60</v>
      </c>
      <c r="C215">
        <f t="shared" si="3"/>
        <v>9290</v>
      </c>
    </row>
    <row r="216" spans="1:3" x14ac:dyDescent="0.3">
      <c r="A216">
        <v>215</v>
      </c>
      <c r="B216">
        <v>60</v>
      </c>
      <c r="C216">
        <f t="shared" si="3"/>
        <v>9350</v>
      </c>
    </row>
    <row r="217" spans="1:3" x14ac:dyDescent="0.3">
      <c r="A217">
        <v>216</v>
      </c>
      <c r="B217">
        <v>60</v>
      </c>
      <c r="C217">
        <f t="shared" si="3"/>
        <v>9410</v>
      </c>
    </row>
    <row r="218" spans="1:3" x14ac:dyDescent="0.3">
      <c r="A218">
        <v>217</v>
      </c>
      <c r="B218">
        <v>60</v>
      </c>
      <c r="C218">
        <f t="shared" si="3"/>
        <v>9470</v>
      </c>
    </row>
    <row r="219" spans="1:3" x14ac:dyDescent="0.3">
      <c r="A219">
        <v>218</v>
      </c>
      <c r="B219">
        <v>60</v>
      </c>
      <c r="C219">
        <f t="shared" si="3"/>
        <v>9530</v>
      </c>
    </row>
    <row r="220" spans="1:3" x14ac:dyDescent="0.3">
      <c r="A220">
        <v>219</v>
      </c>
      <c r="B220">
        <v>61</v>
      </c>
      <c r="C220">
        <f t="shared" si="3"/>
        <v>9591</v>
      </c>
    </row>
    <row r="221" spans="1:3" x14ac:dyDescent="0.3">
      <c r="A221">
        <v>220</v>
      </c>
      <c r="B221">
        <v>61</v>
      </c>
      <c r="C221">
        <f t="shared" si="3"/>
        <v>9652</v>
      </c>
    </row>
    <row r="222" spans="1:3" x14ac:dyDescent="0.3">
      <c r="A222">
        <v>221</v>
      </c>
      <c r="B222">
        <v>61</v>
      </c>
      <c r="C222">
        <f t="shared" si="3"/>
        <v>9713</v>
      </c>
    </row>
    <row r="223" spans="1:3" x14ac:dyDescent="0.3">
      <c r="A223">
        <v>222</v>
      </c>
      <c r="B223">
        <v>61</v>
      </c>
      <c r="C223">
        <f t="shared" si="3"/>
        <v>9774</v>
      </c>
    </row>
    <row r="224" spans="1:3" x14ac:dyDescent="0.3">
      <c r="A224">
        <v>223</v>
      </c>
      <c r="B224">
        <v>61</v>
      </c>
      <c r="C224">
        <f t="shared" si="3"/>
        <v>9835</v>
      </c>
    </row>
    <row r="225" spans="1:3" x14ac:dyDescent="0.3">
      <c r="A225">
        <v>224</v>
      </c>
      <c r="B225">
        <v>61</v>
      </c>
      <c r="C225">
        <f t="shared" si="3"/>
        <v>9896</v>
      </c>
    </row>
    <row r="226" spans="1:3" x14ac:dyDescent="0.3">
      <c r="A226">
        <v>225</v>
      </c>
      <c r="B226">
        <v>61</v>
      </c>
      <c r="C226">
        <f t="shared" si="3"/>
        <v>9957</v>
      </c>
    </row>
    <row r="227" spans="1:3" x14ac:dyDescent="0.3">
      <c r="A227">
        <v>226</v>
      </c>
      <c r="B227">
        <v>61</v>
      </c>
      <c r="C227">
        <f t="shared" si="3"/>
        <v>10018</v>
      </c>
    </row>
    <row r="228" spans="1:3" x14ac:dyDescent="0.3">
      <c r="A228">
        <v>227</v>
      </c>
      <c r="B228">
        <v>61</v>
      </c>
      <c r="C228">
        <f t="shared" si="3"/>
        <v>10079</v>
      </c>
    </row>
    <row r="229" spans="1:3" x14ac:dyDescent="0.3">
      <c r="A229">
        <v>228</v>
      </c>
      <c r="B229">
        <v>61</v>
      </c>
      <c r="C229">
        <f t="shared" si="3"/>
        <v>10140</v>
      </c>
    </row>
    <row r="230" spans="1:3" x14ac:dyDescent="0.3">
      <c r="A230">
        <v>229</v>
      </c>
      <c r="B230">
        <v>61</v>
      </c>
      <c r="C230">
        <f t="shared" si="3"/>
        <v>10201</v>
      </c>
    </row>
    <row r="231" spans="1:3" x14ac:dyDescent="0.3">
      <c r="A231">
        <v>230</v>
      </c>
      <c r="B231">
        <v>61</v>
      </c>
      <c r="C231">
        <f t="shared" si="3"/>
        <v>10262</v>
      </c>
    </row>
    <row r="232" spans="1:3" x14ac:dyDescent="0.3">
      <c r="A232">
        <v>231</v>
      </c>
      <c r="B232">
        <v>61</v>
      </c>
      <c r="C232">
        <f t="shared" si="3"/>
        <v>10323</v>
      </c>
    </row>
    <row r="233" spans="1:3" x14ac:dyDescent="0.3">
      <c r="A233">
        <v>232</v>
      </c>
      <c r="B233">
        <v>61</v>
      </c>
      <c r="C233">
        <f t="shared" si="3"/>
        <v>10384</v>
      </c>
    </row>
    <row r="234" spans="1:3" x14ac:dyDescent="0.3">
      <c r="A234">
        <v>233</v>
      </c>
      <c r="B234">
        <v>61</v>
      </c>
      <c r="C234">
        <f t="shared" si="3"/>
        <v>10445</v>
      </c>
    </row>
    <row r="235" spans="1:3" x14ac:dyDescent="0.3">
      <c r="A235">
        <v>234</v>
      </c>
      <c r="B235">
        <v>61</v>
      </c>
      <c r="C235">
        <f t="shared" si="3"/>
        <v>10506</v>
      </c>
    </row>
    <row r="236" spans="1:3" x14ac:dyDescent="0.3">
      <c r="A236">
        <v>235</v>
      </c>
      <c r="B236">
        <v>61</v>
      </c>
      <c r="C236">
        <f t="shared" si="3"/>
        <v>10567</v>
      </c>
    </row>
    <row r="237" spans="1:3" x14ac:dyDescent="0.3">
      <c r="A237">
        <v>236</v>
      </c>
      <c r="B237">
        <v>61</v>
      </c>
      <c r="C237">
        <f t="shared" si="3"/>
        <v>10628</v>
      </c>
    </row>
    <row r="238" spans="1:3" x14ac:dyDescent="0.3">
      <c r="A238">
        <v>237</v>
      </c>
      <c r="B238">
        <v>61</v>
      </c>
      <c r="C238">
        <f t="shared" si="3"/>
        <v>10689</v>
      </c>
    </row>
    <row r="239" spans="1:3" x14ac:dyDescent="0.3">
      <c r="A239">
        <v>238</v>
      </c>
      <c r="B239">
        <v>61</v>
      </c>
      <c r="C239">
        <f t="shared" si="3"/>
        <v>10750</v>
      </c>
    </row>
    <row r="240" spans="1:3" x14ac:dyDescent="0.3">
      <c r="A240">
        <v>239</v>
      </c>
      <c r="B240">
        <v>61</v>
      </c>
      <c r="C240">
        <f t="shared" si="3"/>
        <v>10811</v>
      </c>
    </row>
    <row r="241" spans="1:3" x14ac:dyDescent="0.3">
      <c r="A241">
        <v>240</v>
      </c>
      <c r="B241">
        <v>61</v>
      </c>
      <c r="C241">
        <f t="shared" si="3"/>
        <v>10872</v>
      </c>
    </row>
    <row r="242" spans="1:3" x14ac:dyDescent="0.3">
      <c r="A242">
        <v>241</v>
      </c>
      <c r="B242">
        <v>61</v>
      </c>
      <c r="C242">
        <f t="shared" si="3"/>
        <v>10933</v>
      </c>
    </row>
    <row r="243" spans="1:3" x14ac:dyDescent="0.3">
      <c r="A243">
        <v>242</v>
      </c>
      <c r="B243">
        <v>61</v>
      </c>
      <c r="C243">
        <f t="shared" si="3"/>
        <v>10994</v>
      </c>
    </row>
    <row r="244" spans="1:3" x14ac:dyDescent="0.3">
      <c r="A244">
        <v>243</v>
      </c>
      <c r="B244">
        <v>61</v>
      </c>
      <c r="C244">
        <f t="shared" si="3"/>
        <v>11055</v>
      </c>
    </row>
    <row r="245" spans="1:3" x14ac:dyDescent="0.3">
      <c r="A245">
        <v>244</v>
      </c>
      <c r="B245">
        <v>61</v>
      </c>
      <c r="C245">
        <f t="shared" si="3"/>
        <v>11116</v>
      </c>
    </row>
    <row r="246" spans="1:3" x14ac:dyDescent="0.3">
      <c r="A246">
        <v>245</v>
      </c>
      <c r="B246">
        <v>61</v>
      </c>
      <c r="C246">
        <f t="shared" si="3"/>
        <v>11177</v>
      </c>
    </row>
    <row r="247" spans="1:3" x14ac:dyDescent="0.3">
      <c r="A247">
        <v>246</v>
      </c>
      <c r="B247">
        <v>61</v>
      </c>
      <c r="C247">
        <f t="shared" si="3"/>
        <v>11238</v>
      </c>
    </row>
    <row r="248" spans="1:3" x14ac:dyDescent="0.3">
      <c r="A248">
        <v>247</v>
      </c>
      <c r="B248">
        <v>61</v>
      </c>
      <c r="C248">
        <f t="shared" si="3"/>
        <v>11299</v>
      </c>
    </row>
    <row r="249" spans="1:3" x14ac:dyDescent="0.3">
      <c r="A249">
        <v>248</v>
      </c>
      <c r="B249">
        <v>61</v>
      </c>
      <c r="C249">
        <f t="shared" si="3"/>
        <v>11360</v>
      </c>
    </row>
    <row r="250" spans="1:3" x14ac:dyDescent="0.3">
      <c r="A250">
        <v>249</v>
      </c>
      <c r="B250">
        <v>61</v>
      </c>
      <c r="C250">
        <f t="shared" si="3"/>
        <v>11421</v>
      </c>
    </row>
    <row r="251" spans="1:3" x14ac:dyDescent="0.3">
      <c r="A251">
        <v>250</v>
      </c>
      <c r="B251">
        <v>61</v>
      </c>
      <c r="C251">
        <f t="shared" si="3"/>
        <v>11482</v>
      </c>
    </row>
    <row r="252" spans="1:3" x14ac:dyDescent="0.3">
      <c r="A252">
        <v>251</v>
      </c>
      <c r="B252">
        <v>61</v>
      </c>
      <c r="C252">
        <f t="shared" si="3"/>
        <v>11543</v>
      </c>
    </row>
    <row r="253" spans="1:3" x14ac:dyDescent="0.3">
      <c r="A253">
        <v>252</v>
      </c>
      <c r="B253">
        <v>61</v>
      </c>
      <c r="C253">
        <f t="shared" si="3"/>
        <v>11604</v>
      </c>
    </row>
    <row r="254" spans="1:3" x14ac:dyDescent="0.3">
      <c r="A254">
        <v>253</v>
      </c>
      <c r="B254">
        <v>61</v>
      </c>
      <c r="C254">
        <f t="shared" si="3"/>
        <v>11665</v>
      </c>
    </row>
    <row r="255" spans="1:3" x14ac:dyDescent="0.3">
      <c r="A255">
        <v>254</v>
      </c>
      <c r="B255">
        <v>61</v>
      </c>
      <c r="C255">
        <f t="shared" si="3"/>
        <v>11726</v>
      </c>
    </row>
    <row r="256" spans="1:3" x14ac:dyDescent="0.3">
      <c r="A256">
        <v>255</v>
      </c>
      <c r="B256">
        <v>61</v>
      </c>
      <c r="C256">
        <f t="shared" si="3"/>
        <v>11787</v>
      </c>
    </row>
    <row r="257" spans="1:3" x14ac:dyDescent="0.3">
      <c r="A257">
        <v>256</v>
      </c>
      <c r="B257">
        <v>61</v>
      </c>
      <c r="C257">
        <f t="shared" si="3"/>
        <v>11848</v>
      </c>
    </row>
    <row r="258" spans="1:3" x14ac:dyDescent="0.3">
      <c r="A258">
        <v>257</v>
      </c>
      <c r="B258">
        <v>61</v>
      </c>
      <c r="C258">
        <f t="shared" si="3"/>
        <v>11909</v>
      </c>
    </row>
    <row r="259" spans="1:3" x14ac:dyDescent="0.3">
      <c r="A259">
        <v>258</v>
      </c>
      <c r="B259">
        <v>61</v>
      </c>
      <c r="C259">
        <f t="shared" si="3"/>
        <v>11970</v>
      </c>
    </row>
    <row r="260" spans="1:3" x14ac:dyDescent="0.3">
      <c r="A260">
        <v>259</v>
      </c>
      <c r="B260">
        <v>61</v>
      </c>
      <c r="C260">
        <f t="shared" ref="C260:C286" si="4">B260+C259</f>
        <v>12031</v>
      </c>
    </row>
    <row r="261" spans="1:3" x14ac:dyDescent="0.3">
      <c r="A261">
        <v>260</v>
      </c>
      <c r="B261">
        <v>61</v>
      </c>
      <c r="C261">
        <f t="shared" si="4"/>
        <v>12092</v>
      </c>
    </row>
    <row r="262" spans="1:3" x14ac:dyDescent="0.3">
      <c r="A262">
        <v>261</v>
      </c>
      <c r="B262">
        <v>61</v>
      </c>
      <c r="C262">
        <f t="shared" si="4"/>
        <v>12153</v>
      </c>
    </row>
    <row r="263" spans="1:3" x14ac:dyDescent="0.3">
      <c r="A263">
        <v>262</v>
      </c>
      <c r="B263">
        <v>61</v>
      </c>
      <c r="C263">
        <f t="shared" si="4"/>
        <v>12214</v>
      </c>
    </row>
    <row r="264" spans="1:3" x14ac:dyDescent="0.3">
      <c r="A264">
        <v>263</v>
      </c>
      <c r="B264">
        <v>61</v>
      </c>
      <c r="C264">
        <f t="shared" si="4"/>
        <v>12275</v>
      </c>
    </row>
    <row r="265" spans="1:3" x14ac:dyDescent="0.3">
      <c r="A265">
        <v>264</v>
      </c>
      <c r="B265">
        <v>61</v>
      </c>
      <c r="C265">
        <f t="shared" si="4"/>
        <v>12336</v>
      </c>
    </row>
    <row r="266" spans="1:3" x14ac:dyDescent="0.3">
      <c r="A266">
        <v>265</v>
      </c>
      <c r="B266">
        <v>61</v>
      </c>
      <c r="C266">
        <f t="shared" si="4"/>
        <v>12397</v>
      </c>
    </row>
    <row r="267" spans="1:3" x14ac:dyDescent="0.3">
      <c r="A267">
        <v>266</v>
      </c>
      <c r="B267">
        <v>61</v>
      </c>
      <c r="C267">
        <f t="shared" si="4"/>
        <v>12458</v>
      </c>
    </row>
    <row r="268" spans="1:3" x14ac:dyDescent="0.3">
      <c r="A268">
        <v>267</v>
      </c>
      <c r="B268">
        <v>61</v>
      </c>
      <c r="C268">
        <f t="shared" si="4"/>
        <v>12519</v>
      </c>
    </row>
    <row r="269" spans="1:3" x14ac:dyDescent="0.3">
      <c r="A269">
        <v>268</v>
      </c>
      <c r="B269">
        <v>61</v>
      </c>
      <c r="C269">
        <f t="shared" si="4"/>
        <v>12580</v>
      </c>
    </row>
    <row r="270" spans="1:3" x14ac:dyDescent="0.3">
      <c r="A270">
        <v>269</v>
      </c>
      <c r="B270">
        <v>61</v>
      </c>
      <c r="C270">
        <f t="shared" si="4"/>
        <v>12641</v>
      </c>
    </row>
    <row r="271" spans="1:3" x14ac:dyDescent="0.3">
      <c r="A271">
        <v>270</v>
      </c>
      <c r="B271">
        <v>61</v>
      </c>
      <c r="C271">
        <f t="shared" si="4"/>
        <v>12702</v>
      </c>
    </row>
    <row r="272" spans="1:3" x14ac:dyDescent="0.3">
      <c r="A272">
        <v>271</v>
      </c>
      <c r="B272">
        <v>61</v>
      </c>
      <c r="C272">
        <f t="shared" si="4"/>
        <v>12763</v>
      </c>
    </row>
    <row r="273" spans="1:3" x14ac:dyDescent="0.3">
      <c r="A273">
        <v>272</v>
      </c>
      <c r="B273">
        <v>61</v>
      </c>
      <c r="C273">
        <f t="shared" si="4"/>
        <v>12824</v>
      </c>
    </row>
    <row r="274" spans="1:3" x14ac:dyDescent="0.3">
      <c r="A274">
        <v>273</v>
      </c>
      <c r="B274">
        <v>61</v>
      </c>
      <c r="C274">
        <f t="shared" si="4"/>
        <v>12885</v>
      </c>
    </row>
    <row r="275" spans="1:3" x14ac:dyDescent="0.3">
      <c r="A275">
        <v>274</v>
      </c>
      <c r="B275">
        <v>61</v>
      </c>
      <c r="C275">
        <f t="shared" si="4"/>
        <v>12946</v>
      </c>
    </row>
    <row r="276" spans="1:3" x14ac:dyDescent="0.3">
      <c r="A276">
        <v>275</v>
      </c>
      <c r="B276">
        <v>61</v>
      </c>
      <c r="C276">
        <f t="shared" si="4"/>
        <v>13007</v>
      </c>
    </row>
    <row r="277" spans="1:3" x14ac:dyDescent="0.3">
      <c r="A277">
        <v>276</v>
      </c>
      <c r="B277">
        <v>61</v>
      </c>
      <c r="C277">
        <f t="shared" si="4"/>
        <v>13068</v>
      </c>
    </row>
    <row r="278" spans="1:3" x14ac:dyDescent="0.3">
      <c r="A278">
        <v>277</v>
      </c>
      <c r="B278">
        <v>61</v>
      </c>
      <c r="C278">
        <f t="shared" si="4"/>
        <v>13129</v>
      </c>
    </row>
    <row r="279" spans="1:3" x14ac:dyDescent="0.3">
      <c r="A279">
        <v>278</v>
      </c>
      <c r="B279">
        <v>61</v>
      </c>
      <c r="C279">
        <f t="shared" si="4"/>
        <v>13190</v>
      </c>
    </row>
    <row r="280" spans="1:3" x14ac:dyDescent="0.3">
      <c r="A280">
        <v>279</v>
      </c>
      <c r="B280">
        <v>61</v>
      </c>
      <c r="C280">
        <f t="shared" si="4"/>
        <v>13251</v>
      </c>
    </row>
    <row r="281" spans="1:3" x14ac:dyDescent="0.3">
      <c r="A281">
        <v>280</v>
      </c>
      <c r="B281">
        <v>61</v>
      </c>
      <c r="C281">
        <f t="shared" si="4"/>
        <v>13312</v>
      </c>
    </row>
    <row r="282" spans="1:3" x14ac:dyDescent="0.3">
      <c r="A282">
        <v>281</v>
      </c>
      <c r="B282">
        <v>61</v>
      </c>
      <c r="C282">
        <f t="shared" si="4"/>
        <v>13373</v>
      </c>
    </row>
    <row r="283" spans="1:3" x14ac:dyDescent="0.3">
      <c r="A283">
        <v>282</v>
      </c>
      <c r="B283">
        <v>61</v>
      </c>
      <c r="C283">
        <f t="shared" si="4"/>
        <v>13434</v>
      </c>
    </row>
    <row r="284" spans="1:3" x14ac:dyDescent="0.3">
      <c r="A284">
        <v>283</v>
      </c>
      <c r="B284">
        <v>61</v>
      </c>
      <c r="C284">
        <f t="shared" si="4"/>
        <v>13495</v>
      </c>
    </row>
    <row r="285" spans="1:3" x14ac:dyDescent="0.3">
      <c r="A285">
        <v>284</v>
      </c>
      <c r="B285">
        <v>61</v>
      </c>
      <c r="C285">
        <f t="shared" si="4"/>
        <v>13556</v>
      </c>
    </row>
    <row r="286" spans="1:3" x14ac:dyDescent="0.3">
      <c r="A286">
        <v>285</v>
      </c>
      <c r="B286">
        <v>61</v>
      </c>
      <c r="C286">
        <f t="shared" si="4"/>
        <v>13617</v>
      </c>
    </row>
    <row r="287" spans="1:3" x14ac:dyDescent="0.3">
      <c r="A287">
        <v>286</v>
      </c>
      <c r="B287">
        <v>61</v>
      </c>
    </row>
    <row r="288" spans="1:3" x14ac:dyDescent="0.3">
      <c r="A288">
        <v>287</v>
      </c>
      <c r="B288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C17AD-1F2B-432B-A679-7F4163458331}">
  <dimension ref="A1:CR287"/>
  <sheetViews>
    <sheetView tabSelected="1" topLeftCell="T1" workbookViewId="0">
      <selection activeCell="AD12" sqref="AD12"/>
    </sheetView>
  </sheetViews>
  <sheetFormatPr defaultRowHeight="14.4" x14ac:dyDescent="0.3"/>
  <cols>
    <col min="1" max="1" width="13.6640625" customWidth="1"/>
  </cols>
  <sheetData>
    <row r="1" spans="1:96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330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</row>
    <row r="2" spans="1:96" x14ac:dyDescent="0.3">
      <c r="A2" s="1">
        <v>45476</v>
      </c>
      <c r="B2" t="s">
        <v>97</v>
      </c>
      <c r="C2" t="s">
        <v>106</v>
      </c>
      <c r="E2" t="s">
        <v>107</v>
      </c>
      <c r="F2" t="s">
        <v>108</v>
      </c>
      <c r="G2">
        <v>2068</v>
      </c>
      <c r="H2" t="s">
        <v>102</v>
      </c>
      <c r="I2" t="s">
        <v>103</v>
      </c>
      <c r="J2">
        <v>4</v>
      </c>
      <c r="K2" t="s">
        <v>109</v>
      </c>
      <c r="M2">
        <v>82</v>
      </c>
      <c r="N2">
        <v>278.5</v>
      </c>
      <c r="O2" t="e">
        <v>#VALUE!</v>
      </c>
      <c r="P2">
        <v>0</v>
      </c>
      <c r="Q2">
        <v>22837</v>
      </c>
      <c r="R2">
        <v>0</v>
      </c>
      <c r="S2">
        <v>22837</v>
      </c>
      <c r="T2">
        <v>0.64236111100000004</v>
      </c>
      <c r="U2">
        <v>0.64791666699999995</v>
      </c>
      <c r="V2">
        <v>0</v>
      </c>
      <c r="W2">
        <v>2</v>
      </c>
      <c r="X2">
        <v>10</v>
      </c>
      <c r="Y2">
        <v>85</v>
      </c>
      <c r="Z2">
        <v>5</v>
      </c>
      <c r="AA2">
        <f>Z2</f>
        <v>5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2</v>
      </c>
      <c r="BU2">
        <v>0</v>
      </c>
      <c r="BV2">
        <v>0</v>
      </c>
      <c r="BW2">
        <v>1</v>
      </c>
      <c r="BX2">
        <v>2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</row>
    <row r="3" spans="1:96" x14ac:dyDescent="0.3">
      <c r="A3" s="1">
        <v>45476</v>
      </c>
      <c r="B3" t="s">
        <v>97</v>
      </c>
      <c r="C3" t="s">
        <v>254</v>
      </c>
      <c r="D3" t="s">
        <v>99</v>
      </c>
      <c r="E3" t="s">
        <v>255</v>
      </c>
      <c r="F3" t="s">
        <v>108</v>
      </c>
      <c r="G3">
        <v>16026</v>
      </c>
      <c r="H3" t="s">
        <v>118</v>
      </c>
      <c r="I3" t="s">
        <v>129</v>
      </c>
      <c r="J3">
        <v>4</v>
      </c>
      <c r="K3" t="s">
        <v>114</v>
      </c>
      <c r="M3">
        <v>82</v>
      </c>
      <c r="N3">
        <v>119</v>
      </c>
      <c r="O3">
        <v>2.1432989390000001</v>
      </c>
      <c r="P3">
        <v>0</v>
      </c>
      <c r="Q3">
        <v>9758</v>
      </c>
      <c r="R3">
        <v>0</v>
      </c>
      <c r="S3">
        <v>9758</v>
      </c>
      <c r="T3">
        <v>0.66736111099999995</v>
      </c>
      <c r="U3">
        <v>0.67291666699999997</v>
      </c>
      <c r="V3">
        <v>0</v>
      </c>
      <c r="W3">
        <v>2</v>
      </c>
      <c r="X3">
        <v>10</v>
      </c>
      <c r="Y3">
        <v>85</v>
      </c>
      <c r="Z3">
        <v>6</v>
      </c>
      <c r="AA3">
        <f>Z3+AA2</f>
        <v>11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2</v>
      </c>
      <c r="AP3">
        <v>0</v>
      </c>
      <c r="AQ3">
        <v>0</v>
      </c>
      <c r="AR3">
        <v>0</v>
      </c>
      <c r="AS3">
        <v>0</v>
      </c>
      <c r="AT3">
        <v>1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2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 t="s">
        <v>256</v>
      </c>
    </row>
    <row r="4" spans="1:96" x14ac:dyDescent="0.3">
      <c r="A4" s="1">
        <v>45476</v>
      </c>
      <c r="B4" t="s">
        <v>97</v>
      </c>
      <c r="C4" t="s">
        <v>156</v>
      </c>
      <c r="D4" t="s">
        <v>99</v>
      </c>
      <c r="E4" t="s">
        <v>157</v>
      </c>
      <c r="F4" t="s">
        <v>108</v>
      </c>
      <c r="G4" t="s">
        <v>158</v>
      </c>
      <c r="H4" t="s">
        <v>102</v>
      </c>
      <c r="I4" t="s">
        <v>103</v>
      </c>
      <c r="J4">
        <v>4</v>
      </c>
      <c r="K4" t="s">
        <v>109</v>
      </c>
      <c r="M4">
        <v>52</v>
      </c>
      <c r="N4">
        <v>390.5</v>
      </c>
      <c r="O4">
        <v>3.6464443200000001</v>
      </c>
      <c r="P4">
        <v>0</v>
      </c>
      <c r="Q4">
        <v>20306</v>
      </c>
      <c r="R4">
        <v>0</v>
      </c>
      <c r="S4">
        <v>20306</v>
      </c>
      <c r="T4">
        <v>0.654861111</v>
      </c>
      <c r="U4">
        <v>0.66041666700000001</v>
      </c>
      <c r="V4">
        <v>0</v>
      </c>
      <c r="W4">
        <v>2</v>
      </c>
      <c r="X4">
        <v>10</v>
      </c>
      <c r="Y4">
        <v>85</v>
      </c>
      <c r="Z4">
        <v>22</v>
      </c>
      <c r="AA4">
        <f>Z4+AA3</f>
        <v>33</v>
      </c>
      <c r="AB4">
        <v>1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  <c r="AQ4">
        <v>0</v>
      </c>
      <c r="AR4">
        <v>1</v>
      </c>
      <c r="AS4">
        <v>0</v>
      </c>
      <c r="AT4">
        <v>1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1</v>
      </c>
      <c r="BJ4">
        <v>0</v>
      </c>
      <c r="BK4">
        <v>0</v>
      </c>
      <c r="BL4">
        <v>0</v>
      </c>
      <c r="BM4">
        <v>1</v>
      </c>
      <c r="BN4">
        <v>0</v>
      </c>
      <c r="BO4">
        <v>0</v>
      </c>
      <c r="BP4">
        <v>1</v>
      </c>
      <c r="BQ4">
        <v>0</v>
      </c>
      <c r="BR4">
        <v>1</v>
      </c>
      <c r="BS4">
        <v>10</v>
      </c>
      <c r="BT4">
        <v>2</v>
      </c>
      <c r="BU4">
        <v>0</v>
      </c>
      <c r="BV4">
        <v>0</v>
      </c>
      <c r="BW4">
        <v>0</v>
      </c>
      <c r="BX4">
        <v>1</v>
      </c>
      <c r="BY4">
        <v>0</v>
      </c>
      <c r="BZ4">
        <v>0</v>
      </c>
      <c r="CA4">
        <v>0</v>
      </c>
      <c r="CB4">
        <v>0</v>
      </c>
      <c r="CC4">
        <v>1</v>
      </c>
      <c r="CD4">
        <v>0</v>
      </c>
      <c r="CE4">
        <v>0</v>
      </c>
      <c r="CF4">
        <v>0</v>
      </c>
      <c r="CG4">
        <v>1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</row>
    <row r="5" spans="1:96" x14ac:dyDescent="0.3">
      <c r="A5" s="1">
        <v>45481</v>
      </c>
      <c r="B5" t="s">
        <v>97</v>
      </c>
      <c r="C5" t="s">
        <v>121</v>
      </c>
      <c r="E5" t="s">
        <v>122</v>
      </c>
      <c r="F5" t="s">
        <v>101</v>
      </c>
      <c r="G5">
        <v>20012</v>
      </c>
      <c r="H5" t="s">
        <v>113</v>
      </c>
      <c r="I5" t="s">
        <v>123</v>
      </c>
      <c r="J5">
        <v>4</v>
      </c>
      <c r="K5" t="s">
        <v>120</v>
      </c>
      <c r="M5" t="s">
        <v>105</v>
      </c>
      <c r="N5" t="e">
        <v>#N/A</v>
      </c>
      <c r="O5" t="e">
        <v>#N/A</v>
      </c>
      <c r="P5" t="e">
        <v>#N/A</v>
      </c>
      <c r="Q5" t="e">
        <v>#N/A</v>
      </c>
      <c r="R5" t="e">
        <v>#N/A</v>
      </c>
      <c r="S5" t="s">
        <v>105</v>
      </c>
      <c r="T5">
        <v>0.60972222200000004</v>
      </c>
      <c r="U5">
        <v>0.114583333</v>
      </c>
      <c r="V5">
        <v>0</v>
      </c>
      <c r="W5">
        <v>1</v>
      </c>
      <c r="X5">
        <v>25</v>
      </c>
      <c r="Y5">
        <v>80</v>
      </c>
      <c r="Z5">
        <v>0</v>
      </c>
      <c r="AA5">
        <f t="shared" ref="AA4:AA67" si="0">Z5+AA4</f>
        <v>33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</row>
    <row r="6" spans="1:96" x14ac:dyDescent="0.3">
      <c r="A6" s="1">
        <v>45481</v>
      </c>
      <c r="B6" t="s">
        <v>97</v>
      </c>
      <c r="C6" t="s">
        <v>134</v>
      </c>
      <c r="E6" t="s">
        <v>135</v>
      </c>
      <c r="F6" t="s">
        <v>108</v>
      </c>
      <c r="G6">
        <v>17030</v>
      </c>
      <c r="H6" t="s">
        <v>113</v>
      </c>
      <c r="I6" t="s">
        <v>103</v>
      </c>
      <c r="J6">
        <v>4</v>
      </c>
      <c r="K6" t="s">
        <v>114</v>
      </c>
      <c r="M6">
        <v>22</v>
      </c>
      <c r="N6">
        <v>93.9</v>
      </c>
      <c r="O6">
        <v>39.25</v>
      </c>
      <c r="P6">
        <v>0</v>
      </c>
      <c r="Q6">
        <v>2065.8000000000002</v>
      </c>
      <c r="R6">
        <v>0</v>
      </c>
      <c r="S6">
        <v>2065.8000000000002</v>
      </c>
      <c r="T6">
        <v>0.65138888900000003</v>
      </c>
      <c r="U6">
        <v>0.65694444399999996</v>
      </c>
      <c r="V6">
        <v>0</v>
      </c>
      <c r="W6">
        <v>1</v>
      </c>
      <c r="X6">
        <v>20</v>
      </c>
      <c r="Y6">
        <v>80</v>
      </c>
      <c r="Z6">
        <v>0</v>
      </c>
      <c r="AA6">
        <f>Z6+AA5</f>
        <v>33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 t="s">
        <v>136</v>
      </c>
    </row>
    <row r="7" spans="1:96" x14ac:dyDescent="0.3">
      <c r="A7" s="1">
        <v>45481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>
        <v>5026</v>
      </c>
      <c r="H7" t="s">
        <v>102</v>
      </c>
      <c r="I7" t="s">
        <v>103</v>
      </c>
      <c r="J7">
        <v>4</v>
      </c>
      <c r="K7" t="s">
        <v>104</v>
      </c>
      <c r="M7" t="s">
        <v>105</v>
      </c>
      <c r="N7" t="s">
        <v>105</v>
      </c>
      <c r="O7" t="e">
        <v>#VALUE!</v>
      </c>
      <c r="T7" t="s">
        <v>105</v>
      </c>
      <c r="U7" t="s">
        <v>105</v>
      </c>
      <c r="V7" t="s">
        <v>105</v>
      </c>
      <c r="W7" t="s">
        <v>105</v>
      </c>
      <c r="X7" t="s">
        <v>105</v>
      </c>
      <c r="Y7" t="s">
        <v>105</v>
      </c>
      <c r="Z7">
        <v>31</v>
      </c>
      <c r="AA7">
        <f t="shared" si="0"/>
        <v>64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5</v>
      </c>
      <c r="AL7">
        <v>0</v>
      </c>
      <c r="AM7">
        <v>0</v>
      </c>
      <c r="AN7">
        <v>0</v>
      </c>
      <c r="AO7">
        <v>1</v>
      </c>
      <c r="AP7">
        <v>0</v>
      </c>
      <c r="AQ7">
        <v>0</v>
      </c>
      <c r="AR7">
        <v>1</v>
      </c>
      <c r="AS7">
        <v>0</v>
      </c>
      <c r="AT7">
        <v>1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1</v>
      </c>
      <c r="BR7">
        <v>1</v>
      </c>
      <c r="BS7">
        <v>14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5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</row>
    <row r="8" spans="1:96" x14ac:dyDescent="0.3">
      <c r="A8" s="1">
        <v>45481</v>
      </c>
      <c r="B8" t="s">
        <v>97</v>
      </c>
      <c r="C8" t="s">
        <v>147</v>
      </c>
      <c r="D8" t="s">
        <v>99</v>
      </c>
      <c r="E8" t="s">
        <v>128</v>
      </c>
      <c r="F8" t="s">
        <v>101</v>
      </c>
      <c r="G8">
        <v>14001</v>
      </c>
      <c r="H8" t="s">
        <v>102</v>
      </c>
      <c r="I8" t="s">
        <v>129</v>
      </c>
      <c r="J8">
        <v>4</v>
      </c>
      <c r="K8" t="s">
        <v>104</v>
      </c>
      <c r="M8" t="s">
        <v>105</v>
      </c>
      <c r="N8">
        <v>25.9</v>
      </c>
      <c r="O8">
        <v>8.2044997199999994</v>
      </c>
      <c r="Q8" t="s">
        <v>105</v>
      </c>
      <c r="R8" t="s">
        <v>105</v>
      </c>
      <c r="S8" t="s">
        <v>105</v>
      </c>
      <c r="T8">
        <v>0.66111111099999997</v>
      </c>
      <c r="U8">
        <v>0.66666666699999999</v>
      </c>
      <c r="V8">
        <v>0</v>
      </c>
      <c r="W8">
        <v>1</v>
      </c>
      <c r="X8">
        <v>10</v>
      </c>
      <c r="Y8">
        <v>80</v>
      </c>
      <c r="Z8">
        <v>16</v>
      </c>
      <c r="AA8">
        <f t="shared" si="0"/>
        <v>80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</v>
      </c>
      <c r="AS8">
        <v>0</v>
      </c>
      <c r="AT8">
        <v>2</v>
      </c>
      <c r="AU8">
        <v>1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8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2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</row>
    <row r="9" spans="1:96" x14ac:dyDescent="0.3">
      <c r="A9" s="1">
        <v>45481</v>
      </c>
      <c r="B9" t="s">
        <v>97</v>
      </c>
      <c r="C9" t="s">
        <v>187</v>
      </c>
      <c r="D9" t="s">
        <v>99</v>
      </c>
      <c r="E9" t="s">
        <v>100</v>
      </c>
      <c r="F9" t="s">
        <v>101</v>
      </c>
      <c r="G9">
        <v>5026</v>
      </c>
      <c r="H9" t="s">
        <v>102</v>
      </c>
      <c r="I9" t="s">
        <v>103</v>
      </c>
      <c r="J9">
        <v>4</v>
      </c>
      <c r="K9" t="s">
        <v>104</v>
      </c>
      <c r="M9">
        <v>318</v>
      </c>
      <c r="N9">
        <v>5.5</v>
      </c>
      <c r="O9">
        <v>0.90683199999999997</v>
      </c>
      <c r="P9">
        <v>0</v>
      </c>
      <c r="Q9">
        <v>1749</v>
      </c>
      <c r="R9">
        <v>0</v>
      </c>
      <c r="S9">
        <v>1749</v>
      </c>
      <c r="T9">
        <v>0.13888888899999999</v>
      </c>
      <c r="U9">
        <v>0.14444444400000001</v>
      </c>
      <c r="V9">
        <v>0</v>
      </c>
      <c r="W9">
        <v>1</v>
      </c>
      <c r="X9">
        <v>25</v>
      </c>
      <c r="Y9">
        <v>80</v>
      </c>
      <c r="Z9">
        <v>25</v>
      </c>
      <c r="AA9">
        <f t="shared" si="0"/>
        <v>105</v>
      </c>
      <c r="AB9">
        <v>0</v>
      </c>
      <c r="AC9">
        <v>0</v>
      </c>
      <c r="AD9">
        <v>0</v>
      </c>
      <c r="AE9">
        <v>0</v>
      </c>
      <c r="AF9">
        <v>0</v>
      </c>
      <c r="AG9">
        <v>1</v>
      </c>
      <c r="AH9">
        <v>0</v>
      </c>
      <c r="AI9">
        <v>0</v>
      </c>
      <c r="AJ9">
        <v>0</v>
      </c>
      <c r="AK9">
        <v>2</v>
      </c>
      <c r="AL9">
        <v>0</v>
      </c>
      <c r="AM9">
        <v>0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4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1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1</v>
      </c>
      <c r="BR9">
        <v>1</v>
      </c>
      <c r="BS9">
        <v>12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3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</row>
    <row r="10" spans="1:96" x14ac:dyDescent="0.3">
      <c r="A10" s="1">
        <v>45483</v>
      </c>
      <c r="B10" t="s">
        <v>97</v>
      </c>
      <c r="C10" t="s">
        <v>98</v>
      </c>
      <c r="D10" t="s">
        <v>99</v>
      </c>
      <c r="E10" t="s">
        <v>100</v>
      </c>
      <c r="F10" t="s">
        <v>101</v>
      </c>
      <c r="G10">
        <v>5026</v>
      </c>
      <c r="H10" t="s">
        <v>102</v>
      </c>
      <c r="I10" t="s">
        <v>103</v>
      </c>
      <c r="J10">
        <v>4</v>
      </c>
      <c r="K10" t="s">
        <v>104</v>
      </c>
      <c r="M10" t="s">
        <v>105</v>
      </c>
      <c r="N10" t="s">
        <v>105</v>
      </c>
      <c r="O10" t="e">
        <v>#VALUE!</v>
      </c>
      <c r="P10" t="e">
        <v>#VALUE!</v>
      </c>
      <c r="Q10" t="e">
        <v>#VALUE!</v>
      </c>
      <c r="R10" t="e">
        <v>#VALUE!</v>
      </c>
      <c r="S10" t="s">
        <v>105</v>
      </c>
      <c r="T10">
        <v>0.52638888900000003</v>
      </c>
      <c r="U10">
        <v>0.529861111</v>
      </c>
      <c r="V10">
        <v>0</v>
      </c>
      <c r="W10">
        <v>1</v>
      </c>
      <c r="X10">
        <v>40</v>
      </c>
      <c r="Y10">
        <v>73</v>
      </c>
      <c r="Z10">
        <v>18</v>
      </c>
      <c r="AA10">
        <f t="shared" si="0"/>
        <v>123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2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1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2</v>
      </c>
      <c r="BS10">
        <v>12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1</v>
      </c>
    </row>
    <row r="11" spans="1:96" x14ac:dyDescent="0.3">
      <c r="A11" s="1">
        <v>45483</v>
      </c>
      <c r="B11" t="s">
        <v>97</v>
      </c>
      <c r="C11" t="s">
        <v>110</v>
      </c>
      <c r="D11" t="s">
        <v>99</v>
      </c>
      <c r="E11" t="s">
        <v>111</v>
      </c>
      <c r="F11" t="s">
        <v>108</v>
      </c>
      <c r="G11" t="s">
        <v>112</v>
      </c>
      <c r="H11" t="s">
        <v>113</v>
      </c>
      <c r="I11" t="s">
        <v>103</v>
      </c>
      <c r="J11">
        <v>4</v>
      </c>
      <c r="K11" t="s">
        <v>114</v>
      </c>
      <c r="M11" t="s">
        <v>105</v>
      </c>
      <c r="N11">
        <v>388.8</v>
      </c>
      <c r="O11">
        <v>8.3053000000000008</v>
      </c>
      <c r="P11">
        <v>0</v>
      </c>
      <c r="Q11">
        <v>0</v>
      </c>
      <c r="R11">
        <v>0</v>
      </c>
      <c r="S11" t="s">
        <v>105</v>
      </c>
      <c r="T11">
        <v>0.58263888900000005</v>
      </c>
      <c r="U11">
        <v>0.58611111100000002</v>
      </c>
      <c r="V11">
        <v>0</v>
      </c>
      <c r="W11">
        <v>2</v>
      </c>
      <c r="X11">
        <v>40</v>
      </c>
      <c r="Y11">
        <v>75</v>
      </c>
      <c r="Z11">
        <v>10</v>
      </c>
      <c r="AA11">
        <f t="shared" si="0"/>
        <v>133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1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9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</row>
    <row r="12" spans="1:96" x14ac:dyDescent="0.3">
      <c r="A12" s="1">
        <v>45483</v>
      </c>
      <c r="B12" t="s">
        <v>97</v>
      </c>
      <c r="C12" t="s">
        <v>115</v>
      </c>
      <c r="D12" t="s">
        <v>99</v>
      </c>
      <c r="E12" t="s">
        <v>116</v>
      </c>
      <c r="F12" t="s">
        <v>101</v>
      </c>
      <c r="G12" t="s">
        <v>117</v>
      </c>
      <c r="H12" t="s">
        <v>118</v>
      </c>
      <c r="I12" t="s">
        <v>119</v>
      </c>
      <c r="J12">
        <v>4</v>
      </c>
      <c r="K12" t="s">
        <v>120</v>
      </c>
      <c r="M12" t="s">
        <v>105</v>
      </c>
      <c r="N12">
        <v>68.400000000000006</v>
      </c>
      <c r="O12">
        <v>4.1488433149999997</v>
      </c>
      <c r="P12">
        <v>0</v>
      </c>
      <c r="Q12">
        <v>0</v>
      </c>
      <c r="R12">
        <v>0</v>
      </c>
      <c r="S12" t="s">
        <v>105</v>
      </c>
      <c r="T12">
        <v>0.49722222199999999</v>
      </c>
      <c r="U12">
        <v>0.50069444399999996</v>
      </c>
      <c r="V12">
        <v>0</v>
      </c>
      <c r="W12">
        <v>1</v>
      </c>
      <c r="X12">
        <v>10</v>
      </c>
      <c r="Y12">
        <v>72</v>
      </c>
      <c r="Z12">
        <v>11</v>
      </c>
      <c r="AA12">
        <f t="shared" si="0"/>
        <v>144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2</v>
      </c>
      <c r="AL12">
        <v>0</v>
      </c>
      <c r="AM12">
        <v>0</v>
      </c>
      <c r="AN12">
        <v>0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2</v>
      </c>
      <c r="AU12">
        <v>1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4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1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</row>
    <row r="13" spans="1:96" x14ac:dyDescent="0.3">
      <c r="A13" s="1">
        <v>45483</v>
      </c>
      <c r="B13" t="s">
        <v>97</v>
      </c>
      <c r="C13" t="s">
        <v>124</v>
      </c>
      <c r="D13" t="s">
        <v>99</v>
      </c>
      <c r="E13" t="s">
        <v>125</v>
      </c>
      <c r="F13" t="s">
        <v>101</v>
      </c>
      <c r="G13">
        <v>11045</v>
      </c>
      <c r="H13" t="s">
        <v>126</v>
      </c>
      <c r="I13" t="s">
        <v>103</v>
      </c>
      <c r="J13">
        <v>4</v>
      </c>
      <c r="K13" t="s">
        <v>120</v>
      </c>
      <c r="M13" t="s">
        <v>105</v>
      </c>
      <c r="N13">
        <v>31</v>
      </c>
      <c r="O13">
        <v>9.0432000000000006</v>
      </c>
      <c r="P13">
        <v>0</v>
      </c>
      <c r="Q13">
        <v>0</v>
      </c>
      <c r="R13">
        <v>0</v>
      </c>
      <c r="S13" t="s">
        <v>105</v>
      </c>
      <c r="T13">
        <v>0.50833333300000005</v>
      </c>
      <c r="U13">
        <v>0.51180555599999999</v>
      </c>
      <c r="V13">
        <v>0</v>
      </c>
      <c r="W13">
        <v>1</v>
      </c>
      <c r="X13">
        <v>10</v>
      </c>
      <c r="Y13">
        <v>72</v>
      </c>
      <c r="Z13">
        <v>2</v>
      </c>
      <c r="AA13">
        <f t="shared" si="0"/>
        <v>146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1</v>
      </c>
      <c r="CN13">
        <v>0</v>
      </c>
      <c r="CO13">
        <v>0</v>
      </c>
      <c r="CP13">
        <v>0</v>
      </c>
      <c r="CQ13">
        <v>0</v>
      </c>
    </row>
    <row r="14" spans="1:96" x14ac:dyDescent="0.3">
      <c r="A14" s="1">
        <v>45483</v>
      </c>
      <c r="B14" t="s">
        <v>97</v>
      </c>
      <c r="C14" t="s">
        <v>127</v>
      </c>
      <c r="D14" t="s">
        <v>99</v>
      </c>
      <c r="E14" t="s">
        <v>128</v>
      </c>
      <c r="F14" t="s">
        <v>101</v>
      </c>
      <c r="G14">
        <v>5079</v>
      </c>
      <c r="H14" t="s">
        <v>102</v>
      </c>
      <c r="I14" t="s">
        <v>129</v>
      </c>
      <c r="J14">
        <v>4</v>
      </c>
      <c r="K14" t="s">
        <v>104</v>
      </c>
      <c r="M14" t="s">
        <v>105</v>
      </c>
      <c r="N14">
        <v>98.6</v>
      </c>
      <c r="O14">
        <v>14.13</v>
      </c>
      <c r="P14">
        <v>0</v>
      </c>
      <c r="Q14">
        <v>0</v>
      </c>
      <c r="R14">
        <v>0</v>
      </c>
      <c r="S14" t="s">
        <v>105</v>
      </c>
      <c r="T14">
        <v>0.48749999999999999</v>
      </c>
      <c r="U14">
        <v>0.49097222200000001</v>
      </c>
      <c r="V14">
        <v>0</v>
      </c>
      <c r="W14">
        <v>1</v>
      </c>
      <c r="X14">
        <v>10</v>
      </c>
      <c r="Y14">
        <v>72</v>
      </c>
      <c r="Z14">
        <v>10</v>
      </c>
      <c r="AA14">
        <f t="shared" si="0"/>
        <v>156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2</v>
      </c>
      <c r="AU14">
        <v>2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1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1</v>
      </c>
      <c r="BS14">
        <v>2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</row>
    <row r="15" spans="1:96" x14ac:dyDescent="0.3">
      <c r="A15" s="1">
        <v>45483</v>
      </c>
      <c r="B15" t="s">
        <v>97</v>
      </c>
      <c r="C15" t="s">
        <v>130</v>
      </c>
      <c r="D15" t="s">
        <v>99</v>
      </c>
      <c r="E15" t="s">
        <v>131</v>
      </c>
      <c r="F15" t="s">
        <v>101</v>
      </c>
      <c r="G15">
        <v>1128</v>
      </c>
      <c r="H15" t="s">
        <v>113</v>
      </c>
      <c r="I15" t="s">
        <v>119</v>
      </c>
      <c r="J15">
        <v>4</v>
      </c>
      <c r="K15" t="s">
        <v>120</v>
      </c>
      <c r="M15" t="s">
        <v>105</v>
      </c>
      <c r="N15">
        <v>36.1</v>
      </c>
      <c r="O15">
        <v>8.3053000000000008</v>
      </c>
      <c r="P15">
        <v>0</v>
      </c>
      <c r="Q15">
        <v>0</v>
      </c>
      <c r="R15">
        <v>0</v>
      </c>
      <c r="S15" t="s">
        <v>105</v>
      </c>
      <c r="T15">
        <v>0.51805555599999997</v>
      </c>
      <c r="U15">
        <v>0.52152777800000005</v>
      </c>
      <c r="V15">
        <v>0</v>
      </c>
      <c r="W15">
        <v>1</v>
      </c>
      <c r="X15">
        <v>40</v>
      </c>
      <c r="Y15">
        <v>73</v>
      </c>
      <c r="Z15">
        <v>2</v>
      </c>
      <c r="AA15">
        <f t="shared" si="0"/>
        <v>158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2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</row>
    <row r="16" spans="1:96" x14ac:dyDescent="0.3">
      <c r="A16" s="1">
        <v>45483</v>
      </c>
      <c r="B16" t="s">
        <v>97</v>
      </c>
      <c r="C16" t="s">
        <v>132</v>
      </c>
      <c r="D16" t="s">
        <v>99</v>
      </c>
      <c r="E16" t="s">
        <v>133</v>
      </c>
      <c r="F16" t="s">
        <v>101</v>
      </c>
      <c r="G16">
        <v>12021</v>
      </c>
      <c r="H16" t="s">
        <v>102</v>
      </c>
      <c r="I16" t="s">
        <v>119</v>
      </c>
      <c r="J16">
        <v>4</v>
      </c>
      <c r="K16" t="s">
        <v>104</v>
      </c>
      <c r="M16" t="s">
        <v>105</v>
      </c>
      <c r="N16">
        <v>97.8</v>
      </c>
      <c r="O16">
        <v>6.28</v>
      </c>
      <c r="P16">
        <v>0</v>
      </c>
      <c r="Q16">
        <v>0</v>
      </c>
      <c r="R16">
        <v>0</v>
      </c>
      <c r="S16" t="s">
        <v>105</v>
      </c>
      <c r="T16">
        <v>0.47777777799999999</v>
      </c>
      <c r="U16">
        <v>0.49097222200000001</v>
      </c>
      <c r="V16">
        <v>0</v>
      </c>
      <c r="W16">
        <v>1</v>
      </c>
      <c r="X16">
        <v>10</v>
      </c>
      <c r="Y16">
        <v>72</v>
      </c>
      <c r="Z16">
        <v>20</v>
      </c>
      <c r="AA16">
        <f t="shared" si="0"/>
        <v>178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3</v>
      </c>
      <c r="AU16">
        <v>2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1</v>
      </c>
      <c r="BN16">
        <v>0</v>
      </c>
      <c r="BO16">
        <v>0</v>
      </c>
      <c r="BP16">
        <v>0</v>
      </c>
      <c r="BQ16">
        <v>0</v>
      </c>
      <c r="BR16">
        <v>7</v>
      </c>
      <c r="BS16">
        <v>5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1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1</v>
      </c>
    </row>
    <row r="17" spans="1:96" x14ac:dyDescent="0.3">
      <c r="A17" s="1">
        <v>45486</v>
      </c>
      <c r="B17" t="s">
        <v>97</v>
      </c>
      <c r="C17" t="s">
        <v>106</v>
      </c>
      <c r="D17" t="s">
        <v>99</v>
      </c>
      <c r="E17" t="s">
        <v>107</v>
      </c>
      <c r="F17" t="s">
        <v>108</v>
      </c>
      <c r="G17">
        <v>2068</v>
      </c>
      <c r="H17" t="s">
        <v>102</v>
      </c>
      <c r="I17" t="s">
        <v>103</v>
      </c>
      <c r="J17">
        <v>4</v>
      </c>
      <c r="K17" t="s">
        <v>109</v>
      </c>
      <c r="M17" t="s">
        <v>105</v>
      </c>
      <c r="N17">
        <v>278.5</v>
      </c>
      <c r="O17" t="e">
        <v>#VALUE!</v>
      </c>
      <c r="T17" t="s">
        <v>105</v>
      </c>
      <c r="U17" t="s">
        <v>105</v>
      </c>
      <c r="V17" t="s">
        <v>105</v>
      </c>
      <c r="W17" t="s">
        <v>105</v>
      </c>
      <c r="X17" t="s">
        <v>105</v>
      </c>
      <c r="Y17" t="s">
        <v>105</v>
      </c>
      <c r="Z17">
        <v>42</v>
      </c>
      <c r="AA17">
        <f t="shared" si="0"/>
        <v>220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1</v>
      </c>
      <c r="AM17">
        <v>0</v>
      </c>
      <c r="AN17">
        <v>0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2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1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3</v>
      </c>
      <c r="BJ17">
        <v>0</v>
      </c>
      <c r="BK17">
        <v>0</v>
      </c>
      <c r="BL17">
        <v>0</v>
      </c>
      <c r="BM17">
        <v>1</v>
      </c>
      <c r="BN17">
        <v>0</v>
      </c>
      <c r="BO17">
        <v>0</v>
      </c>
      <c r="BP17">
        <v>0</v>
      </c>
      <c r="BQ17">
        <v>0</v>
      </c>
      <c r="BR17">
        <v>4</v>
      </c>
      <c r="BS17">
        <v>28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3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</row>
    <row r="18" spans="1:96" x14ac:dyDescent="0.3">
      <c r="A18" s="1">
        <v>45490</v>
      </c>
      <c r="B18" t="s">
        <v>97</v>
      </c>
      <c r="C18" t="s">
        <v>137</v>
      </c>
      <c r="D18" t="s">
        <v>99</v>
      </c>
      <c r="E18" t="s">
        <v>138</v>
      </c>
      <c r="F18" t="s">
        <v>101</v>
      </c>
      <c r="G18">
        <v>14026</v>
      </c>
      <c r="H18" t="s">
        <v>113</v>
      </c>
      <c r="I18" t="s">
        <v>129</v>
      </c>
      <c r="J18">
        <v>4</v>
      </c>
      <c r="K18" t="s">
        <v>120</v>
      </c>
      <c r="M18" t="s">
        <v>105</v>
      </c>
      <c r="N18">
        <v>76.5</v>
      </c>
      <c r="O18">
        <v>8.5731957570000006</v>
      </c>
      <c r="P18">
        <v>0</v>
      </c>
      <c r="Q18">
        <v>0</v>
      </c>
      <c r="R18">
        <v>0</v>
      </c>
      <c r="S18" t="s">
        <v>105</v>
      </c>
      <c r="T18">
        <v>0.43541666699999998</v>
      </c>
      <c r="U18">
        <v>0.438888889</v>
      </c>
      <c r="V18">
        <v>0</v>
      </c>
      <c r="W18">
        <v>2</v>
      </c>
      <c r="X18">
        <v>0</v>
      </c>
      <c r="Y18">
        <v>71</v>
      </c>
      <c r="Z18">
        <v>1</v>
      </c>
      <c r="AA18">
        <f t="shared" si="0"/>
        <v>221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1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</row>
    <row r="19" spans="1:96" x14ac:dyDescent="0.3">
      <c r="A19" s="1">
        <v>45490</v>
      </c>
      <c r="B19" t="s">
        <v>97</v>
      </c>
      <c r="C19" t="s">
        <v>139</v>
      </c>
      <c r="D19" t="s">
        <v>99</v>
      </c>
      <c r="E19" t="s">
        <v>140</v>
      </c>
      <c r="F19" t="s">
        <v>101</v>
      </c>
      <c r="G19">
        <v>17047</v>
      </c>
      <c r="H19" t="s">
        <v>126</v>
      </c>
      <c r="I19" t="s">
        <v>119</v>
      </c>
      <c r="J19">
        <v>4</v>
      </c>
      <c r="K19" t="s">
        <v>120</v>
      </c>
      <c r="M19" t="s">
        <v>105</v>
      </c>
      <c r="N19">
        <v>109</v>
      </c>
      <c r="O19">
        <v>9.3348974590000005</v>
      </c>
      <c r="P19">
        <v>0</v>
      </c>
      <c r="Q19">
        <v>0</v>
      </c>
      <c r="R19">
        <v>0</v>
      </c>
      <c r="S19" t="s">
        <v>105</v>
      </c>
      <c r="T19">
        <v>0.65833333299999997</v>
      </c>
      <c r="U19">
        <v>0.66180555600000002</v>
      </c>
      <c r="V19">
        <v>0</v>
      </c>
      <c r="W19">
        <v>2</v>
      </c>
      <c r="X19">
        <v>40</v>
      </c>
      <c r="Y19">
        <v>77</v>
      </c>
      <c r="Z19">
        <v>2</v>
      </c>
      <c r="AA19">
        <f t="shared" si="0"/>
        <v>223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1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</row>
    <row r="20" spans="1:96" x14ac:dyDescent="0.3">
      <c r="A20" s="1">
        <v>45490</v>
      </c>
      <c r="B20" t="s">
        <v>97</v>
      </c>
      <c r="C20" t="s">
        <v>139</v>
      </c>
      <c r="D20" t="s">
        <v>99</v>
      </c>
      <c r="E20" t="s">
        <v>140</v>
      </c>
      <c r="F20" t="s">
        <v>101</v>
      </c>
      <c r="G20">
        <v>17047</v>
      </c>
      <c r="H20" t="s">
        <v>126</v>
      </c>
      <c r="I20" t="s">
        <v>119</v>
      </c>
      <c r="J20">
        <v>4</v>
      </c>
      <c r="K20" t="s">
        <v>120</v>
      </c>
      <c r="M20" t="s">
        <v>105</v>
      </c>
      <c r="N20">
        <v>109</v>
      </c>
      <c r="O20">
        <v>9.3348974590000005</v>
      </c>
      <c r="P20">
        <v>0</v>
      </c>
      <c r="Q20">
        <v>0</v>
      </c>
      <c r="R20">
        <v>0</v>
      </c>
      <c r="S20" t="s">
        <v>105</v>
      </c>
      <c r="T20">
        <v>0.65833333299999997</v>
      </c>
      <c r="U20">
        <v>0.66180555600000002</v>
      </c>
      <c r="V20">
        <v>0</v>
      </c>
      <c r="W20">
        <v>2</v>
      </c>
      <c r="X20">
        <v>40</v>
      </c>
      <c r="Y20">
        <v>77</v>
      </c>
      <c r="Z20">
        <v>1</v>
      </c>
      <c r="AA20">
        <f t="shared" si="0"/>
        <v>224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</row>
    <row r="21" spans="1:96" x14ac:dyDescent="0.3">
      <c r="A21" s="1">
        <v>45490</v>
      </c>
      <c r="B21" t="s">
        <v>97</v>
      </c>
      <c r="C21" t="s">
        <v>141</v>
      </c>
      <c r="D21" t="s">
        <v>99</v>
      </c>
      <c r="E21" t="s">
        <v>142</v>
      </c>
      <c r="F21" t="s">
        <v>101</v>
      </c>
      <c r="G21">
        <v>14010</v>
      </c>
      <c r="H21" t="s">
        <v>102</v>
      </c>
      <c r="I21" t="s">
        <v>129</v>
      </c>
      <c r="J21">
        <v>4</v>
      </c>
      <c r="K21" t="s">
        <v>104</v>
      </c>
      <c r="M21" t="s">
        <v>105</v>
      </c>
      <c r="N21">
        <v>59.7</v>
      </c>
      <c r="O21">
        <v>5.5466469710000004</v>
      </c>
      <c r="P21">
        <v>0</v>
      </c>
      <c r="Q21">
        <v>0</v>
      </c>
      <c r="R21">
        <v>0</v>
      </c>
      <c r="S21" t="s">
        <v>105</v>
      </c>
      <c r="T21">
        <v>0.42361111099999998</v>
      </c>
      <c r="U21">
        <v>0.42708333300000001</v>
      </c>
      <c r="V21">
        <v>0</v>
      </c>
      <c r="W21">
        <v>2</v>
      </c>
      <c r="X21">
        <v>0</v>
      </c>
      <c r="Y21">
        <v>71</v>
      </c>
      <c r="Z21">
        <v>7</v>
      </c>
      <c r="AA21">
        <f t="shared" si="0"/>
        <v>231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3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1</v>
      </c>
      <c r="BS21">
        <v>2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1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</row>
    <row r="22" spans="1:96" x14ac:dyDescent="0.3">
      <c r="A22" s="1">
        <v>45490</v>
      </c>
      <c r="B22" t="s">
        <v>97</v>
      </c>
      <c r="C22" t="s">
        <v>106</v>
      </c>
      <c r="D22" t="s">
        <v>99</v>
      </c>
      <c r="E22" t="s">
        <v>107</v>
      </c>
      <c r="F22" t="s">
        <v>108</v>
      </c>
      <c r="G22">
        <v>2068</v>
      </c>
      <c r="H22" t="s">
        <v>102</v>
      </c>
      <c r="I22" t="s">
        <v>103</v>
      </c>
      <c r="J22">
        <v>4</v>
      </c>
      <c r="K22" t="s">
        <v>109</v>
      </c>
      <c r="M22" t="s">
        <v>105</v>
      </c>
      <c r="N22">
        <v>278.5</v>
      </c>
      <c r="O22" t="e">
        <v>#VALUE!</v>
      </c>
      <c r="P22" t="e">
        <v>#VALUE!</v>
      </c>
      <c r="Q22">
        <v>0</v>
      </c>
      <c r="R22" t="e">
        <v>#VALUE!</v>
      </c>
      <c r="S22" t="s">
        <v>105</v>
      </c>
      <c r="T22">
        <v>0.49652777799999998</v>
      </c>
      <c r="U22">
        <v>0.5</v>
      </c>
      <c r="V22">
        <v>0</v>
      </c>
      <c r="W22">
        <v>1</v>
      </c>
      <c r="X22">
        <v>20</v>
      </c>
      <c r="Y22">
        <v>73</v>
      </c>
      <c r="Z22">
        <v>7</v>
      </c>
      <c r="AA22">
        <f t="shared" si="0"/>
        <v>238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3</v>
      </c>
      <c r="BT22">
        <v>0</v>
      </c>
      <c r="BU22">
        <v>0</v>
      </c>
      <c r="BV22">
        <v>4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</row>
    <row r="23" spans="1:96" x14ac:dyDescent="0.3">
      <c r="A23" s="1">
        <v>45490</v>
      </c>
      <c r="B23" t="s">
        <v>97</v>
      </c>
      <c r="C23" t="s">
        <v>143</v>
      </c>
      <c r="D23" t="s">
        <v>99</v>
      </c>
      <c r="E23" t="s">
        <v>138</v>
      </c>
      <c r="F23" t="s">
        <v>101</v>
      </c>
      <c r="G23" t="s">
        <v>144</v>
      </c>
      <c r="H23" t="s">
        <v>118</v>
      </c>
      <c r="I23" t="s">
        <v>129</v>
      </c>
      <c r="J23" t="s">
        <v>105</v>
      </c>
      <c r="K23" t="s">
        <v>120</v>
      </c>
      <c r="M23" t="s">
        <v>105</v>
      </c>
      <c r="N23">
        <v>71.400000000000006</v>
      </c>
      <c r="O23">
        <v>8.9499950029999997</v>
      </c>
      <c r="P23">
        <v>0</v>
      </c>
      <c r="Q23">
        <v>0</v>
      </c>
      <c r="R23">
        <v>0</v>
      </c>
      <c r="S23" t="s">
        <v>105</v>
      </c>
      <c r="T23">
        <v>0.396527778</v>
      </c>
      <c r="U23">
        <v>0.4</v>
      </c>
      <c r="V23">
        <v>0</v>
      </c>
      <c r="W23">
        <v>2</v>
      </c>
      <c r="X23">
        <v>0</v>
      </c>
      <c r="Y23">
        <v>71</v>
      </c>
      <c r="Z23">
        <v>5</v>
      </c>
      <c r="AA23">
        <f t="shared" si="0"/>
        <v>243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1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1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1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</row>
    <row r="24" spans="1:96" x14ac:dyDescent="0.3">
      <c r="A24" s="1">
        <v>45490</v>
      </c>
      <c r="B24" t="s">
        <v>97</v>
      </c>
      <c r="C24" t="s">
        <v>145</v>
      </c>
      <c r="D24" t="s">
        <v>99</v>
      </c>
      <c r="E24" t="s">
        <v>138</v>
      </c>
      <c r="F24" t="s">
        <v>101</v>
      </c>
      <c r="G24" t="s">
        <v>146</v>
      </c>
      <c r="H24" t="s">
        <v>113</v>
      </c>
      <c r="I24" t="s">
        <v>129</v>
      </c>
      <c r="J24">
        <v>4</v>
      </c>
      <c r="K24" t="s">
        <v>120</v>
      </c>
      <c r="M24" t="s">
        <v>105</v>
      </c>
      <c r="N24">
        <v>94.3</v>
      </c>
      <c r="O24">
        <v>8.5731957570000006</v>
      </c>
      <c r="P24">
        <v>0</v>
      </c>
      <c r="Q24">
        <v>0</v>
      </c>
      <c r="R24">
        <v>0</v>
      </c>
      <c r="S24" t="s">
        <v>105</v>
      </c>
      <c r="T24">
        <v>0.40625</v>
      </c>
      <c r="U24">
        <v>0.40972222200000002</v>
      </c>
      <c r="V24">
        <v>0</v>
      </c>
      <c r="W24">
        <v>2</v>
      </c>
      <c r="X24">
        <v>0</v>
      </c>
      <c r="Y24">
        <v>71</v>
      </c>
      <c r="Z24">
        <v>5</v>
      </c>
      <c r="AA24">
        <f t="shared" si="0"/>
        <v>248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1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2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1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</row>
    <row r="25" spans="1:96" x14ac:dyDescent="0.3">
      <c r="A25" s="1">
        <v>45490</v>
      </c>
      <c r="B25" t="s">
        <v>97</v>
      </c>
      <c r="C25" t="s">
        <v>147</v>
      </c>
      <c r="D25" t="s">
        <v>99</v>
      </c>
      <c r="E25" t="s">
        <v>128</v>
      </c>
      <c r="F25" t="s">
        <v>101</v>
      </c>
      <c r="G25">
        <v>14001</v>
      </c>
      <c r="H25" t="s">
        <v>102</v>
      </c>
      <c r="I25" t="s">
        <v>129</v>
      </c>
      <c r="J25">
        <v>4</v>
      </c>
      <c r="K25" t="s">
        <v>104</v>
      </c>
      <c r="M25" t="s">
        <v>105</v>
      </c>
      <c r="N25">
        <v>25.9</v>
      </c>
      <c r="O25">
        <v>8.2044997199999994</v>
      </c>
      <c r="P25">
        <v>0</v>
      </c>
      <c r="Q25">
        <v>0</v>
      </c>
      <c r="R25">
        <v>0</v>
      </c>
      <c r="S25" t="s">
        <v>105</v>
      </c>
      <c r="T25">
        <v>0.64652777800000005</v>
      </c>
      <c r="U25">
        <v>0.65</v>
      </c>
      <c r="V25">
        <v>0</v>
      </c>
      <c r="W25">
        <v>2</v>
      </c>
      <c r="X25">
        <v>25</v>
      </c>
      <c r="Y25">
        <v>73</v>
      </c>
      <c r="Z25">
        <v>6</v>
      </c>
      <c r="AA25">
        <f t="shared" si="0"/>
        <v>254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2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3</v>
      </c>
      <c r="AU25">
        <v>1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</row>
    <row r="26" spans="1:96" x14ac:dyDescent="0.3">
      <c r="A26" s="1">
        <v>45490</v>
      </c>
      <c r="B26" t="s">
        <v>97</v>
      </c>
      <c r="C26" t="s">
        <v>147</v>
      </c>
      <c r="D26" t="s">
        <v>99</v>
      </c>
      <c r="E26" t="s">
        <v>128</v>
      </c>
      <c r="F26" t="s">
        <v>101</v>
      </c>
      <c r="G26">
        <v>14001</v>
      </c>
      <c r="H26" t="s">
        <v>102</v>
      </c>
      <c r="I26" t="s">
        <v>129</v>
      </c>
      <c r="J26">
        <v>4</v>
      </c>
      <c r="K26" t="s">
        <v>104</v>
      </c>
      <c r="M26" t="s">
        <v>105</v>
      </c>
      <c r="N26">
        <v>25.9</v>
      </c>
      <c r="O26">
        <v>8.2044997199999994</v>
      </c>
      <c r="P26">
        <v>0</v>
      </c>
      <c r="Q26">
        <v>0</v>
      </c>
      <c r="R26">
        <v>0</v>
      </c>
      <c r="S26" t="s">
        <v>105</v>
      </c>
      <c r="T26">
        <v>0.46805555599999998</v>
      </c>
      <c r="U26">
        <v>0.47152777800000001</v>
      </c>
      <c r="V26">
        <v>0</v>
      </c>
      <c r="W26">
        <v>2</v>
      </c>
      <c r="X26">
        <v>5</v>
      </c>
      <c r="Y26">
        <v>73</v>
      </c>
      <c r="Z26">
        <v>6</v>
      </c>
      <c r="AA26">
        <f t="shared" si="0"/>
        <v>260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2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3</v>
      </c>
      <c r="AU26">
        <v>1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 t="s">
        <v>148</v>
      </c>
    </row>
    <row r="27" spans="1:96" x14ac:dyDescent="0.3">
      <c r="A27" s="1">
        <v>45490</v>
      </c>
      <c r="B27" t="s">
        <v>97</v>
      </c>
      <c r="C27" t="s">
        <v>149</v>
      </c>
      <c r="D27" t="s">
        <v>99</v>
      </c>
      <c r="E27" t="s">
        <v>150</v>
      </c>
      <c r="F27" t="s">
        <v>101</v>
      </c>
      <c r="G27" t="s">
        <v>151</v>
      </c>
      <c r="H27" t="s">
        <v>126</v>
      </c>
      <c r="I27" t="s">
        <v>103</v>
      </c>
      <c r="J27">
        <v>4</v>
      </c>
      <c r="K27" t="s">
        <v>120</v>
      </c>
      <c r="M27" t="s">
        <v>105</v>
      </c>
      <c r="N27">
        <v>72.099999999999994</v>
      </c>
      <c r="O27">
        <v>6.162490901</v>
      </c>
      <c r="P27">
        <v>0</v>
      </c>
      <c r="Q27">
        <v>0</v>
      </c>
      <c r="R27">
        <v>0</v>
      </c>
      <c r="S27" t="s">
        <v>105</v>
      </c>
      <c r="T27">
        <v>0.67638888900000005</v>
      </c>
      <c r="U27">
        <v>0.67986111100000002</v>
      </c>
      <c r="V27">
        <v>0</v>
      </c>
      <c r="W27">
        <v>2</v>
      </c>
      <c r="X27">
        <v>40</v>
      </c>
      <c r="Y27">
        <v>77</v>
      </c>
      <c r="Z27">
        <v>3</v>
      </c>
      <c r="AA27">
        <f t="shared" si="0"/>
        <v>263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2</v>
      </c>
      <c r="AL27">
        <v>0</v>
      </c>
      <c r="AM27">
        <v>0</v>
      </c>
      <c r="AN27">
        <v>0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</row>
    <row r="28" spans="1:96" x14ac:dyDescent="0.3">
      <c r="A28" s="1">
        <v>45490</v>
      </c>
      <c r="B28" t="s">
        <v>97</v>
      </c>
      <c r="C28" t="s">
        <v>152</v>
      </c>
      <c r="E28" t="s">
        <v>153</v>
      </c>
      <c r="F28" t="s">
        <v>108</v>
      </c>
      <c r="G28">
        <v>16025</v>
      </c>
      <c r="H28" t="s">
        <v>113</v>
      </c>
      <c r="I28" t="s">
        <v>129</v>
      </c>
      <c r="J28">
        <v>4</v>
      </c>
      <c r="K28" t="s">
        <v>114</v>
      </c>
      <c r="M28" t="s">
        <v>105</v>
      </c>
      <c r="N28">
        <v>245</v>
      </c>
      <c r="O28">
        <v>3.4073996370000001</v>
      </c>
      <c r="P28">
        <v>0</v>
      </c>
      <c r="Q28">
        <v>0</v>
      </c>
      <c r="R28">
        <v>0</v>
      </c>
      <c r="S28" t="s">
        <v>105</v>
      </c>
      <c r="T28">
        <v>0.625</v>
      </c>
      <c r="U28">
        <v>0.62847222199999997</v>
      </c>
      <c r="V28">
        <v>0</v>
      </c>
      <c r="W28">
        <v>2</v>
      </c>
      <c r="X28">
        <v>25</v>
      </c>
      <c r="Y28">
        <v>75</v>
      </c>
      <c r="Z28">
        <v>0</v>
      </c>
      <c r="AA28">
        <f t="shared" si="0"/>
        <v>263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</row>
    <row r="29" spans="1:96" x14ac:dyDescent="0.3">
      <c r="A29" s="1">
        <v>45490</v>
      </c>
      <c r="B29" t="s">
        <v>97</v>
      </c>
      <c r="C29" t="s">
        <v>154</v>
      </c>
      <c r="D29" t="s">
        <v>99</v>
      </c>
      <c r="E29" t="s">
        <v>155</v>
      </c>
      <c r="F29" t="s">
        <v>101</v>
      </c>
      <c r="G29">
        <v>14022</v>
      </c>
      <c r="H29" t="s">
        <v>126</v>
      </c>
      <c r="I29" t="s">
        <v>119</v>
      </c>
      <c r="J29">
        <v>4</v>
      </c>
      <c r="K29" t="s">
        <v>120</v>
      </c>
      <c r="M29" t="s">
        <v>105</v>
      </c>
      <c r="N29">
        <v>47.1</v>
      </c>
      <c r="O29">
        <v>5.5466469710000004</v>
      </c>
      <c r="P29">
        <v>0</v>
      </c>
      <c r="Q29">
        <v>0</v>
      </c>
      <c r="R29">
        <v>0</v>
      </c>
      <c r="S29" t="s">
        <v>105</v>
      </c>
      <c r="T29">
        <v>0.48055555599999999</v>
      </c>
      <c r="U29">
        <v>0.48402777800000002</v>
      </c>
      <c r="V29">
        <v>0</v>
      </c>
      <c r="W29">
        <v>2</v>
      </c>
      <c r="X29">
        <v>5</v>
      </c>
      <c r="Y29">
        <v>73</v>
      </c>
      <c r="Z29">
        <v>7</v>
      </c>
      <c r="AA29">
        <f t="shared" si="0"/>
        <v>270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4</v>
      </c>
      <c r="BT29">
        <v>0</v>
      </c>
      <c r="BU29">
        <v>0</v>
      </c>
      <c r="BV29">
        <v>1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</row>
    <row r="30" spans="1:96" x14ac:dyDescent="0.3">
      <c r="A30" s="1">
        <v>45490</v>
      </c>
      <c r="B30" t="s">
        <v>97</v>
      </c>
      <c r="C30" t="s">
        <v>156</v>
      </c>
      <c r="D30" t="s">
        <v>99</v>
      </c>
      <c r="E30" t="s">
        <v>157</v>
      </c>
      <c r="F30" t="s">
        <v>108</v>
      </c>
      <c r="G30" t="s">
        <v>158</v>
      </c>
      <c r="H30" t="s">
        <v>102</v>
      </c>
      <c r="I30" t="s">
        <v>103</v>
      </c>
      <c r="J30">
        <v>4</v>
      </c>
      <c r="K30" t="s">
        <v>109</v>
      </c>
      <c r="M30" t="s">
        <v>105</v>
      </c>
      <c r="N30">
        <v>390.5</v>
      </c>
      <c r="O30">
        <v>3.6464443200000001</v>
      </c>
      <c r="P30">
        <v>0</v>
      </c>
      <c r="Q30">
        <v>0</v>
      </c>
      <c r="R30">
        <v>0</v>
      </c>
      <c r="S30" t="s">
        <v>105</v>
      </c>
      <c r="T30">
        <v>0.55625000000000002</v>
      </c>
      <c r="U30">
        <v>0.55972222199999999</v>
      </c>
      <c r="V30">
        <v>0</v>
      </c>
      <c r="W30">
        <v>2</v>
      </c>
      <c r="X30">
        <v>25</v>
      </c>
      <c r="Y30">
        <v>75</v>
      </c>
      <c r="Z30">
        <v>8</v>
      </c>
      <c r="AA30">
        <f t="shared" si="0"/>
        <v>278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1</v>
      </c>
      <c r="BS30">
        <v>2</v>
      </c>
      <c r="BT30">
        <v>0</v>
      </c>
      <c r="BU30">
        <v>0</v>
      </c>
      <c r="BV30">
        <v>3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1</v>
      </c>
      <c r="CD30">
        <v>0</v>
      </c>
      <c r="CE30">
        <v>0</v>
      </c>
      <c r="CF30">
        <v>0</v>
      </c>
      <c r="CG30">
        <v>1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 t="s">
        <v>159</v>
      </c>
    </row>
    <row r="31" spans="1:96" x14ac:dyDescent="0.3">
      <c r="A31" s="1">
        <v>45490</v>
      </c>
      <c r="B31" t="s">
        <v>97</v>
      </c>
      <c r="C31" t="s">
        <v>156</v>
      </c>
      <c r="D31" t="s">
        <v>99</v>
      </c>
      <c r="E31" t="s">
        <v>157</v>
      </c>
      <c r="F31" t="s">
        <v>108</v>
      </c>
      <c r="G31" t="s">
        <v>158</v>
      </c>
      <c r="H31" t="s">
        <v>102</v>
      </c>
      <c r="I31" t="s">
        <v>103</v>
      </c>
      <c r="J31">
        <v>4</v>
      </c>
      <c r="K31" t="s">
        <v>109</v>
      </c>
      <c r="M31" t="s">
        <v>105</v>
      </c>
      <c r="N31">
        <v>390.5</v>
      </c>
      <c r="O31">
        <v>3.6464443200000001</v>
      </c>
      <c r="P31">
        <v>0</v>
      </c>
      <c r="Q31">
        <v>0</v>
      </c>
      <c r="R31">
        <v>0</v>
      </c>
      <c r="S31" t="s">
        <v>105</v>
      </c>
      <c r="T31">
        <v>0.55625000000000002</v>
      </c>
      <c r="U31">
        <v>0.55972222199999999</v>
      </c>
      <c r="V31">
        <v>0</v>
      </c>
      <c r="W31">
        <v>2</v>
      </c>
      <c r="X31">
        <v>25</v>
      </c>
      <c r="Y31">
        <v>75</v>
      </c>
      <c r="Z31">
        <v>13</v>
      </c>
      <c r="AA31">
        <f t="shared" si="0"/>
        <v>291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2</v>
      </c>
      <c r="AP31">
        <v>0</v>
      </c>
      <c r="AQ31">
        <v>0</v>
      </c>
      <c r="AR31">
        <v>2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1</v>
      </c>
      <c r="BN31">
        <v>0</v>
      </c>
      <c r="BO31">
        <v>0</v>
      </c>
      <c r="BP31">
        <v>1</v>
      </c>
      <c r="BQ31">
        <v>0</v>
      </c>
      <c r="BR31">
        <v>0</v>
      </c>
      <c r="BS31">
        <v>4</v>
      </c>
      <c r="BT31">
        <v>0</v>
      </c>
      <c r="BU31">
        <v>0</v>
      </c>
      <c r="BV31">
        <v>3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 t="s">
        <v>159</v>
      </c>
    </row>
    <row r="32" spans="1:96" x14ac:dyDescent="0.3">
      <c r="A32" s="1">
        <v>45490</v>
      </c>
      <c r="B32" t="s">
        <v>97</v>
      </c>
      <c r="C32" t="s">
        <v>160</v>
      </c>
      <c r="E32" t="s">
        <v>161</v>
      </c>
      <c r="F32" t="s">
        <v>101</v>
      </c>
      <c r="G32">
        <v>13029</v>
      </c>
      <c r="H32" t="s">
        <v>118</v>
      </c>
      <c r="I32" t="s">
        <v>103</v>
      </c>
      <c r="J32">
        <v>4</v>
      </c>
      <c r="K32" t="s">
        <v>120</v>
      </c>
      <c r="M32" t="s">
        <v>105</v>
      </c>
      <c r="N32">
        <v>4.5</v>
      </c>
      <c r="O32">
        <v>5.8505173309999998</v>
      </c>
      <c r="P32">
        <v>0</v>
      </c>
      <c r="Q32">
        <v>0</v>
      </c>
      <c r="R32">
        <v>0</v>
      </c>
      <c r="S32" t="s">
        <v>105</v>
      </c>
      <c r="T32">
        <v>0.42013888900000002</v>
      </c>
      <c r="U32">
        <v>0.42361111099999998</v>
      </c>
      <c r="V32">
        <v>0</v>
      </c>
      <c r="W32">
        <v>2</v>
      </c>
      <c r="X32">
        <v>0</v>
      </c>
      <c r="Y32">
        <v>71</v>
      </c>
      <c r="Z32">
        <v>0</v>
      </c>
      <c r="AA32">
        <f t="shared" si="0"/>
        <v>291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</row>
    <row r="33" spans="1:96" x14ac:dyDescent="0.3">
      <c r="A33" s="1">
        <v>45490</v>
      </c>
      <c r="B33" t="s">
        <v>97</v>
      </c>
      <c r="C33" t="s">
        <v>162</v>
      </c>
      <c r="D33" t="s">
        <v>99</v>
      </c>
      <c r="E33" t="s">
        <v>163</v>
      </c>
      <c r="F33" t="s">
        <v>101</v>
      </c>
      <c r="G33">
        <v>4054</v>
      </c>
      <c r="H33" t="s">
        <v>118</v>
      </c>
      <c r="I33" t="s">
        <v>103</v>
      </c>
      <c r="J33">
        <v>4</v>
      </c>
      <c r="K33" t="s">
        <v>120</v>
      </c>
      <c r="M33" t="s">
        <v>105</v>
      </c>
      <c r="N33">
        <v>50</v>
      </c>
      <c r="O33">
        <v>9.7279031249999992</v>
      </c>
      <c r="P33">
        <v>0</v>
      </c>
      <c r="Q33">
        <v>0</v>
      </c>
      <c r="R33">
        <v>0</v>
      </c>
      <c r="S33" t="s">
        <v>105</v>
      </c>
      <c r="T33">
        <v>0.45416666700000002</v>
      </c>
      <c r="U33">
        <v>0.45763888899999999</v>
      </c>
      <c r="V33">
        <v>0</v>
      </c>
      <c r="W33">
        <v>2</v>
      </c>
      <c r="X33">
        <v>5</v>
      </c>
      <c r="Y33">
        <v>73</v>
      </c>
      <c r="Z33">
        <v>5</v>
      </c>
      <c r="AA33">
        <f t="shared" si="0"/>
        <v>296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1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1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1</v>
      </c>
      <c r="BN33">
        <v>1</v>
      </c>
      <c r="BO33">
        <v>0</v>
      </c>
      <c r="BP33">
        <v>0</v>
      </c>
      <c r="BQ33">
        <v>0</v>
      </c>
      <c r="BR33">
        <v>0</v>
      </c>
      <c r="BS33">
        <v>1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</row>
    <row r="34" spans="1:96" x14ac:dyDescent="0.3">
      <c r="A34" s="1">
        <v>45490</v>
      </c>
      <c r="B34" t="s">
        <v>97</v>
      </c>
      <c r="C34" t="s">
        <v>164</v>
      </c>
      <c r="E34" t="s">
        <v>165</v>
      </c>
      <c r="F34" t="s">
        <v>101</v>
      </c>
      <c r="G34">
        <v>1004</v>
      </c>
      <c r="H34" t="s">
        <v>113</v>
      </c>
      <c r="I34" t="s">
        <v>103</v>
      </c>
      <c r="J34">
        <v>4</v>
      </c>
      <c r="K34" t="s">
        <v>120</v>
      </c>
      <c r="M34" t="s">
        <v>105</v>
      </c>
      <c r="N34">
        <v>98.3</v>
      </c>
      <c r="O34">
        <v>21.003519279999999</v>
      </c>
      <c r="P34">
        <v>0</v>
      </c>
      <c r="Q34">
        <v>0</v>
      </c>
      <c r="R34">
        <v>0</v>
      </c>
      <c r="S34" t="s">
        <v>105</v>
      </c>
      <c r="T34">
        <v>0.69444444400000005</v>
      </c>
      <c r="U34">
        <v>0.69791666699999999</v>
      </c>
      <c r="V34">
        <v>0</v>
      </c>
      <c r="W34">
        <v>2</v>
      </c>
      <c r="X34">
        <v>40</v>
      </c>
      <c r="Y34">
        <v>75</v>
      </c>
      <c r="Z34">
        <v>0</v>
      </c>
      <c r="AA34">
        <f t="shared" si="0"/>
        <v>296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 t="s">
        <v>166</v>
      </c>
    </row>
    <row r="35" spans="1:96" x14ac:dyDescent="0.3">
      <c r="A35" s="1">
        <v>45490</v>
      </c>
      <c r="B35" t="s">
        <v>97</v>
      </c>
      <c r="C35" t="s">
        <v>167</v>
      </c>
      <c r="D35" t="s">
        <v>99</v>
      </c>
      <c r="E35" t="s">
        <v>168</v>
      </c>
      <c r="F35" t="s">
        <v>108</v>
      </c>
      <c r="G35">
        <v>18022</v>
      </c>
      <c r="H35" t="s">
        <v>102</v>
      </c>
      <c r="I35" t="s">
        <v>103</v>
      </c>
      <c r="J35">
        <v>3</v>
      </c>
      <c r="K35" t="s">
        <v>109</v>
      </c>
      <c r="M35" t="s">
        <v>105</v>
      </c>
      <c r="N35">
        <v>563.42857140000001</v>
      </c>
      <c r="O35">
        <v>9.3348974590000005</v>
      </c>
      <c r="P35">
        <v>0</v>
      </c>
      <c r="Q35">
        <v>0</v>
      </c>
      <c r="R35">
        <v>0</v>
      </c>
      <c r="S35" t="s">
        <v>105</v>
      </c>
      <c r="T35">
        <v>0.58055555599999997</v>
      </c>
      <c r="U35">
        <v>0.58402777800000005</v>
      </c>
      <c r="V35">
        <v>0</v>
      </c>
      <c r="W35">
        <v>2</v>
      </c>
      <c r="X35">
        <v>25</v>
      </c>
      <c r="Y35">
        <v>75</v>
      </c>
      <c r="Z35">
        <v>8</v>
      </c>
      <c r="AA35">
        <f t="shared" si="0"/>
        <v>304</v>
      </c>
      <c r="AB35">
        <v>0</v>
      </c>
      <c r="AC35">
        <v>0</v>
      </c>
      <c r="AD35">
        <v>2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1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3</v>
      </c>
      <c r="BN35">
        <v>1</v>
      </c>
      <c r="BO35">
        <v>0</v>
      </c>
      <c r="BP35">
        <v>0</v>
      </c>
      <c r="BQ35">
        <v>0</v>
      </c>
      <c r="BR35">
        <v>1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</row>
    <row r="36" spans="1:96" x14ac:dyDescent="0.3">
      <c r="A36" s="1">
        <v>45490</v>
      </c>
      <c r="B36" t="s">
        <v>97</v>
      </c>
      <c r="C36" t="s">
        <v>169</v>
      </c>
      <c r="D36" t="s">
        <v>99</v>
      </c>
      <c r="E36" t="s">
        <v>170</v>
      </c>
      <c r="F36" t="s">
        <v>108</v>
      </c>
      <c r="G36">
        <v>10067</v>
      </c>
      <c r="H36" t="s">
        <v>126</v>
      </c>
      <c r="I36" t="s">
        <v>129</v>
      </c>
      <c r="J36">
        <v>4</v>
      </c>
      <c r="K36" t="s">
        <v>114</v>
      </c>
      <c r="M36" t="s">
        <v>105</v>
      </c>
      <c r="N36">
        <v>88</v>
      </c>
      <c r="O36">
        <v>3.4073996370000001</v>
      </c>
      <c r="P36">
        <v>0</v>
      </c>
      <c r="Q36">
        <v>0</v>
      </c>
      <c r="R36">
        <v>0</v>
      </c>
      <c r="S36" t="s">
        <v>105</v>
      </c>
      <c r="T36">
        <v>0.59583333299999997</v>
      </c>
      <c r="U36">
        <v>0.59930555600000002</v>
      </c>
      <c r="V36">
        <v>0</v>
      </c>
      <c r="W36">
        <v>2</v>
      </c>
      <c r="X36">
        <v>25</v>
      </c>
      <c r="Y36">
        <v>75</v>
      </c>
      <c r="Z36">
        <v>1</v>
      </c>
      <c r="AA36">
        <f t="shared" si="0"/>
        <v>305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1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</row>
    <row r="37" spans="1:96" x14ac:dyDescent="0.3">
      <c r="A37" s="1">
        <v>45490</v>
      </c>
      <c r="B37" t="s">
        <v>97</v>
      </c>
      <c r="C37" t="s">
        <v>171</v>
      </c>
      <c r="D37" t="s">
        <v>99</v>
      </c>
      <c r="E37" t="s">
        <v>116</v>
      </c>
      <c r="F37" t="s">
        <v>101</v>
      </c>
      <c r="G37" t="s">
        <v>172</v>
      </c>
      <c r="H37" t="s">
        <v>118</v>
      </c>
      <c r="I37" t="s">
        <v>119</v>
      </c>
      <c r="J37">
        <v>4</v>
      </c>
      <c r="K37" t="s">
        <v>120</v>
      </c>
      <c r="M37" t="s">
        <v>105</v>
      </c>
      <c r="N37">
        <v>27.1</v>
      </c>
      <c r="O37">
        <v>5.2508798209999998</v>
      </c>
      <c r="P37">
        <v>0</v>
      </c>
      <c r="Q37">
        <v>0</v>
      </c>
      <c r="R37">
        <v>0</v>
      </c>
      <c r="S37" t="s">
        <v>105</v>
      </c>
      <c r="T37">
        <v>0.445833333</v>
      </c>
      <c r="U37">
        <v>0.45624999999999999</v>
      </c>
      <c r="V37">
        <v>0</v>
      </c>
      <c r="W37">
        <v>2</v>
      </c>
      <c r="X37">
        <v>5</v>
      </c>
      <c r="Y37">
        <v>73</v>
      </c>
      <c r="Z37">
        <v>2</v>
      </c>
      <c r="AA37">
        <f t="shared" si="0"/>
        <v>307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1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 t="s">
        <v>173</v>
      </c>
    </row>
    <row r="38" spans="1:96" x14ac:dyDescent="0.3">
      <c r="A38" s="1">
        <v>45490</v>
      </c>
      <c r="B38" t="s">
        <v>97</v>
      </c>
      <c r="C38" t="s">
        <v>174</v>
      </c>
      <c r="D38" t="s">
        <v>99</v>
      </c>
      <c r="E38" t="s">
        <v>153</v>
      </c>
      <c r="F38" t="s">
        <v>108</v>
      </c>
      <c r="G38">
        <v>9050</v>
      </c>
      <c r="H38" t="s">
        <v>113</v>
      </c>
      <c r="I38" t="s">
        <v>103</v>
      </c>
      <c r="J38">
        <v>3</v>
      </c>
      <c r="K38" t="s">
        <v>114</v>
      </c>
      <c r="M38" t="s">
        <v>105</v>
      </c>
      <c r="N38">
        <v>557.4</v>
      </c>
      <c r="O38">
        <v>13.163664000000001</v>
      </c>
      <c r="P38">
        <v>0</v>
      </c>
      <c r="Q38">
        <v>0</v>
      </c>
      <c r="R38">
        <v>0</v>
      </c>
      <c r="S38" t="s">
        <v>105</v>
      </c>
      <c r="T38">
        <v>0.60486111099999995</v>
      </c>
      <c r="U38">
        <v>0.60902777799999996</v>
      </c>
      <c r="V38">
        <v>0</v>
      </c>
      <c r="W38">
        <v>2</v>
      </c>
      <c r="X38">
        <v>25</v>
      </c>
      <c r="Y38">
        <v>75</v>
      </c>
      <c r="Z38">
        <v>5</v>
      </c>
      <c r="AA38">
        <f t="shared" si="0"/>
        <v>312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1</v>
      </c>
      <c r="AS38">
        <v>0</v>
      </c>
      <c r="AT38">
        <v>2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1</v>
      </c>
      <c r="BT38">
        <v>0</v>
      </c>
      <c r="BU38">
        <v>0</v>
      </c>
      <c r="BV38">
        <v>0</v>
      </c>
      <c r="BW38">
        <v>1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</row>
    <row r="39" spans="1:96" x14ac:dyDescent="0.3">
      <c r="A39" s="1">
        <v>45490</v>
      </c>
      <c r="B39" t="s">
        <v>97</v>
      </c>
      <c r="C39" t="s">
        <v>175</v>
      </c>
      <c r="E39" t="s">
        <v>176</v>
      </c>
      <c r="F39" t="s">
        <v>101</v>
      </c>
      <c r="G39">
        <v>11044</v>
      </c>
      <c r="H39" t="s">
        <v>126</v>
      </c>
      <c r="I39" t="s">
        <v>119</v>
      </c>
      <c r="J39">
        <v>4</v>
      </c>
      <c r="K39" t="s">
        <v>104</v>
      </c>
      <c r="M39" t="s">
        <v>105</v>
      </c>
      <c r="N39">
        <v>88.6</v>
      </c>
      <c r="O39">
        <v>4.4121976270000003</v>
      </c>
      <c r="P39">
        <v>0</v>
      </c>
      <c r="Q39">
        <v>0</v>
      </c>
      <c r="R39">
        <v>0</v>
      </c>
      <c r="S39" t="s">
        <v>105</v>
      </c>
      <c r="T39">
        <v>0.68472222199999999</v>
      </c>
      <c r="U39">
        <v>0.68819444399999996</v>
      </c>
      <c r="V39">
        <v>0</v>
      </c>
      <c r="W39">
        <v>2</v>
      </c>
      <c r="X39">
        <v>50</v>
      </c>
      <c r="Y39">
        <v>75</v>
      </c>
      <c r="Z39">
        <v>0</v>
      </c>
      <c r="AA39">
        <f t="shared" si="0"/>
        <v>312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 t="s">
        <v>177</v>
      </c>
    </row>
    <row r="40" spans="1:96" x14ac:dyDescent="0.3">
      <c r="A40" s="1">
        <v>45490</v>
      </c>
      <c r="B40" t="s">
        <v>97</v>
      </c>
      <c r="C40" t="s">
        <v>190</v>
      </c>
      <c r="E40" t="s">
        <v>191</v>
      </c>
      <c r="F40" t="s">
        <v>108</v>
      </c>
      <c r="G40">
        <v>14020</v>
      </c>
      <c r="H40" t="s">
        <v>126</v>
      </c>
      <c r="I40" t="s">
        <v>103</v>
      </c>
      <c r="J40">
        <v>4</v>
      </c>
      <c r="K40" t="s">
        <v>114</v>
      </c>
      <c r="M40" t="s">
        <v>105</v>
      </c>
      <c r="N40">
        <v>371.4</v>
      </c>
      <c r="O40">
        <v>21.591001980000001</v>
      </c>
      <c r="P40">
        <v>0</v>
      </c>
      <c r="Q40">
        <v>0</v>
      </c>
      <c r="R40">
        <v>0</v>
      </c>
      <c r="S40" t="s">
        <v>105</v>
      </c>
      <c r="T40">
        <v>0.56805555600000002</v>
      </c>
      <c r="U40">
        <v>0.57152777799999999</v>
      </c>
      <c r="V40">
        <v>0</v>
      </c>
      <c r="W40">
        <v>2</v>
      </c>
      <c r="X40">
        <v>25</v>
      </c>
      <c r="Y40">
        <v>75</v>
      </c>
      <c r="Z40">
        <v>0</v>
      </c>
      <c r="AA40">
        <f t="shared" si="0"/>
        <v>312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</row>
    <row r="41" spans="1:96" x14ac:dyDescent="0.3">
      <c r="A41" s="1">
        <v>45490</v>
      </c>
      <c r="B41" t="s">
        <v>97</v>
      </c>
      <c r="C41" t="s">
        <v>198</v>
      </c>
      <c r="E41" t="s">
        <v>199</v>
      </c>
      <c r="F41" t="s">
        <v>108</v>
      </c>
      <c r="G41">
        <v>16027</v>
      </c>
      <c r="H41" t="s">
        <v>113</v>
      </c>
      <c r="I41" t="s">
        <v>129</v>
      </c>
      <c r="J41">
        <v>4</v>
      </c>
      <c r="K41" t="s">
        <v>114</v>
      </c>
      <c r="M41" t="s">
        <v>105</v>
      </c>
      <c r="N41">
        <v>684</v>
      </c>
      <c r="O41">
        <v>8.2044997199999994</v>
      </c>
      <c r="P41">
        <v>0</v>
      </c>
      <c r="Q41">
        <v>0</v>
      </c>
      <c r="R41">
        <v>0</v>
      </c>
      <c r="S41" t="s">
        <v>105</v>
      </c>
      <c r="T41">
        <v>0.63194444400000005</v>
      </c>
      <c r="U41">
        <v>0.63541666699999999</v>
      </c>
      <c r="V41">
        <v>0</v>
      </c>
      <c r="W41">
        <v>2</v>
      </c>
      <c r="X41">
        <v>25</v>
      </c>
      <c r="Y41">
        <v>75</v>
      </c>
      <c r="Z41">
        <v>0</v>
      </c>
      <c r="AA41">
        <f t="shared" si="0"/>
        <v>312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</row>
    <row r="42" spans="1:96" x14ac:dyDescent="0.3">
      <c r="A42" s="1">
        <v>45490</v>
      </c>
      <c r="B42" t="s">
        <v>97</v>
      </c>
      <c r="C42" t="s">
        <v>204</v>
      </c>
      <c r="E42" t="s">
        <v>205</v>
      </c>
      <c r="F42" t="s">
        <v>108</v>
      </c>
      <c r="G42">
        <v>11029</v>
      </c>
      <c r="H42" t="s">
        <v>126</v>
      </c>
      <c r="I42" t="s">
        <v>129</v>
      </c>
      <c r="J42">
        <v>4</v>
      </c>
      <c r="K42" t="s">
        <v>109</v>
      </c>
      <c r="L42">
        <v>3</v>
      </c>
      <c r="M42" t="s">
        <v>105</v>
      </c>
      <c r="N42">
        <v>424.5</v>
      </c>
      <c r="O42">
        <v>3.8935922129999998</v>
      </c>
      <c r="P42">
        <v>11.680776639999999</v>
      </c>
      <c r="Q42">
        <v>0</v>
      </c>
      <c r="R42">
        <v>4958.4896829999998</v>
      </c>
      <c r="S42">
        <v>4958.4896829999998</v>
      </c>
      <c r="T42">
        <v>0.61736111100000002</v>
      </c>
      <c r="U42">
        <v>0.62083333299999999</v>
      </c>
      <c r="V42">
        <v>0</v>
      </c>
      <c r="W42">
        <v>2</v>
      </c>
      <c r="X42">
        <v>25</v>
      </c>
      <c r="Y42">
        <v>75</v>
      </c>
      <c r="Z42">
        <v>2</v>
      </c>
      <c r="AA42">
        <f t="shared" si="0"/>
        <v>314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</row>
    <row r="43" spans="1:96" x14ac:dyDescent="0.3">
      <c r="A43" s="1">
        <v>45491</v>
      </c>
      <c r="B43" t="s">
        <v>97</v>
      </c>
      <c r="C43" t="s">
        <v>178</v>
      </c>
      <c r="D43" t="s">
        <v>99</v>
      </c>
      <c r="E43" t="s">
        <v>179</v>
      </c>
      <c r="F43" t="s">
        <v>101</v>
      </c>
      <c r="G43">
        <v>93021</v>
      </c>
      <c r="H43" t="s">
        <v>102</v>
      </c>
      <c r="I43" t="s">
        <v>103</v>
      </c>
      <c r="J43" t="s">
        <v>105</v>
      </c>
      <c r="K43" t="s">
        <v>104</v>
      </c>
      <c r="M43" t="s">
        <v>105</v>
      </c>
      <c r="N43">
        <v>404.7</v>
      </c>
      <c r="O43">
        <v>9.3348974590000005</v>
      </c>
      <c r="P43">
        <v>0</v>
      </c>
      <c r="Q43">
        <v>0</v>
      </c>
      <c r="R43">
        <v>0</v>
      </c>
      <c r="S43" t="s">
        <v>105</v>
      </c>
      <c r="T43">
        <v>0.51458333300000003</v>
      </c>
      <c r="U43">
        <v>0.51805555599999997</v>
      </c>
      <c r="V43">
        <v>0</v>
      </c>
      <c r="W43">
        <v>2</v>
      </c>
      <c r="X43">
        <v>65</v>
      </c>
      <c r="Y43">
        <v>70</v>
      </c>
      <c r="Z43">
        <v>6</v>
      </c>
      <c r="AA43">
        <f t="shared" si="0"/>
        <v>320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</v>
      </c>
      <c r="AS43">
        <v>0</v>
      </c>
      <c r="AT43">
        <v>1</v>
      </c>
      <c r="AU43">
        <v>1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1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2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</row>
    <row r="44" spans="1:96" x14ac:dyDescent="0.3">
      <c r="A44" s="1">
        <v>45491</v>
      </c>
      <c r="B44" t="s">
        <v>97</v>
      </c>
      <c r="C44" t="s">
        <v>180</v>
      </c>
      <c r="D44" t="s">
        <v>99</v>
      </c>
      <c r="E44" t="s">
        <v>181</v>
      </c>
      <c r="F44" t="s">
        <v>101</v>
      </c>
      <c r="G44" t="s">
        <v>182</v>
      </c>
      <c r="H44" t="s">
        <v>126</v>
      </c>
      <c r="I44" t="s">
        <v>103</v>
      </c>
      <c r="J44">
        <v>4</v>
      </c>
      <c r="K44" t="s">
        <v>120</v>
      </c>
      <c r="M44" t="s">
        <v>105</v>
      </c>
      <c r="N44">
        <v>55.8</v>
      </c>
      <c r="O44">
        <v>2.3337243650000001</v>
      </c>
      <c r="P44">
        <v>0</v>
      </c>
      <c r="Q44">
        <v>0</v>
      </c>
      <c r="R44">
        <v>0</v>
      </c>
      <c r="S44" t="s">
        <v>105</v>
      </c>
      <c r="T44">
        <v>0.54236111099999995</v>
      </c>
      <c r="U44">
        <v>0.54583333300000003</v>
      </c>
      <c r="V44">
        <v>0</v>
      </c>
      <c r="W44">
        <v>2</v>
      </c>
      <c r="X44">
        <v>65</v>
      </c>
      <c r="Y44">
        <v>70</v>
      </c>
      <c r="Z44">
        <v>2</v>
      </c>
      <c r="AA44">
        <f t="shared" si="0"/>
        <v>322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1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1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 t="s">
        <v>183</v>
      </c>
    </row>
    <row r="45" spans="1:96" x14ac:dyDescent="0.3">
      <c r="A45" s="1">
        <v>45491</v>
      </c>
      <c r="B45" t="s">
        <v>97</v>
      </c>
      <c r="C45" t="s">
        <v>184</v>
      </c>
      <c r="D45" t="s">
        <v>99</v>
      </c>
      <c r="E45" t="s">
        <v>185</v>
      </c>
      <c r="F45" t="s">
        <v>101</v>
      </c>
      <c r="G45" t="s">
        <v>186</v>
      </c>
      <c r="H45" t="s">
        <v>102</v>
      </c>
      <c r="I45" t="s">
        <v>103</v>
      </c>
      <c r="J45">
        <v>4</v>
      </c>
      <c r="K45" t="s">
        <v>104</v>
      </c>
      <c r="M45" t="s">
        <v>105</v>
      </c>
      <c r="N45" t="s">
        <v>105</v>
      </c>
      <c r="O45">
        <v>1.0372108289999999</v>
      </c>
      <c r="P45">
        <v>0</v>
      </c>
      <c r="Q45" t="e">
        <v>#VALUE!</v>
      </c>
      <c r="R45" t="e">
        <v>#VALUE!</v>
      </c>
      <c r="S45" t="s">
        <v>105</v>
      </c>
      <c r="T45">
        <v>0.52500000000000002</v>
      </c>
      <c r="U45">
        <v>0.52847222199999999</v>
      </c>
      <c r="V45">
        <v>0</v>
      </c>
      <c r="W45">
        <v>2</v>
      </c>
      <c r="X45">
        <v>65</v>
      </c>
      <c r="Y45">
        <v>70</v>
      </c>
      <c r="Z45">
        <v>2</v>
      </c>
      <c r="AA45">
        <f t="shared" si="0"/>
        <v>324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1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</row>
    <row r="46" spans="1:96" x14ac:dyDescent="0.3">
      <c r="A46" s="1">
        <v>45491</v>
      </c>
      <c r="B46" t="s">
        <v>97</v>
      </c>
      <c r="C46" t="s">
        <v>187</v>
      </c>
      <c r="D46" t="s">
        <v>99</v>
      </c>
      <c r="E46" t="s">
        <v>100</v>
      </c>
      <c r="F46" t="s">
        <v>101</v>
      </c>
      <c r="G46">
        <v>5026</v>
      </c>
      <c r="H46" t="s">
        <v>102</v>
      </c>
      <c r="I46" t="s">
        <v>103</v>
      </c>
      <c r="J46">
        <v>4</v>
      </c>
      <c r="K46" t="s">
        <v>104</v>
      </c>
      <c r="M46" t="s">
        <v>105</v>
      </c>
      <c r="N46">
        <v>5.5</v>
      </c>
      <c r="O46">
        <v>0.90683199999999997</v>
      </c>
      <c r="P46">
        <v>0</v>
      </c>
      <c r="Q46">
        <v>0</v>
      </c>
      <c r="R46">
        <v>0</v>
      </c>
      <c r="S46" t="s">
        <v>105</v>
      </c>
      <c r="T46">
        <v>0.54236111099999995</v>
      </c>
      <c r="U46">
        <v>0.54583333300000003</v>
      </c>
      <c r="V46">
        <v>0</v>
      </c>
      <c r="W46">
        <v>2</v>
      </c>
      <c r="X46">
        <v>35</v>
      </c>
      <c r="Y46">
        <v>73</v>
      </c>
      <c r="Z46">
        <v>1</v>
      </c>
      <c r="AA46">
        <f t="shared" si="0"/>
        <v>325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1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</row>
    <row r="47" spans="1:96" x14ac:dyDescent="0.3">
      <c r="A47" s="1">
        <v>45491</v>
      </c>
      <c r="B47" t="s">
        <v>97</v>
      </c>
      <c r="C47" t="s">
        <v>188</v>
      </c>
      <c r="D47" t="s">
        <v>99</v>
      </c>
      <c r="E47" t="s">
        <v>189</v>
      </c>
      <c r="F47" t="s">
        <v>101</v>
      </c>
      <c r="G47">
        <v>15055</v>
      </c>
      <c r="H47" t="s">
        <v>113</v>
      </c>
      <c r="I47" t="s">
        <v>119</v>
      </c>
      <c r="J47">
        <v>4</v>
      </c>
      <c r="K47" t="s">
        <v>120</v>
      </c>
      <c r="M47" t="s">
        <v>105</v>
      </c>
      <c r="N47">
        <v>42.8</v>
      </c>
      <c r="O47">
        <v>11.8144796</v>
      </c>
      <c r="P47">
        <v>0</v>
      </c>
      <c r="Q47">
        <v>0</v>
      </c>
      <c r="R47">
        <v>0</v>
      </c>
      <c r="S47" t="s">
        <v>105</v>
      </c>
      <c r="T47">
        <v>0.53541666700000001</v>
      </c>
      <c r="U47">
        <v>0.53888888899999998</v>
      </c>
      <c r="V47">
        <v>0</v>
      </c>
      <c r="W47">
        <v>2</v>
      </c>
      <c r="X47">
        <v>65</v>
      </c>
      <c r="Y47">
        <v>70</v>
      </c>
      <c r="Z47">
        <v>10</v>
      </c>
      <c r="AA47">
        <f t="shared" si="0"/>
        <v>335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2</v>
      </c>
      <c r="AP47">
        <v>0</v>
      </c>
      <c r="AQ47">
        <v>0</v>
      </c>
      <c r="AR47">
        <v>0</v>
      </c>
      <c r="AS47">
        <v>0</v>
      </c>
      <c r="AT47">
        <v>2</v>
      </c>
      <c r="AU47">
        <v>1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1</v>
      </c>
      <c r="BQ47">
        <v>0</v>
      </c>
      <c r="BR47">
        <v>0</v>
      </c>
      <c r="BS47">
        <v>2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</row>
    <row r="48" spans="1:96" x14ac:dyDescent="0.3">
      <c r="A48" s="1">
        <v>45491</v>
      </c>
      <c r="B48" t="s">
        <v>97</v>
      </c>
      <c r="C48" t="s">
        <v>98</v>
      </c>
      <c r="E48" t="s">
        <v>100</v>
      </c>
      <c r="F48" t="s">
        <v>101</v>
      </c>
      <c r="G48">
        <v>5026</v>
      </c>
      <c r="H48" t="s">
        <v>102</v>
      </c>
      <c r="I48" t="s">
        <v>103</v>
      </c>
      <c r="J48">
        <v>4</v>
      </c>
      <c r="K48" t="s">
        <v>104</v>
      </c>
      <c r="M48" t="s">
        <v>105</v>
      </c>
      <c r="N48" t="s">
        <v>105</v>
      </c>
      <c r="O48" t="e">
        <v>#VALUE!</v>
      </c>
      <c r="P48" t="e">
        <v>#VALUE!</v>
      </c>
      <c r="Q48" t="e">
        <v>#VALUE!</v>
      </c>
      <c r="R48" t="e">
        <v>#VALUE!</v>
      </c>
      <c r="S48" t="s">
        <v>105</v>
      </c>
      <c r="T48">
        <v>0.5625</v>
      </c>
      <c r="U48">
        <v>0.56597222199999997</v>
      </c>
      <c r="V48">
        <v>0</v>
      </c>
      <c r="W48">
        <v>2</v>
      </c>
      <c r="X48">
        <v>35</v>
      </c>
      <c r="Y48">
        <v>73</v>
      </c>
      <c r="Z48">
        <v>0</v>
      </c>
      <c r="AA48">
        <f t="shared" si="0"/>
        <v>335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 t="s">
        <v>206</v>
      </c>
    </row>
    <row r="49" spans="1:96" x14ac:dyDescent="0.3">
      <c r="A49" s="1">
        <v>45493</v>
      </c>
      <c r="B49" t="s">
        <v>97</v>
      </c>
      <c r="C49" t="s">
        <v>124</v>
      </c>
      <c r="D49" t="s">
        <v>99</v>
      </c>
      <c r="E49" t="s">
        <v>125</v>
      </c>
      <c r="F49" t="s">
        <v>101</v>
      </c>
      <c r="G49">
        <v>11045</v>
      </c>
      <c r="H49" t="s">
        <v>126</v>
      </c>
      <c r="I49" t="s">
        <v>103</v>
      </c>
      <c r="J49">
        <v>4</v>
      </c>
      <c r="K49" t="s">
        <v>120</v>
      </c>
      <c r="M49" t="s">
        <v>105</v>
      </c>
      <c r="N49">
        <v>31</v>
      </c>
      <c r="O49">
        <v>9.0432000000000006</v>
      </c>
      <c r="T49" t="s">
        <v>105</v>
      </c>
      <c r="U49" t="s">
        <v>105</v>
      </c>
      <c r="V49" t="s">
        <v>105</v>
      </c>
      <c r="W49" t="s">
        <v>105</v>
      </c>
      <c r="X49" t="s">
        <v>105</v>
      </c>
      <c r="Y49" t="s">
        <v>105</v>
      </c>
      <c r="Z49">
        <v>14</v>
      </c>
      <c r="AA49">
        <f t="shared" si="0"/>
        <v>349</v>
      </c>
      <c r="AB49">
        <v>0</v>
      </c>
      <c r="AC49">
        <v>0</v>
      </c>
      <c r="AD49">
        <v>0</v>
      </c>
      <c r="AE49">
        <v>2</v>
      </c>
      <c r="AF49">
        <v>0</v>
      </c>
      <c r="AG49">
        <v>4</v>
      </c>
      <c r="AH49">
        <v>0</v>
      </c>
      <c r="AI49">
        <v>0</v>
      </c>
      <c r="AJ49">
        <v>0</v>
      </c>
      <c r="AK49">
        <v>1</v>
      </c>
      <c r="AL49">
        <v>0</v>
      </c>
      <c r="AM49">
        <v>0</v>
      </c>
      <c r="AN49">
        <v>0</v>
      </c>
      <c r="AO49">
        <v>1</v>
      </c>
      <c r="AP49">
        <v>0</v>
      </c>
      <c r="AQ49">
        <v>1</v>
      </c>
      <c r="AR49">
        <v>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1</v>
      </c>
      <c r="BQ49">
        <v>0</v>
      </c>
      <c r="BR49">
        <v>1</v>
      </c>
      <c r="BS49">
        <v>2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</row>
    <row r="50" spans="1:96" x14ac:dyDescent="0.3">
      <c r="A50" s="1">
        <v>45495</v>
      </c>
      <c r="B50" t="s">
        <v>97</v>
      </c>
      <c r="C50" t="s">
        <v>192</v>
      </c>
      <c r="D50" t="s">
        <v>99</v>
      </c>
      <c r="E50" t="s">
        <v>153</v>
      </c>
      <c r="F50" t="s">
        <v>108</v>
      </c>
      <c r="G50">
        <v>9050</v>
      </c>
      <c r="H50" t="s">
        <v>113</v>
      </c>
      <c r="I50" t="s">
        <v>103</v>
      </c>
      <c r="J50">
        <v>4</v>
      </c>
      <c r="K50" t="s">
        <v>114</v>
      </c>
      <c r="L50">
        <v>9.33</v>
      </c>
      <c r="M50" t="s">
        <v>105</v>
      </c>
      <c r="N50">
        <v>1180.7</v>
      </c>
      <c r="O50">
        <v>9.0432000000000006</v>
      </c>
      <c r="P50">
        <v>84.373056000000005</v>
      </c>
      <c r="Q50">
        <v>0</v>
      </c>
      <c r="R50">
        <v>99619.267219999994</v>
      </c>
      <c r="S50">
        <v>99619.267219999994</v>
      </c>
      <c r="T50">
        <v>0.46875</v>
      </c>
      <c r="U50">
        <v>0.47222222200000002</v>
      </c>
      <c r="V50">
        <v>0</v>
      </c>
      <c r="W50">
        <v>1</v>
      </c>
      <c r="X50">
        <v>5</v>
      </c>
      <c r="Y50">
        <v>78</v>
      </c>
      <c r="Z50">
        <v>8</v>
      </c>
      <c r="AA50">
        <f t="shared" si="0"/>
        <v>357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1</v>
      </c>
      <c r="AQ50">
        <v>0</v>
      </c>
      <c r="AR50">
        <v>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4</v>
      </c>
      <c r="BT50">
        <v>0</v>
      </c>
      <c r="BU50">
        <v>0</v>
      </c>
      <c r="BV50">
        <v>1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 t="s">
        <v>85</v>
      </c>
    </row>
    <row r="51" spans="1:96" x14ac:dyDescent="0.3">
      <c r="A51" s="1">
        <v>45495</v>
      </c>
      <c r="B51" t="s">
        <v>97</v>
      </c>
      <c r="C51" t="s">
        <v>132</v>
      </c>
      <c r="D51" t="s">
        <v>193</v>
      </c>
      <c r="E51" t="s">
        <v>133</v>
      </c>
      <c r="F51" t="s">
        <v>101</v>
      </c>
      <c r="G51">
        <v>12021</v>
      </c>
      <c r="H51" t="s">
        <v>102</v>
      </c>
      <c r="I51" t="s">
        <v>119</v>
      </c>
      <c r="J51">
        <v>4</v>
      </c>
      <c r="K51" t="s">
        <v>104</v>
      </c>
      <c r="L51">
        <v>12.3</v>
      </c>
      <c r="M51" t="s">
        <v>105</v>
      </c>
      <c r="N51">
        <v>97.8</v>
      </c>
      <c r="O51">
        <v>6.28</v>
      </c>
      <c r="P51">
        <v>77.244</v>
      </c>
      <c r="Q51">
        <v>0</v>
      </c>
      <c r="R51">
        <v>7554.4632000000001</v>
      </c>
      <c r="S51">
        <v>7554.4632000000001</v>
      </c>
      <c r="T51">
        <v>0.66527777799999999</v>
      </c>
      <c r="U51">
        <v>0.66874999999999996</v>
      </c>
      <c r="V51">
        <v>0</v>
      </c>
      <c r="W51">
        <v>1</v>
      </c>
      <c r="X51">
        <v>75</v>
      </c>
      <c r="Y51">
        <v>79</v>
      </c>
      <c r="Z51">
        <v>8</v>
      </c>
      <c r="AA51">
        <f t="shared" si="0"/>
        <v>365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1</v>
      </c>
      <c r="AQ51">
        <v>0</v>
      </c>
      <c r="AR51">
        <v>1</v>
      </c>
      <c r="AS51">
        <v>0</v>
      </c>
      <c r="AT51">
        <v>1</v>
      </c>
      <c r="AU51">
        <v>1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</v>
      </c>
      <c r="BH51">
        <v>0</v>
      </c>
      <c r="BI51">
        <v>1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</row>
    <row r="52" spans="1:96" x14ac:dyDescent="0.3">
      <c r="A52" s="1">
        <v>45495</v>
      </c>
      <c r="B52" t="s">
        <v>97</v>
      </c>
      <c r="C52" t="s">
        <v>213</v>
      </c>
      <c r="E52" t="s">
        <v>176</v>
      </c>
      <c r="F52" t="s">
        <v>101</v>
      </c>
      <c r="G52">
        <v>11044</v>
      </c>
      <c r="H52" t="s">
        <v>126</v>
      </c>
      <c r="I52" t="s">
        <v>119</v>
      </c>
      <c r="J52">
        <v>4</v>
      </c>
      <c r="K52" t="s">
        <v>104</v>
      </c>
      <c r="L52">
        <v>11.6</v>
      </c>
      <c r="M52" t="s">
        <v>105</v>
      </c>
      <c r="N52">
        <v>174.2</v>
      </c>
      <c r="O52">
        <v>4.0191999999999997</v>
      </c>
      <c r="P52">
        <v>46.622720000000001</v>
      </c>
      <c r="Q52">
        <v>0</v>
      </c>
      <c r="R52">
        <v>8121.6778240000003</v>
      </c>
      <c r="S52">
        <v>8121.6778240000003</v>
      </c>
      <c r="T52">
        <v>0.64583333300000001</v>
      </c>
      <c r="U52">
        <v>0.64930555599999995</v>
      </c>
      <c r="V52">
        <v>0</v>
      </c>
      <c r="W52">
        <v>1</v>
      </c>
      <c r="X52">
        <v>75</v>
      </c>
      <c r="Y52">
        <v>79</v>
      </c>
      <c r="Z52">
        <v>0</v>
      </c>
      <c r="AA52">
        <f t="shared" si="0"/>
        <v>365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</row>
    <row r="53" spans="1:96" x14ac:dyDescent="0.3">
      <c r="A53" s="1">
        <v>45496</v>
      </c>
      <c r="B53" t="s">
        <v>97</v>
      </c>
      <c r="C53" t="s">
        <v>194</v>
      </c>
      <c r="D53" t="s">
        <v>99</v>
      </c>
      <c r="E53" t="s">
        <v>195</v>
      </c>
      <c r="F53" t="s">
        <v>108</v>
      </c>
      <c r="G53">
        <v>12019</v>
      </c>
      <c r="H53" t="s">
        <v>126</v>
      </c>
      <c r="I53" t="s">
        <v>103</v>
      </c>
      <c r="J53">
        <v>4</v>
      </c>
      <c r="K53" t="s">
        <v>114</v>
      </c>
      <c r="L53">
        <v>5.6</v>
      </c>
      <c r="M53" t="s">
        <v>105</v>
      </c>
      <c r="N53">
        <v>528.4</v>
      </c>
      <c r="O53">
        <v>17.097300000000001</v>
      </c>
      <c r="P53">
        <v>95.744879999999995</v>
      </c>
      <c r="Q53">
        <v>0</v>
      </c>
      <c r="R53">
        <v>50591.594590000001</v>
      </c>
      <c r="S53">
        <v>50591.594590000001</v>
      </c>
      <c r="T53">
        <v>0.5625</v>
      </c>
      <c r="U53">
        <v>0.56597222199999997</v>
      </c>
      <c r="V53">
        <v>0</v>
      </c>
      <c r="W53">
        <v>1</v>
      </c>
      <c r="X53">
        <v>100</v>
      </c>
      <c r="Y53">
        <v>77</v>
      </c>
      <c r="Z53">
        <v>4</v>
      </c>
      <c r="AA53">
        <f t="shared" si="0"/>
        <v>369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1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1</v>
      </c>
      <c r="BS53">
        <v>2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</row>
    <row r="54" spans="1:96" x14ac:dyDescent="0.3">
      <c r="A54" s="1">
        <v>45496</v>
      </c>
      <c r="B54" t="s">
        <v>97</v>
      </c>
      <c r="C54" t="s">
        <v>196</v>
      </c>
      <c r="D54" t="s">
        <v>99</v>
      </c>
      <c r="E54" t="s">
        <v>197</v>
      </c>
      <c r="F54" t="s">
        <v>108</v>
      </c>
      <c r="G54">
        <v>7027</v>
      </c>
      <c r="H54" t="s">
        <v>118</v>
      </c>
      <c r="I54" t="s">
        <v>103</v>
      </c>
      <c r="J54">
        <v>8</v>
      </c>
      <c r="K54" t="s">
        <v>114</v>
      </c>
      <c r="L54">
        <v>5</v>
      </c>
      <c r="M54" t="s">
        <v>105</v>
      </c>
      <c r="N54">
        <v>0</v>
      </c>
      <c r="O54">
        <v>6.28</v>
      </c>
      <c r="P54">
        <v>31.4</v>
      </c>
      <c r="Q54">
        <v>0</v>
      </c>
      <c r="R54">
        <v>0</v>
      </c>
      <c r="S54">
        <v>0</v>
      </c>
      <c r="T54">
        <v>0.55347222200000001</v>
      </c>
      <c r="U54">
        <v>0.55694444399999998</v>
      </c>
      <c r="V54">
        <v>0</v>
      </c>
      <c r="W54">
        <v>1</v>
      </c>
      <c r="X54">
        <v>100</v>
      </c>
      <c r="Y54">
        <v>77</v>
      </c>
      <c r="Z54">
        <v>2</v>
      </c>
      <c r="AA54">
        <f t="shared" si="0"/>
        <v>371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2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</row>
    <row r="55" spans="1:96" x14ac:dyDescent="0.3">
      <c r="A55" s="1">
        <v>45496</v>
      </c>
      <c r="B55" t="s">
        <v>97</v>
      </c>
      <c r="C55" t="s">
        <v>200</v>
      </c>
      <c r="D55" t="s">
        <v>99</v>
      </c>
      <c r="E55" t="s">
        <v>201</v>
      </c>
      <c r="F55" t="s">
        <v>108</v>
      </c>
      <c r="G55">
        <v>65169</v>
      </c>
      <c r="H55" t="s">
        <v>113</v>
      </c>
      <c r="I55" t="s">
        <v>103</v>
      </c>
      <c r="J55">
        <v>4</v>
      </c>
      <c r="K55" t="s">
        <v>114</v>
      </c>
      <c r="L55">
        <v>7</v>
      </c>
      <c r="M55" t="s">
        <v>105</v>
      </c>
      <c r="N55">
        <v>478.5</v>
      </c>
      <c r="O55">
        <v>36.172800000000002</v>
      </c>
      <c r="P55">
        <v>253.20959999999999</v>
      </c>
      <c r="Q55">
        <v>0</v>
      </c>
      <c r="R55">
        <v>121160.7936</v>
      </c>
      <c r="S55">
        <v>121160.7936</v>
      </c>
      <c r="T55">
        <v>0.58263888900000005</v>
      </c>
      <c r="U55">
        <v>0.58611111100000002</v>
      </c>
      <c r="V55">
        <v>0</v>
      </c>
      <c r="W55">
        <v>1</v>
      </c>
      <c r="X55">
        <v>100</v>
      </c>
      <c r="Y55">
        <v>77</v>
      </c>
      <c r="Z55">
        <v>2</v>
      </c>
      <c r="AA55">
        <f t="shared" si="0"/>
        <v>373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0</v>
      </c>
      <c r="AQ55">
        <v>0</v>
      </c>
      <c r="AR55">
        <v>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</row>
    <row r="56" spans="1:96" x14ac:dyDescent="0.3">
      <c r="A56" s="1">
        <v>45496</v>
      </c>
      <c r="B56" t="s">
        <v>97</v>
      </c>
      <c r="C56" t="s">
        <v>202</v>
      </c>
      <c r="D56" t="s">
        <v>99</v>
      </c>
      <c r="E56" t="s">
        <v>203</v>
      </c>
      <c r="F56" t="s">
        <v>108</v>
      </c>
      <c r="G56">
        <v>8036</v>
      </c>
      <c r="H56" t="s">
        <v>126</v>
      </c>
      <c r="I56" t="s">
        <v>103</v>
      </c>
      <c r="J56">
        <v>4</v>
      </c>
      <c r="K56" t="s">
        <v>109</v>
      </c>
      <c r="L56">
        <v>8.33</v>
      </c>
      <c r="M56" t="s">
        <v>105</v>
      </c>
      <c r="N56">
        <v>97.5</v>
      </c>
      <c r="O56">
        <v>12.3088</v>
      </c>
      <c r="P56">
        <v>102.532304</v>
      </c>
      <c r="Q56">
        <v>0</v>
      </c>
      <c r="R56">
        <v>9996.8996399999996</v>
      </c>
      <c r="S56">
        <v>9996.8996399999996</v>
      </c>
      <c r="T56">
        <v>0.48055555599999999</v>
      </c>
      <c r="U56">
        <v>0.48402777800000002</v>
      </c>
      <c r="V56">
        <v>0</v>
      </c>
      <c r="W56">
        <v>1</v>
      </c>
      <c r="X56">
        <v>100</v>
      </c>
      <c r="Y56">
        <v>74</v>
      </c>
      <c r="Z56">
        <v>4</v>
      </c>
      <c r="AA56">
        <f t="shared" si="0"/>
        <v>377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</v>
      </c>
      <c r="AP56">
        <v>1</v>
      </c>
      <c r="AQ56">
        <v>0</v>
      </c>
      <c r="AR56">
        <v>2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</row>
    <row r="57" spans="1:96" x14ac:dyDescent="0.3">
      <c r="A57" s="1">
        <v>45496</v>
      </c>
      <c r="B57" t="s">
        <v>97</v>
      </c>
      <c r="C57" t="s">
        <v>202</v>
      </c>
      <c r="D57" t="s">
        <v>99</v>
      </c>
      <c r="E57" t="s">
        <v>203</v>
      </c>
      <c r="F57" t="s">
        <v>108</v>
      </c>
      <c r="G57">
        <v>8036</v>
      </c>
      <c r="H57" t="s">
        <v>126</v>
      </c>
      <c r="I57" t="s">
        <v>103</v>
      </c>
      <c r="J57">
        <v>4</v>
      </c>
      <c r="K57" t="s">
        <v>109</v>
      </c>
      <c r="L57">
        <v>8.33</v>
      </c>
      <c r="M57" t="s">
        <v>105</v>
      </c>
      <c r="N57">
        <v>97.5</v>
      </c>
      <c r="O57">
        <v>12.3088</v>
      </c>
      <c r="P57">
        <v>102.532304</v>
      </c>
      <c r="Q57">
        <v>0</v>
      </c>
      <c r="R57">
        <v>9996.8996399999996</v>
      </c>
      <c r="S57">
        <v>9996.8996399999996</v>
      </c>
      <c r="T57">
        <v>0.48055555599999999</v>
      </c>
      <c r="U57">
        <v>0.48402777800000002</v>
      </c>
      <c r="V57">
        <v>0</v>
      </c>
      <c r="W57">
        <v>1</v>
      </c>
      <c r="X57">
        <v>100</v>
      </c>
      <c r="Y57">
        <v>74</v>
      </c>
      <c r="Z57">
        <v>3</v>
      </c>
      <c r="AA57">
        <f t="shared" si="0"/>
        <v>380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</v>
      </c>
      <c r="AP57">
        <v>0</v>
      </c>
      <c r="AQ57">
        <v>0</v>
      </c>
      <c r="AR57">
        <v>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1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</row>
    <row r="58" spans="1:96" x14ac:dyDescent="0.3">
      <c r="A58" s="1">
        <v>45498</v>
      </c>
      <c r="B58" t="s">
        <v>97</v>
      </c>
      <c r="C58" t="s">
        <v>207</v>
      </c>
      <c r="D58" t="s">
        <v>99</v>
      </c>
      <c r="E58" t="s">
        <v>208</v>
      </c>
      <c r="F58" t="s">
        <v>101</v>
      </c>
      <c r="G58">
        <v>1005</v>
      </c>
      <c r="H58" t="s">
        <v>113</v>
      </c>
      <c r="I58" t="s">
        <v>119</v>
      </c>
      <c r="J58">
        <v>4</v>
      </c>
      <c r="K58" t="s">
        <v>120</v>
      </c>
      <c r="L58">
        <v>5</v>
      </c>
      <c r="M58" t="s">
        <v>105</v>
      </c>
      <c r="N58">
        <v>125.2</v>
      </c>
      <c r="O58">
        <v>3.8207520000000001</v>
      </c>
      <c r="P58">
        <v>19.103760000000001</v>
      </c>
      <c r="Q58">
        <v>0</v>
      </c>
      <c r="R58">
        <v>2391.7907519999999</v>
      </c>
      <c r="S58">
        <v>2391.7907519999999</v>
      </c>
      <c r="T58">
        <v>0.71180555599999995</v>
      </c>
      <c r="U58">
        <v>0.71527777800000003</v>
      </c>
      <c r="V58">
        <v>0</v>
      </c>
      <c r="W58">
        <v>1</v>
      </c>
      <c r="X58">
        <v>35</v>
      </c>
      <c r="Y58">
        <v>79</v>
      </c>
      <c r="Z58">
        <v>6</v>
      </c>
      <c r="AA58">
        <f t="shared" si="0"/>
        <v>386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1</v>
      </c>
      <c r="AP58">
        <v>0</v>
      </c>
      <c r="AQ58">
        <v>0</v>
      </c>
      <c r="AR58">
        <v>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3</v>
      </c>
      <c r="BD58">
        <v>0</v>
      </c>
      <c r="BE58">
        <v>0</v>
      </c>
      <c r="BF58">
        <v>0</v>
      </c>
      <c r="BG58">
        <v>1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</row>
    <row r="59" spans="1:96" x14ac:dyDescent="0.3">
      <c r="A59" s="1">
        <v>45498</v>
      </c>
      <c r="B59" t="s">
        <v>97</v>
      </c>
      <c r="C59" t="s">
        <v>98</v>
      </c>
      <c r="D59" t="s">
        <v>99</v>
      </c>
      <c r="E59" t="s">
        <v>100</v>
      </c>
      <c r="F59" t="s">
        <v>101</v>
      </c>
      <c r="G59">
        <v>5026</v>
      </c>
      <c r="H59" t="s">
        <v>102</v>
      </c>
      <c r="I59" t="s">
        <v>103</v>
      </c>
      <c r="J59">
        <v>4</v>
      </c>
      <c r="K59" t="s">
        <v>104</v>
      </c>
      <c r="L59">
        <v>33</v>
      </c>
      <c r="M59" t="s">
        <v>105</v>
      </c>
      <c r="N59" t="s">
        <v>105</v>
      </c>
      <c r="O59" t="e">
        <v>#VALUE!</v>
      </c>
      <c r="P59" t="e">
        <v>#VALUE!</v>
      </c>
      <c r="Q59" t="e">
        <v>#VALUE!</v>
      </c>
      <c r="R59" t="e">
        <v>#VALUE!</v>
      </c>
      <c r="S59" t="s">
        <v>105</v>
      </c>
      <c r="T59">
        <v>0.54861111100000004</v>
      </c>
      <c r="U59">
        <v>0.55208333300000001</v>
      </c>
      <c r="V59">
        <v>0</v>
      </c>
      <c r="W59">
        <v>1</v>
      </c>
      <c r="X59">
        <v>40</v>
      </c>
      <c r="Y59">
        <v>77</v>
      </c>
      <c r="Z59">
        <v>6</v>
      </c>
      <c r="AA59">
        <f t="shared" si="0"/>
        <v>392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</v>
      </c>
      <c r="AS59">
        <v>0</v>
      </c>
      <c r="AT59">
        <v>1</v>
      </c>
      <c r="AU59">
        <v>1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</row>
    <row r="60" spans="1:96" x14ac:dyDescent="0.3">
      <c r="A60" s="1">
        <v>45498</v>
      </c>
      <c r="B60" t="s">
        <v>97</v>
      </c>
      <c r="C60" t="s">
        <v>121</v>
      </c>
      <c r="D60" t="s">
        <v>99</v>
      </c>
      <c r="E60" t="s">
        <v>122</v>
      </c>
      <c r="F60" t="s">
        <v>101</v>
      </c>
      <c r="G60">
        <v>20012</v>
      </c>
      <c r="H60" t="s">
        <v>113</v>
      </c>
      <c r="I60" t="s">
        <v>123</v>
      </c>
      <c r="J60">
        <v>4</v>
      </c>
      <c r="K60" t="s">
        <v>120</v>
      </c>
      <c r="L60">
        <v>11.3</v>
      </c>
      <c r="M60" t="s">
        <v>105</v>
      </c>
      <c r="N60" t="e">
        <v>#N/A</v>
      </c>
      <c r="O60" t="e">
        <v>#N/A</v>
      </c>
      <c r="P60" t="e">
        <v>#N/A</v>
      </c>
      <c r="Q60" t="e">
        <v>#N/A</v>
      </c>
      <c r="R60" t="e">
        <v>#N/A</v>
      </c>
      <c r="S60" t="s">
        <v>105</v>
      </c>
      <c r="T60">
        <v>0.61527777800000005</v>
      </c>
      <c r="U60">
        <v>0.61875000000000002</v>
      </c>
      <c r="V60">
        <v>0</v>
      </c>
      <c r="W60">
        <v>2</v>
      </c>
      <c r="X60">
        <v>35</v>
      </c>
      <c r="Y60">
        <v>78</v>
      </c>
      <c r="Z60">
        <v>12</v>
      </c>
      <c r="AA60">
        <f t="shared" si="0"/>
        <v>404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2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1</v>
      </c>
      <c r="AS60">
        <v>0</v>
      </c>
      <c r="AT60">
        <v>3</v>
      </c>
      <c r="AU60">
        <v>1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4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1</v>
      </c>
      <c r="CN60">
        <v>0</v>
      </c>
      <c r="CO60">
        <v>0</v>
      </c>
      <c r="CP60">
        <v>0</v>
      </c>
      <c r="CQ60">
        <v>0</v>
      </c>
    </row>
    <row r="61" spans="1:96" x14ac:dyDescent="0.3">
      <c r="A61" s="1">
        <v>45498</v>
      </c>
      <c r="B61" t="s">
        <v>97</v>
      </c>
      <c r="C61" t="s">
        <v>209</v>
      </c>
      <c r="D61" t="s">
        <v>99</v>
      </c>
      <c r="E61" t="s">
        <v>155</v>
      </c>
      <c r="F61" t="s">
        <v>101</v>
      </c>
      <c r="G61">
        <v>7045</v>
      </c>
      <c r="H61" t="s">
        <v>113</v>
      </c>
      <c r="I61" t="s">
        <v>119</v>
      </c>
      <c r="J61">
        <v>5</v>
      </c>
      <c r="K61" t="s">
        <v>104</v>
      </c>
      <c r="L61">
        <v>3</v>
      </c>
      <c r="M61" t="s">
        <v>105</v>
      </c>
      <c r="N61">
        <v>91.2</v>
      </c>
      <c r="O61">
        <v>1.6981120000000001</v>
      </c>
      <c r="P61">
        <v>5.0943360000000002</v>
      </c>
      <c r="Q61">
        <v>0</v>
      </c>
      <c r="R61">
        <v>464.60344320000002</v>
      </c>
      <c r="S61">
        <v>464.60344320000002</v>
      </c>
      <c r="T61">
        <v>0.74583333299999999</v>
      </c>
      <c r="U61">
        <v>0.74930555600000004</v>
      </c>
      <c r="V61">
        <v>0</v>
      </c>
      <c r="W61">
        <v>1</v>
      </c>
      <c r="X61">
        <v>35</v>
      </c>
      <c r="Y61">
        <v>79</v>
      </c>
      <c r="Z61">
        <v>1</v>
      </c>
      <c r="AA61">
        <f t="shared" si="0"/>
        <v>405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1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</row>
    <row r="62" spans="1:96" x14ac:dyDescent="0.3">
      <c r="A62" s="1">
        <v>45498</v>
      </c>
      <c r="B62" t="s">
        <v>97</v>
      </c>
      <c r="C62" t="s">
        <v>210</v>
      </c>
      <c r="D62" t="s">
        <v>99</v>
      </c>
      <c r="E62" t="s">
        <v>142</v>
      </c>
      <c r="F62" t="s">
        <v>101</v>
      </c>
      <c r="G62">
        <v>14010</v>
      </c>
      <c r="H62" t="s">
        <v>102</v>
      </c>
      <c r="I62" t="s">
        <v>129</v>
      </c>
      <c r="J62" t="s">
        <v>105</v>
      </c>
      <c r="K62" t="s">
        <v>104</v>
      </c>
      <c r="L62">
        <v>17.3</v>
      </c>
      <c r="M62" t="s">
        <v>105</v>
      </c>
      <c r="N62">
        <v>69.400000000000006</v>
      </c>
      <c r="O62">
        <v>4.0191999999999997</v>
      </c>
      <c r="P62">
        <v>69.532160000000005</v>
      </c>
      <c r="Q62">
        <v>0</v>
      </c>
      <c r="R62">
        <v>4825.5319040000004</v>
      </c>
      <c r="S62">
        <v>4825.5319040000004</v>
      </c>
      <c r="T62">
        <v>0.70416666699999997</v>
      </c>
      <c r="U62">
        <v>0.70763888900000005</v>
      </c>
      <c r="V62">
        <v>0</v>
      </c>
      <c r="W62">
        <v>2</v>
      </c>
      <c r="X62">
        <v>40</v>
      </c>
      <c r="Y62">
        <v>79</v>
      </c>
      <c r="Z62">
        <v>6</v>
      </c>
      <c r="AA62">
        <f t="shared" si="0"/>
        <v>411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2</v>
      </c>
      <c r="AU62">
        <v>2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2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</row>
    <row r="63" spans="1:96" x14ac:dyDescent="0.3">
      <c r="A63" s="1">
        <v>45498</v>
      </c>
      <c r="B63" t="s">
        <v>97</v>
      </c>
      <c r="C63" t="s">
        <v>115</v>
      </c>
      <c r="D63" t="s">
        <v>99</v>
      </c>
      <c r="E63" t="s">
        <v>116</v>
      </c>
      <c r="F63" t="s">
        <v>101</v>
      </c>
      <c r="G63" t="s">
        <v>117</v>
      </c>
      <c r="H63" t="s">
        <v>118</v>
      </c>
      <c r="I63" t="s">
        <v>119</v>
      </c>
      <c r="J63">
        <v>4</v>
      </c>
      <c r="K63" t="s">
        <v>120</v>
      </c>
      <c r="L63">
        <v>19.600000000000001</v>
      </c>
      <c r="M63" t="s">
        <v>105</v>
      </c>
      <c r="N63">
        <v>68.400000000000006</v>
      </c>
      <c r="O63">
        <v>4.1488433149999997</v>
      </c>
      <c r="P63">
        <v>81.317328979999999</v>
      </c>
      <c r="Q63">
        <v>0</v>
      </c>
      <c r="R63">
        <v>5562.1053019999999</v>
      </c>
      <c r="S63">
        <v>5562.1053019999999</v>
      </c>
      <c r="T63">
        <v>0.626388889</v>
      </c>
      <c r="U63">
        <v>0.62986111099999997</v>
      </c>
      <c r="V63">
        <v>0</v>
      </c>
      <c r="W63">
        <v>1</v>
      </c>
      <c r="X63">
        <v>35</v>
      </c>
      <c r="Y63">
        <v>79</v>
      </c>
      <c r="Z63">
        <v>6</v>
      </c>
      <c r="AA63">
        <f t="shared" si="0"/>
        <v>417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1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1</v>
      </c>
      <c r="AS63">
        <v>0</v>
      </c>
      <c r="AT63">
        <v>0</v>
      </c>
      <c r="AU63">
        <v>2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1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1</v>
      </c>
      <c r="CM63">
        <v>0</v>
      </c>
      <c r="CN63">
        <v>0</v>
      </c>
      <c r="CO63">
        <v>0</v>
      </c>
      <c r="CP63">
        <v>0</v>
      </c>
      <c r="CQ63">
        <v>0</v>
      </c>
    </row>
    <row r="64" spans="1:96" x14ac:dyDescent="0.3">
      <c r="A64" s="1">
        <v>45498</v>
      </c>
      <c r="B64" t="s">
        <v>97</v>
      </c>
      <c r="C64" t="s">
        <v>211</v>
      </c>
      <c r="D64" t="s">
        <v>99</v>
      </c>
      <c r="E64" t="s">
        <v>212</v>
      </c>
      <c r="F64" t="s">
        <v>101</v>
      </c>
      <c r="G64">
        <v>12022</v>
      </c>
      <c r="H64" t="s">
        <v>113</v>
      </c>
      <c r="I64" t="s">
        <v>103</v>
      </c>
      <c r="J64">
        <v>4</v>
      </c>
      <c r="K64" t="s">
        <v>120</v>
      </c>
      <c r="L64">
        <v>9</v>
      </c>
      <c r="M64" t="s">
        <v>105</v>
      </c>
      <c r="N64">
        <v>361</v>
      </c>
      <c r="O64">
        <v>8.3053000000000008</v>
      </c>
      <c r="P64">
        <v>74.747699999999995</v>
      </c>
      <c r="Q64">
        <v>0</v>
      </c>
      <c r="R64">
        <v>26983.919699999999</v>
      </c>
      <c r="S64">
        <v>26983.919699999999</v>
      </c>
      <c r="T64">
        <v>0.63472222199999995</v>
      </c>
      <c r="U64">
        <v>0.63819444400000003</v>
      </c>
      <c r="V64">
        <v>0</v>
      </c>
      <c r="W64">
        <v>1</v>
      </c>
      <c r="X64">
        <v>35</v>
      </c>
      <c r="Y64">
        <v>79</v>
      </c>
      <c r="Z64">
        <v>4</v>
      </c>
      <c r="AA64">
        <f t="shared" si="0"/>
        <v>421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2</v>
      </c>
      <c r="AP64">
        <v>0</v>
      </c>
      <c r="AQ64">
        <v>0</v>
      </c>
      <c r="AR64">
        <v>0</v>
      </c>
      <c r="AS64">
        <v>0</v>
      </c>
      <c r="AT64">
        <v>1</v>
      </c>
      <c r="AU64">
        <v>1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</row>
    <row r="65" spans="1:96" x14ac:dyDescent="0.3">
      <c r="A65" s="1">
        <v>45498</v>
      </c>
      <c r="B65" t="s">
        <v>97</v>
      </c>
      <c r="C65" t="s">
        <v>124</v>
      </c>
      <c r="D65" t="s">
        <v>99</v>
      </c>
      <c r="E65" t="s">
        <v>125</v>
      </c>
      <c r="F65" t="s">
        <v>101</v>
      </c>
      <c r="G65">
        <v>11045</v>
      </c>
      <c r="H65" t="s">
        <v>126</v>
      </c>
      <c r="I65" t="s">
        <v>103</v>
      </c>
      <c r="J65">
        <v>4</v>
      </c>
      <c r="K65" t="s">
        <v>120</v>
      </c>
      <c r="M65" t="s">
        <v>105</v>
      </c>
      <c r="N65">
        <v>31</v>
      </c>
      <c r="O65">
        <v>9.0432000000000006</v>
      </c>
      <c r="T65" t="s">
        <v>105</v>
      </c>
      <c r="U65" t="s">
        <v>105</v>
      </c>
      <c r="V65" t="s">
        <v>105</v>
      </c>
      <c r="W65" t="s">
        <v>105</v>
      </c>
      <c r="X65" t="s">
        <v>105</v>
      </c>
      <c r="Y65" t="s">
        <v>105</v>
      </c>
      <c r="Z65">
        <v>16</v>
      </c>
      <c r="AA65">
        <f t="shared" si="0"/>
        <v>437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1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1</v>
      </c>
      <c r="BN65">
        <v>0</v>
      </c>
      <c r="BO65">
        <v>0</v>
      </c>
      <c r="BP65">
        <v>3</v>
      </c>
      <c r="BQ65">
        <v>0</v>
      </c>
      <c r="BR65">
        <v>3</v>
      </c>
      <c r="BS65">
        <v>6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1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</row>
    <row r="66" spans="1:96" x14ac:dyDescent="0.3">
      <c r="A66" s="1">
        <v>45498</v>
      </c>
      <c r="B66" t="s">
        <v>97</v>
      </c>
      <c r="C66" t="s">
        <v>127</v>
      </c>
      <c r="D66" t="s">
        <v>99</v>
      </c>
      <c r="E66" t="s">
        <v>128</v>
      </c>
      <c r="F66" t="s">
        <v>101</v>
      </c>
      <c r="G66">
        <v>5079</v>
      </c>
      <c r="H66" t="s">
        <v>102</v>
      </c>
      <c r="I66" t="s">
        <v>129</v>
      </c>
      <c r="J66">
        <v>4</v>
      </c>
      <c r="K66" t="s">
        <v>104</v>
      </c>
      <c r="L66">
        <v>19.3</v>
      </c>
      <c r="M66" t="s">
        <v>105</v>
      </c>
      <c r="N66">
        <v>98.6</v>
      </c>
      <c r="O66">
        <v>14.13</v>
      </c>
      <c r="P66">
        <v>272.709</v>
      </c>
      <c r="Q66">
        <v>0</v>
      </c>
      <c r="R66">
        <v>26889.107400000001</v>
      </c>
      <c r="S66">
        <v>26889.107400000001</v>
      </c>
      <c r="T66">
        <v>0.65069444399999998</v>
      </c>
      <c r="U66">
        <v>0.64930555599999995</v>
      </c>
      <c r="V66">
        <v>0</v>
      </c>
      <c r="W66">
        <v>1</v>
      </c>
      <c r="X66">
        <v>35</v>
      </c>
      <c r="Y66">
        <v>78</v>
      </c>
      <c r="Z66">
        <v>10</v>
      </c>
      <c r="AA66">
        <f t="shared" si="0"/>
        <v>447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1</v>
      </c>
      <c r="BQ66">
        <v>0</v>
      </c>
      <c r="BR66">
        <v>0</v>
      </c>
      <c r="BS66">
        <v>1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3</v>
      </c>
      <c r="CF66">
        <v>0</v>
      </c>
      <c r="CG66">
        <v>0</v>
      </c>
      <c r="CH66">
        <v>1</v>
      </c>
      <c r="CI66">
        <v>2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</row>
    <row r="67" spans="1:96" x14ac:dyDescent="0.3">
      <c r="A67" s="1">
        <v>45498</v>
      </c>
      <c r="B67" t="s">
        <v>97</v>
      </c>
      <c r="C67" t="s">
        <v>187</v>
      </c>
      <c r="D67" t="s">
        <v>99</v>
      </c>
      <c r="E67" t="s">
        <v>100</v>
      </c>
      <c r="F67" t="s">
        <v>101</v>
      </c>
      <c r="G67">
        <v>5026</v>
      </c>
      <c r="H67" t="s">
        <v>102</v>
      </c>
      <c r="I67" t="s">
        <v>103</v>
      </c>
      <c r="J67">
        <v>4</v>
      </c>
      <c r="K67" t="s">
        <v>104</v>
      </c>
      <c r="L67">
        <v>15.6</v>
      </c>
      <c r="M67" t="s">
        <v>105</v>
      </c>
      <c r="N67">
        <v>5.5</v>
      </c>
      <c r="O67">
        <v>0.90683199999999997</v>
      </c>
      <c r="P67">
        <v>14.1465792</v>
      </c>
      <c r="Q67">
        <v>0</v>
      </c>
      <c r="R67">
        <v>77.806185600000006</v>
      </c>
      <c r="S67">
        <v>77.806185600000006</v>
      </c>
      <c r="T67">
        <v>0.72916666699999999</v>
      </c>
      <c r="U67">
        <v>0.73263888899999996</v>
      </c>
      <c r="V67">
        <v>0</v>
      </c>
      <c r="W67">
        <v>1</v>
      </c>
      <c r="X67">
        <v>35</v>
      </c>
      <c r="Y67">
        <v>79</v>
      </c>
      <c r="Z67">
        <v>3</v>
      </c>
      <c r="AA67">
        <f t="shared" si="0"/>
        <v>450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>
        <v>0</v>
      </c>
      <c r="AT67">
        <v>1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</row>
    <row r="68" spans="1:96" x14ac:dyDescent="0.3">
      <c r="A68" s="1">
        <v>45498</v>
      </c>
      <c r="B68" t="s">
        <v>97</v>
      </c>
      <c r="C68" t="s">
        <v>214</v>
      </c>
      <c r="D68" t="s">
        <v>99</v>
      </c>
      <c r="E68" t="s">
        <v>215</v>
      </c>
      <c r="F68" t="s">
        <v>101</v>
      </c>
      <c r="G68">
        <v>11031</v>
      </c>
      <c r="H68" t="s">
        <v>102</v>
      </c>
      <c r="I68" t="s">
        <v>103</v>
      </c>
      <c r="J68">
        <v>4</v>
      </c>
      <c r="K68" t="s">
        <v>104</v>
      </c>
      <c r="L68">
        <v>4</v>
      </c>
      <c r="M68" t="s">
        <v>105</v>
      </c>
      <c r="N68">
        <v>189.5</v>
      </c>
      <c r="O68">
        <v>15.0877</v>
      </c>
      <c r="P68">
        <v>60.3508</v>
      </c>
      <c r="Q68">
        <v>0</v>
      </c>
      <c r="R68">
        <v>11436.4766</v>
      </c>
      <c r="S68">
        <v>11436.4766</v>
      </c>
      <c r="T68">
        <v>0.57083333300000005</v>
      </c>
      <c r="U68">
        <v>0.57430555599999999</v>
      </c>
      <c r="V68">
        <v>0</v>
      </c>
      <c r="W68">
        <v>1</v>
      </c>
      <c r="X68">
        <v>40</v>
      </c>
      <c r="Y68">
        <v>79</v>
      </c>
      <c r="Z68">
        <v>4</v>
      </c>
      <c r="AA68">
        <f t="shared" ref="AA68:AA131" si="1">Z68+AA67</f>
        <v>454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4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</row>
    <row r="69" spans="1:96" x14ac:dyDescent="0.3">
      <c r="A69" s="1">
        <v>45498</v>
      </c>
      <c r="B69" t="s">
        <v>97</v>
      </c>
      <c r="C69" t="s">
        <v>216</v>
      </c>
      <c r="D69" t="s">
        <v>99</v>
      </c>
      <c r="E69" t="s">
        <v>131</v>
      </c>
      <c r="F69" t="s">
        <v>101</v>
      </c>
      <c r="G69">
        <v>1128</v>
      </c>
      <c r="H69" t="s">
        <v>126</v>
      </c>
      <c r="I69" t="s">
        <v>119</v>
      </c>
      <c r="J69">
        <v>4</v>
      </c>
      <c r="K69" t="s">
        <v>104</v>
      </c>
      <c r="L69">
        <v>6.6666666670000003</v>
      </c>
      <c r="M69" t="s">
        <v>105</v>
      </c>
      <c r="N69">
        <v>154.80000000000001</v>
      </c>
      <c r="O69">
        <v>1.1077920000000001</v>
      </c>
      <c r="P69">
        <v>7.3852799999999998</v>
      </c>
      <c r="Q69">
        <v>0</v>
      </c>
      <c r="R69">
        <v>1143.241344</v>
      </c>
      <c r="S69">
        <v>1143.241344</v>
      </c>
      <c r="T69">
        <v>0.72222222199999997</v>
      </c>
      <c r="U69">
        <v>0.72569444400000005</v>
      </c>
      <c r="V69">
        <v>0</v>
      </c>
      <c r="W69">
        <v>1</v>
      </c>
      <c r="X69">
        <v>35</v>
      </c>
      <c r="Y69">
        <v>79</v>
      </c>
      <c r="Z69">
        <v>2</v>
      </c>
      <c r="AA69">
        <f t="shared" si="1"/>
        <v>456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</row>
    <row r="70" spans="1:96" x14ac:dyDescent="0.3">
      <c r="A70" s="1">
        <v>45498</v>
      </c>
      <c r="B70" t="s">
        <v>97</v>
      </c>
      <c r="C70" t="s">
        <v>130</v>
      </c>
      <c r="D70" t="s">
        <v>99</v>
      </c>
      <c r="E70" t="s">
        <v>131</v>
      </c>
      <c r="F70" t="s">
        <v>101</v>
      </c>
      <c r="G70">
        <v>1128</v>
      </c>
      <c r="H70" t="s">
        <v>113</v>
      </c>
      <c r="I70" t="s">
        <v>119</v>
      </c>
      <c r="J70">
        <v>4</v>
      </c>
      <c r="K70" t="s">
        <v>120</v>
      </c>
      <c r="L70">
        <v>9.6</v>
      </c>
      <c r="M70" t="s">
        <v>105</v>
      </c>
      <c r="N70">
        <v>36.1</v>
      </c>
      <c r="O70">
        <v>8.3053000000000008</v>
      </c>
      <c r="P70">
        <v>79.730879999999999</v>
      </c>
      <c r="Q70">
        <v>0</v>
      </c>
      <c r="R70">
        <v>2878.284768</v>
      </c>
      <c r="S70">
        <v>2878.284768</v>
      </c>
      <c r="T70">
        <v>0.55555555599999995</v>
      </c>
      <c r="U70">
        <v>0.51736111100000004</v>
      </c>
      <c r="V70">
        <v>0</v>
      </c>
      <c r="W70">
        <v>1</v>
      </c>
      <c r="X70">
        <v>40</v>
      </c>
      <c r="Y70">
        <v>77</v>
      </c>
      <c r="Z70">
        <v>8</v>
      </c>
      <c r="AA70">
        <f t="shared" si="1"/>
        <v>464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2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1</v>
      </c>
      <c r="BP70">
        <v>0</v>
      </c>
      <c r="BQ70">
        <v>0</v>
      </c>
      <c r="BR70">
        <v>1</v>
      </c>
      <c r="BS70">
        <v>1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1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</row>
    <row r="71" spans="1:96" x14ac:dyDescent="0.3">
      <c r="A71" s="1">
        <v>45498</v>
      </c>
      <c r="B71" t="s">
        <v>97</v>
      </c>
      <c r="C71" t="s">
        <v>217</v>
      </c>
      <c r="D71" t="s">
        <v>99</v>
      </c>
      <c r="E71" t="s">
        <v>153</v>
      </c>
      <c r="F71" t="s">
        <v>108</v>
      </c>
      <c r="G71">
        <v>9090</v>
      </c>
      <c r="H71" t="s">
        <v>113</v>
      </c>
      <c r="I71" t="s">
        <v>103</v>
      </c>
      <c r="J71">
        <v>4</v>
      </c>
      <c r="K71" t="s">
        <v>114</v>
      </c>
      <c r="L71">
        <v>0.33300000000000002</v>
      </c>
      <c r="M71" t="s">
        <v>105</v>
      </c>
      <c r="N71">
        <v>1248</v>
      </c>
      <c r="O71">
        <v>20.347200000000001</v>
      </c>
      <c r="P71">
        <v>6.7756176000000004</v>
      </c>
      <c r="Q71">
        <v>0</v>
      </c>
      <c r="R71">
        <v>8455.970765</v>
      </c>
      <c r="S71">
        <v>8455.970765</v>
      </c>
      <c r="T71">
        <v>0.52291666699999995</v>
      </c>
      <c r="U71">
        <v>0.52638888900000003</v>
      </c>
      <c r="V71">
        <v>0</v>
      </c>
      <c r="W71">
        <v>1</v>
      </c>
      <c r="X71">
        <v>40</v>
      </c>
      <c r="Y71">
        <v>74</v>
      </c>
      <c r="Z71">
        <v>3</v>
      </c>
      <c r="AA71">
        <f t="shared" si="1"/>
        <v>467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1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2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</row>
    <row r="72" spans="1:96" x14ac:dyDescent="0.3">
      <c r="A72" s="1">
        <v>45498</v>
      </c>
      <c r="B72" t="s">
        <v>97</v>
      </c>
      <c r="C72" t="s">
        <v>219</v>
      </c>
      <c r="E72" t="s">
        <v>155</v>
      </c>
      <c r="F72" t="s">
        <v>101</v>
      </c>
      <c r="G72">
        <v>7045</v>
      </c>
      <c r="H72" t="s">
        <v>126</v>
      </c>
      <c r="I72" t="s">
        <v>119</v>
      </c>
      <c r="J72">
        <v>4</v>
      </c>
      <c r="K72" t="s">
        <v>104</v>
      </c>
      <c r="L72" t="s">
        <v>105</v>
      </c>
      <c r="M72" t="s">
        <v>105</v>
      </c>
      <c r="N72">
        <v>79</v>
      </c>
      <c r="O72">
        <v>1.446912</v>
      </c>
      <c r="P72" t="e">
        <v>#VALUE!</v>
      </c>
      <c r="Q72">
        <v>0</v>
      </c>
      <c r="R72" t="e">
        <v>#VALUE!</v>
      </c>
      <c r="S72" t="s">
        <v>105</v>
      </c>
      <c r="T72">
        <v>0.69652777799999999</v>
      </c>
      <c r="U72">
        <v>0.7</v>
      </c>
      <c r="V72">
        <v>0</v>
      </c>
      <c r="W72">
        <v>1</v>
      </c>
      <c r="X72">
        <v>35</v>
      </c>
      <c r="Y72">
        <v>79</v>
      </c>
      <c r="Z72">
        <v>1</v>
      </c>
      <c r="AA72">
        <f t="shared" si="1"/>
        <v>468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1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</row>
    <row r="73" spans="1:96" x14ac:dyDescent="0.3">
      <c r="A73" s="1">
        <v>45498</v>
      </c>
      <c r="B73" t="s">
        <v>97</v>
      </c>
      <c r="C73" t="s">
        <v>222</v>
      </c>
      <c r="E73" t="s">
        <v>189</v>
      </c>
      <c r="F73" t="s">
        <v>101</v>
      </c>
      <c r="G73">
        <v>15012</v>
      </c>
      <c r="H73" t="s">
        <v>102</v>
      </c>
      <c r="I73" t="s">
        <v>119</v>
      </c>
      <c r="J73">
        <v>4</v>
      </c>
      <c r="K73" t="s">
        <v>120</v>
      </c>
      <c r="L73">
        <v>3.6666666669999999</v>
      </c>
      <c r="M73" t="s">
        <v>105</v>
      </c>
      <c r="N73">
        <v>269.7</v>
      </c>
      <c r="O73">
        <v>7.5987999999999998</v>
      </c>
      <c r="P73">
        <v>27.86226667</v>
      </c>
      <c r="Q73">
        <v>0</v>
      </c>
      <c r="R73">
        <v>7514.4533199999996</v>
      </c>
      <c r="S73">
        <v>7514.4533199999996</v>
      </c>
      <c r="T73">
        <v>0.43055555600000001</v>
      </c>
      <c r="U73">
        <v>0.43402777799999998</v>
      </c>
      <c r="V73">
        <v>0</v>
      </c>
      <c r="W73">
        <v>1</v>
      </c>
      <c r="X73">
        <v>35</v>
      </c>
      <c r="Y73">
        <v>79</v>
      </c>
      <c r="Z73">
        <v>0</v>
      </c>
      <c r="AA73">
        <f t="shared" si="1"/>
        <v>468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</row>
    <row r="74" spans="1:96" x14ac:dyDescent="0.3">
      <c r="A74" s="1">
        <v>45498</v>
      </c>
      <c r="B74" t="s">
        <v>97</v>
      </c>
      <c r="C74" t="s">
        <v>110</v>
      </c>
      <c r="E74" t="s">
        <v>111</v>
      </c>
      <c r="F74" t="s">
        <v>108</v>
      </c>
      <c r="G74" t="s">
        <v>112</v>
      </c>
      <c r="H74" t="s">
        <v>113</v>
      </c>
      <c r="I74" t="s">
        <v>103</v>
      </c>
      <c r="J74">
        <v>4</v>
      </c>
      <c r="K74" t="s">
        <v>114</v>
      </c>
      <c r="L74">
        <v>1</v>
      </c>
      <c r="M74" t="s">
        <v>105</v>
      </c>
      <c r="N74">
        <v>388.8</v>
      </c>
      <c r="O74">
        <v>8.3053000000000008</v>
      </c>
      <c r="P74">
        <v>8.3053000000000008</v>
      </c>
      <c r="Q74">
        <v>0</v>
      </c>
      <c r="R74">
        <v>3229.1006400000001</v>
      </c>
      <c r="S74">
        <v>3229.1006400000001</v>
      </c>
      <c r="T74">
        <v>0.54027777799999999</v>
      </c>
      <c r="U74">
        <v>0.54374999999999996</v>
      </c>
      <c r="V74">
        <v>0</v>
      </c>
      <c r="W74">
        <v>1</v>
      </c>
      <c r="X74">
        <v>40</v>
      </c>
      <c r="Y74">
        <v>74</v>
      </c>
      <c r="Z74">
        <v>0</v>
      </c>
      <c r="AA74">
        <f t="shared" si="1"/>
        <v>468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</row>
    <row r="75" spans="1:96" x14ac:dyDescent="0.3">
      <c r="A75" s="1">
        <v>45498</v>
      </c>
      <c r="B75" t="s">
        <v>97</v>
      </c>
      <c r="C75" t="s">
        <v>236</v>
      </c>
      <c r="E75" t="s">
        <v>237</v>
      </c>
      <c r="F75" t="s">
        <v>101</v>
      </c>
      <c r="G75">
        <v>16012</v>
      </c>
      <c r="H75" t="s">
        <v>102</v>
      </c>
      <c r="I75" t="s">
        <v>103</v>
      </c>
      <c r="J75">
        <v>4</v>
      </c>
      <c r="K75" t="s">
        <v>104</v>
      </c>
      <c r="M75" t="s">
        <v>105</v>
      </c>
      <c r="N75" t="s">
        <v>105</v>
      </c>
      <c r="O75" t="e">
        <v>#VALUE!</v>
      </c>
      <c r="P75" t="e">
        <v>#VALUE!</v>
      </c>
      <c r="Q75" t="e">
        <v>#VALUE!</v>
      </c>
      <c r="R75" t="e">
        <v>#VALUE!</v>
      </c>
      <c r="S75" t="s">
        <v>105</v>
      </c>
      <c r="T75" t="s">
        <v>105</v>
      </c>
      <c r="U75" t="s">
        <v>105</v>
      </c>
      <c r="V75" t="s">
        <v>105</v>
      </c>
      <c r="W75" t="s">
        <v>105</v>
      </c>
      <c r="X75" t="s">
        <v>105</v>
      </c>
      <c r="Y75" t="s">
        <v>105</v>
      </c>
      <c r="Z75">
        <v>1</v>
      </c>
      <c r="AA75">
        <f t="shared" si="1"/>
        <v>469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1</v>
      </c>
      <c r="CN75">
        <v>0</v>
      </c>
      <c r="CO75">
        <v>0</v>
      </c>
      <c r="CP75">
        <v>0</v>
      </c>
      <c r="CQ75">
        <v>0</v>
      </c>
    </row>
    <row r="76" spans="1:96" x14ac:dyDescent="0.3">
      <c r="A76" s="1">
        <v>45498</v>
      </c>
      <c r="B76" t="s">
        <v>97</v>
      </c>
      <c r="C76" t="s">
        <v>241</v>
      </c>
      <c r="E76" t="s">
        <v>165</v>
      </c>
      <c r="F76" t="s">
        <v>101</v>
      </c>
      <c r="G76">
        <v>1004</v>
      </c>
      <c r="H76" t="s">
        <v>126</v>
      </c>
      <c r="I76" t="s">
        <v>103</v>
      </c>
      <c r="J76">
        <v>4</v>
      </c>
      <c r="K76" t="s">
        <v>120</v>
      </c>
      <c r="L76">
        <v>2.3333333330000001</v>
      </c>
      <c r="M76" t="s">
        <v>105</v>
      </c>
      <c r="N76">
        <v>174.4</v>
      </c>
      <c r="O76">
        <v>44.668942919999999</v>
      </c>
      <c r="P76">
        <v>104.22753350000001</v>
      </c>
      <c r="Q76">
        <v>0</v>
      </c>
      <c r="R76">
        <v>18177.28184</v>
      </c>
      <c r="S76">
        <v>18177.28184</v>
      </c>
      <c r="T76">
        <v>0.42708333300000001</v>
      </c>
      <c r="U76">
        <v>0.43055555600000001</v>
      </c>
      <c r="V76">
        <v>0</v>
      </c>
      <c r="W76">
        <v>1</v>
      </c>
      <c r="X76">
        <v>35</v>
      </c>
      <c r="Y76">
        <v>79</v>
      </c>
      <c r="Z76">
        <v>0</v>
      </c>
      <c r="AA76">
        <f t="shared" si="1"/>
        <v>469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</row>
    <row r="77" spans="1:96" x14ac:dyDescent="0.3">
      <c r="A77" s="1">
        <v>45499</v>
      </c>
      <c r="B77" t="s">
        <v>97</v>
      </c>
      <c r="C77" t="s">
        <v>141</v>
      </c>
      <c r="D77" t="s">
        <v>99</v>
      </c>
      <c r="E77" t="s">
        <v>142</v>
      </c>
      <c r="F77" t="s">
        <v>101</v>
      </c>
      <c r="G77">
        <v>14010</v>
      </c>
      <c r="H77" t="s">
        <v>102</v>
      </c>
      <c r="I77" t="s">
        <v>129</v>
      </c>
      <c r="J77">
        <v>4</v>
      </c>
      <c r="K77" t="s">
        <v>104</v>
      </c>
      <c r="L77">
        <v>13.66666667</v>
      </c>
      <c r="M77" t="s">
        <v>105</v>
      </c>
      <c r="N77">
        <v>59.7</v>
      </c>
      <c r="O77">
        <v>5.5466469710000004</v>
      </c>
      <c r="P77">
        <v>75.804175270000002</v>
      </c>
      <c r="Q77">
        <v>0</v>
      </c>
      <c r="R77">
        <v>4525.5092640000003</v>
      </c>
      <c r="S77">
        <v>4525.5092640000003</v>
      </c>
      <c r="T77">
        <v>0.76319444400000003</v>
      </c>
      <c r="U77">
        <v>0.76666666699999997</v>
      </c>
      <c r="V77">
        <v>0</v>
      </c>
      <c r="W77">
        <v>1</v>
      </c>
      <c r="X77">
        <v>0</v>
      </c>
      <c r="Y77">
        <v>81</v>
      </c>
      <c r="Z77">
        <v>3</v>
      </c>
      <c r="AA77">
        <f t="shared" si="1"/>
        <v>472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1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2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</row>
    <row r="78" spans="1:96" x14ac:dyDescent="0.3">
      <c r="A78" s="1">
        <v>45499</v>
      </c>
      <c r="B78" t="s">
        <v>97</v>
      </c>
      <c r="C78" t="s">
        <v>160</v>
      </c>
      <c r="D78" t="s">
        <v>99</v>
      </c>
      <c r="E78" t="s">
        <v>161</v>
      </c>
      <c r="F78" t="s">
        <v>101</v>
      </c>
      <c r="G78">
        <v>13029</v>
      </c>
      <c r="H78" t="s">
        <v>118</v>
      </c>
      <c r="I78" t="s">
        <v>103</v>
      </c>
      <c r="J78">
        <v>4</v>
      </c>
      <c r="K78" t="s">
        <v>120</v>
      </c>
      <c r="L78">
        <v>3.6666666669999999</v>
      </c>
      <c r="M78" t="s">
        <v>105</v>
      </c>
      <c r="N78">
        <v>4.5</v>
      </c>
      <c r="O78">
        <v>5.8505173309999998</v>
      </c>
      <c r="P78">
        <v>21.45189688</v>
      </c>
      <c r="Q78">
        <v>0</v>
      </c>
      <c r="R78">
        <v>96.533535959999995</v>
      </c>
      <c r="S78">
        <v>96.533535959999995</v>
      </c>
      <c r="T78">
        <v>0.76805555599999997</v>
      </c>
      <c r="U78">
        <v>0.77152777800000005</v>
      </c>
      <c r="V78">
        <v>0</v>
      </c>
      <c r="W78">
        <v>1</v>
      </c>
      <c r="X78">
        <v>0</v>
      </c>
      <c r="Y78">
        <v>81</v>
      </c>
      <c r="Z78">
        <v>5</v>
      </c>
      <c r="AA78">
        <f t="shared" si="1"/>
        <v>477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1</v>
      </c>
      <c r="AS78">
        <v>0</v>
      </c>
      <c r="AT78">
        <v>1</v>
      </c>
      <c r="AU78">
        <v>1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1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</row>
    <row r="79" spans="1:96" x14ac:dyDescent="0.3">
      <c r="A79" s="1">
        <v>45499</v>
      </c>
      <c r="B79" t="s">
        <v>97</v>
      </c>
      <c r="C79" t="s">
        <v>143</v>
      </c>
      <c r="D79" t="s">
        <v>99</v>
      </c>
      <c r="E79" t="s">
        <v>138</v>
      </c>
      <c r="F79" t="s">
        <v>101</v>
      </c>
      <c r="G79" t="s">
        <v>144</v>
      </c>
      <c r="H79" t="s">
        <v>118</v>
      </c>
      <c r="I79" t="s">
        <v>129</v>
      </c>
      <c r="J79" t="s">
        <v>105</v>
      </c>
      <c r="K79" t="s">
        <v>120</v>
      </c>
      <c r="L79">
        <v>11.3</v>
      </c>
      <c r="M79" t="s">
        <v>105</v>
      </c>
      <c r="N79">
        <v>71.400000000000006</v>
      </c>
      <c r="O79">
        <v>8.9499950029999997</v>
      </c>
      <c r="P79">
        <v>101.13494350000001</v>
      </c>
      <c r="Q79">
        <v>0</v>
      </c>
      <c r="R79">
        <v>7221.0349679999999</v>
      </c>
      <c r="S79">
        <v>7221.0349679999999</v>
      </c>
      <c r="T79">
        <v>0.47569444399999999</v>
      </c>
      <c r="U79">
        <v>0.47916666699999999</v>
      </c>
      <c r="V79">
        <v>0</v>
      </c>
      <c r="W79">
        <v>1</v>
      </c>
      <c r="X79">
        <v>0</v>
      </c>
      <c r="Y79">
        <v>75</v>
      </c>
      <c r="Z79">
        <v>6</v>
      </c>
      <c r="AA79">
        <f t="shared" si="1"/>
        <v>483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2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1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1</v>
      </c>
      <c r="BN79">
        <v>0</v>
      </c>
      <c r="BO79">
        <v>0</v>
      </c>
      <c r="BP79">
        <v>1</v>
      </c>
      <c r="BQ79">
        <v>0</v>
      </c>
      <c r="BR79">
        <v>0</v>
      </c>
      <c r="BS79">
        <v>1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 t="s">
        <v>218</v>
      </c>
    </row>
    <row r="80" spans="1:96" x14ac:dyDescent="0.3">
      <c r="A80" s="1">
        <v>45499</v>
      </c>
      <c r="B80" t="s">
        <v>97</v>
      </c>
      <c r="C80" t="s">
        <v>145</v>
      </c>
      <c r="D80" t="s">
        <v>99</v>
      </c>
      <c r="E80" t="s">
        <v>138</v>
      </c>
      <c r="F80" t="s">
        <v>101</v>
      </c>
      <c r="G80" t="s">
        <v>146</v>
      </c>
      <c r="H80" t="s">
        <v>113</v>
      </c>
      <c r="I80" t="s">
        <v>129</v>
      </c>
      <c r="J80">
        <v>4</v>
      </c>
      <c r="K80" t="s">
        <v>120</v>
      </c>
      <c r="L80">
        <v>12.3</v>
      </c>
      <c r="M80" t="s">
        <v>105</v>
      </c>
      <c r="N80">
        <v>94.3</v>
      </c>
      <c r="O80">
        <v>8.5731957570000006</v>
      </c>
      <c r="P80">
        <v>105.4503078</v>
      </c>
      <c r="Q80">
        <v>0</v>
      </c>
      <c r="R80">
        <v>9943.9640259999996</v>
      </c>
      <c r="S80">
        <v>9943.9640259999996</v>
      </c>
      <c r="T80">
        <v>0.48263888900000002</v>
      </c>
      <c r="U80">
        <v>0.48611111099999998</v>
      </c>
      <c r="V80">
        <v>0</v>
      </c>
      <c r="W80">
        <v>1</v>
      </c>
      <c r="X80">
        <v>0</v>
      </c>
      <c r="Y80">
        <v>75</v>
      </c>
      <c r="Z80">
        <v>2</v>
      </c>
      <c r="AA80">
        <f t="shared" si="1"/>
        <v>485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1</v>
      </c>
      <c r="AQ80">
        <v>0</v>
      </c>
      <c r="AR80">
        <v>0</v>
      </c>
      <c r="AS80">
        <v>0</v>
      </c>
      <c r="AT80">
        <v>1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1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</row>
    <row r="81" spans="1:96" x14ac:dyDescent="0.3">
      <c r="A81" s="1">
        <v>45499</v>
      </c>
      <c r="B81" t="s">
        <v>97</v>
      </c>
      <c r="C81" t="s">
        <v>145</v>
      </c>
      <c r="D81" t="s">
        <v>99</v>
      </c>
      <c r="E81" t="s">
        <v>138</v>
      </c>
      <c r="F81" t="s">
        <v>101</v>
      </c>
      <c r="G81" t="s">
        <v>146</v>
      </c>
      <c r="H81" t="s">
        <v>113</v>
      </c>
      <c r="I81" t="s">
        <v>129</v>
      </c>
      <c r="J81">
        <v>4</v>
      </c>
      <c r="K81" t="s">
        <v>120</v>
      </c>
      <c r="L81">
        <v>12.3</v>
      </c>
      <c r="M81" t="s">
        <v>105</v>
      </c>
      <c r="N81">
        <v>94.3</v>
      </c>
      <c r="O81">
        <v>8.5731957570000006</v>
      </c>
      <c r="P81">
        <v>105.4503078</v>
      </c>
      <c r="Q81">
        <v>0</v>
      </c>
      <c r="R81">
        <v>9943.9640259999996</v>
      </c>
      <c r="S81">
        <v>9943.9640259999996</v>
      </c>
      <c r="T81">
        <v>0.48263888900000002</v>
      </c>
      <c r="U81">
        <v>0.48611111099999998</v>
      </c>
      <c r="V81">
        <v>0</v>
      </c>
      <c r="W81">
        <v>1</v>
      </c>
      <c r="X81">
        <v>0</v>
      </c>
      <c r="Y81">
        <v>75</v>
      </c>
      <c r="Z81">
        <v>3</v>
      </c>
      <c r="AA81">
        <f t="shared" si="1"/>
        <v>488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1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1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</row>
    <row r="82" spans="1:96" x14ac:dyDescent="0.3">
      <c r="A82" s="1">
        <v>45499</v>
      </c>
      <c r="B82" t="s">
        <v>97</v>
      </c>
      <c r="C82" t="s">
        <v>220</v>
      </c>
      <c r="D82" t="s">
        <v>99</v>
      </c>
      <c r="E82" t="s">
        <v>221</v>
      </c>
      <c r="F82" t="s">
        <v>101</v>
      </c>
      <c r="G82">
        <v>1127</v>
      </c>
      <c r="H82" t="s">
        <v>113</v>
      </c>
      <c r="I82" t="s">
        <v>103</v>
      </c>
      <c r="J82">
        <v>4</v>
      </c>
      <c r="K82" t="s">
        <v>104</v>
      </c>
      <c r="L82">
        <v>1.3333333329999999</v>
      </c>
      <c r="M82" t="s">
        <v>105</v>
      </c>
      <c r="N82">
        <v>126.2</v>
      </c>
      <c r="O82">
        <v>2.9899079999999998</v>
      </c>
      <c r="P82">
        <v>3.9865439999999999</v>
      </c>
      <c r="Q82">
        <v>0</v>
      </c>
      <c r="R82">
        <v>503.10185280000002</v>
      </c>
      <c r="S82">
        <v>503.10185280000002</v>
      </c>
      <c r="T82">
        <v>0.38541666699999999</v>
      </c>
      <c r="U82">
        <v>0.38888888900000002</v>
      </c>
      <c r="V82">
        <v>0</v>
      </c>
      <c r="W82">
        <v>1</v>
      </c>
      <c r="X82">
        <v>0</v>
      </c>
      <c r="Y82">
        <v>69</v>
      </c>
      <c r="Z82">
        <v>7</v>
      </c>
      <c r="AA82">
        <f t="shared" si="1"/>
        <v>495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1</v>
      </c>
      <c r="AS82">
        <v>0</v>
      </c>
      <c r="AT82">
        <v>4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1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1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1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</row>
    <row r="83" spans="1:96" x14ac:dyDescent="0.3">
      <c r="A83" s="1">
        <v>45499</v>
      </c>
      <c r="B83" t="s">
        <v>97</v>
      </c>
      <c r="C83" t="s">
        <v>147</v>
      </c>
      <c r="D83" t="s">
        <v>99</v>
      </c>
      <c r="E83" t="s">
        <v>128</v>
      </c>
      <c r="F83" t="s">
        <v>101</v>
      </c>
      <c r="G83">
        <v>14001</v>
      </c>
      <c r="H83" t="s">
        <v>102</v>
      </c>
      <c r="I83" t="s">
        <v>129</v>
      </c>
      <c r="J83">
        <v>4</v>
      </c>
      <c r="K83" t="s">
        <v>104</v>
      </c>
      <c r="L83" t="s">
        <v>223</v>
      </c>
      <c r="M83" t="s">
        <v>105</v>
      </c>
      <c r="N83">
        <v>25.9</v>
      </c>
      <c r="O83">
        <v>8.2044997199999994</v>
      </c>
      <c r="P83" t="e">
        <v>#VALUE!</v>
      </c>
      <c r="Q83">
        <v>0</v>
      </c>
      <c r="R83" t="e">
        <v>#VALUE!</v>
      </c>
      <c r="S83" t="s">
        <v>105</v>
      </c>
      <c r="T83">
        <v>0.70486111100000004</v>
      </c>
      <c r="U83">
        <v>0.70833333300000001</v>
      </c>
      <c r="V83">
        <v>0</v>
      </c>
      <c r="W83">
        <v>1</v>
      </c>
      <c r="X83">
        <v>0</v>
      </c>
      <c r="Y83">
        <v>81</v>
      </c>
      <c r="Z83">
        <v>4</v>
      </c>
      <c r="AA83">
        <f t="shared" si="1"/>
        <v>499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1</v>
      </c>
      <c r="CH83">
        <v>0</v>
      </c>
      <c r="CI83">
        <v>3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</row>
    <row r="84" spans="1:96" x14ac:dyDescent="0.3">
      <c r="A84" s="1">
        <v>45499</v>
      </c>
      <c r="B84" t="s">
        <v>97</v>
      </c>
      <c r="C84" t="s">
        <v>180</v>
      </c>
      <c r="D84" t="s">
        <v>99</v>
      </c>
      <c r="E84" t="s">
        <v>181</v>
      </c>
      <c r="F84" t="s">
        <v>101</v>
      </c>
      <c r="G84" t="s">
        <v>182</v>
      </c>
      <c r="H84" t="s">
        <v>126</v>
      </c>
      <c r="I84" t="s">
        <v>103</v>
      </c>
      <c r="J84">
        <v>4</v>
      </c>
      <c r="K84" t="s">
        <v>120</v>
      </c>
      <c r="L84">
        <v>11</v>
      </c>
      <c r="M84" t="s">
        <v>105</v>
      </c>
      <c r="N84">
        <v>55.8</v>
      </c>
      <c r="O84">
        <v>2.3337243650000001</v>
      </c>
      <c r="P84">
        <v>25.670968009999999</v>
      </c>
      <c r="Q84">
        <v>0</v>
      </c>
      <c r="R84">
        <v>1432.4400149999999</v>
      </c>
      <c r="S84">
        <v>1432.4400149999999</v>
      </c>
      <c r="T84">
        <v>0.71388888900000003</v>
      </c>
      <c r="U84">
        <v>0.717361111</v>
      </c>
      <c r="V84">
        <v>0</v>
      </c>
      <c r="W84">
        <v>2</v>
      </c>
      <c r="X84">
        <v>0</v>
      </c>
      <c r="Y84">
        <v>81</v>
      </c>
      <c r="Z84">
        <v>6</v>
      </c>
      <c r="AA84">
        <f t="shared" si="1"/>
        <v>505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1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3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1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1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</row>
    <row r="85" spans="1:96" x14ac:dyDescent="0.3">
      <c r="A85" s="1">
        <v>45499</v>
      </c>
      <c r="B85" t="s">
        <v>97</v>
      </c>
      <c r="C85" t="s">
        <v>224</v>
      </c>
      <c r="D85" t="s">
        <v>99</v>
      </c>
      <c r="E85" t="s">
        <v>225</v>
      </c>
      <c r="F85" t="s">
        <v>101</v>
      </c>
      <c r="G85">
        <v>98053</v>
      </c>
      <c r="H85" t="s">
        <v>126</v>
      </c>
      <c r="I85" t="s">
        <v>129</v>
      </c>
      <c r="J85" t="s">
        <v>105</v>
      </c>
      <c r="K85" t="s">
        <v>120</v>
      </c>
      <c r="L85">
        <v>10.3</v>
      </c>
      <c r="M85" t="s">
        <v>105</v>
      </c>
      <c r="N85">
        <v>46.2</v>
      </c>
      <c r="O85">
        <v>1.9609767229999999</v>
      </c>
      <c r="P85">
        <v>20.198060250000001</v>
      </c>
      <c r="Q85">
        <v>0</v>
      </c>
      <c r="R85">
        <v>933.15038349999998</v>
      </c>
      <c r="S85">
        <v>933.15038349999998</v>
      </c>
      <c r="T85">
        <v>0.46527777799999998</v>
      </c>
      <c r="U85">
        <v>0.46875</v>
      </c>
      <c r="V85">
        <v>0</v>
      </c>
      <c r="W85">
        <v>1</v>
      </c>
      <c r="X85">
        <v>30</v>
      </c>
      <c r="Y85">
        <v>75</v>
      </c>
      <c r="Z85">
        <v>3</v>
      </c>
      <c r="AA85">
        <f t="shared" si="1"/>
        <v>508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1</v>
      </c>
      <c r="AS85">
        <v>0</v>
      </c>
      <c r="AT85">
        <v>1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1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</row>
    <row r="86" spans="1:96" x14ac:dyDescent="0.3">
      <c r="A86" s="1">
        <v>45499</v>
      </c>
      <c r="B86" t="s">
        <v>97</v>
      </c>
      <c r="C86" t="s">
        <v>226</v>
      </c>
      <c r="D86" t="s">
        <v>99</v>
      </c>
      <c r="E86" t="s">
        <v>227</v>
      </c>
      <c r="F86" t="s">
        <v>101</v>
      </c>
      <c r="G86">
        <v>21039</v>
      </c>
      <c r="H86" t="s">
        <v>126</v>
      </c>
      <c r="I86" t="s">
        <v>119</v>
      </c>
      <c r="J86">
        <v>4</v>
      </c>
      <c r="K86" t="s">
        <v>120</v>
      </c>
      <c r="L86">
        <v>2.6666666669999999</v>
      </c>
      <c r="M86" t="s">
        <v>105</v>
      </c>
      <c r="N86">
        <v>17.7</v>
      </c>
      <c r="O86">
        <v>1.9609767229999999</v>
      </c>
      <c r="P86">
        <v>5.2292712620000001</v>
      </c>
      <c r="Q86">
        <v>0</v>
      </c>
      <c r="R86">
        <v>92.558101339999993</v>
      </c>
      <c r="S86">
        <v>92.558101339999993</v>
      </c>
      <c r="T86">
        <v>0.44027777800000001</v>
      </c>
      <c r="U86">
        <v>0.44374999999999998</v>
      </c>
      <c r="V86">
        <v>0</v>
      </c>
      <c r="W86">
        <v>1</v>
      </c>
      <c r="X86">
        <v>5</v>
      </c>
      <c r="Y86">
        <v>73</v>
      </c>
      <c r="Z86">
        <v>7</v>
      </c>
      <c r="AA86">
        <f t="shared" si="1"/>
        <v>515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1</v>
      </c>
      <c r="AP86">
        <v>2</v>
      </c>
      <c r="AQ86">
        <v>0</v>
      </c>
      <c r="AR86">
        <v>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3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</row>
    <row r="87" spans="1:96" x14ac:dyDescent="0.3">
      <c r="A87" s="1">
        <v>45499</v>
      </c>
      <c r="B87" t="s">
        <v>97</v>
      </c>
      <c r="C87" t="s">
        <v>228</v>
      </c>
      <c r="D87" t="s">
        <v>99</v>
      </c>
      <c r="E87" t="s">
        <v>229</v>
      </c>
      <c r="F87" t="s">
        <v>101</v>
      </c>
      <c r="G87" t="s">
        <v>230</v>
      </c>
      <c r="H87" t="s">
        <v>113</v>
      </c>
      <c r="I87" t="s">
        <v>129</v>
      </c>
      <c r="J87">
        <v>5</v>
      </c>
      <c r="K87" t="s">
        <v>120</v>
      </c>
      <c r="L87">
        <v>8</v>
      </c>
      <c r="M87" t="s">
        <v>105</v>
      </c>
      <c r="N87">
        <v>60.9</v>
      </c>
      <c r="O87">
        <v>4.4121976270000003</v>
      </c>
      <c r="P87">
        <v>35.297581020000003</v>
      </c>
      <c r="Q87">
        <v>0</v>
      </c>
      <c r="R87">
        <v>2149.6226839999999</v>
      </c>
      <c r="S87">
        <v>2149.6226839999999</v>
      </c>
      <c r="T87">
        <v>0.37222222199999999</v>
      </c>
      <c r="U87">
        <v>0.37569444400000002</v>
      </c>
      <c r="V87">
        <v>0</v>
      </c>
      <c r="W87">
        <v>1</v>
      </c>
      <c r="X87">
        <v>0</v>
      </c>
      <c r="Y87">
        <v>69</v>
      </c>
      <c r="Z87">
        <v>1</v>
      </c>
      <c r="AA87">
        <f t="shared" si="1"/>
        <v>516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1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 t="s">
        <v>231</v>
      </c>
    </row>
    <row r="88" spans="1:96" x14ac:dyDescent="0.3">
      <c r="A88" s="1">
        <v>45499</v>
      </c>
      <c r="B88" t="s">
        <v>97</v>
      </c>
      <c r="C88" t="s">
        <v>232</v>
      </c>
      <c r="D88" t="s">
        <v>99</v>
      </c>
      <c r="E88" t="s">
        <v>233</v>
      </c>
      <c r="F88" t="s">
        <v>101</v>
      </c>
      <c r="G88">
        <v>21040</v>
      </c>
      <c r="H88" t="s">
        <v>126</v>
      </c>
      <c r="I88" t="s">
        <v>119</v>
      </c>
      <c r="J88">
        <v>4</v>
      </c>
      <c r="K88" t="s">
        <v>120</v>
      </c>
      <c r="L88">
        <v>4.6666666670000003</v>
      </c>
      <c r="M88" t="s">
        <v>105</v>
      </c>
      <c r="N88">
        <v>194.2</v>
      </c>
      <c r="O88">
        <v>3.6464443200000001</v>
      </c>
      <c r="P88">
        <v>17.016740160000001</v>
      </c>
      <c r="Q88">
        <v>0</v>
      </c>
      <c r="R88">
        <v>3304.6509390000001</v>
      </c>
      <c r="S88">
        <v>3304.6509390000001</v>
      </c>
      <c r="T88">
        <v>0.42361111099999998</v>
      </c>
      <c r="U88">
        <v>0.42708333300000001</v>
      </c>
      <c r="V88">
        <v>0</v>
      </c>
      <c r="W88">
        <v>1</v>
      </c>
      <c r="X88">
        <v>0</v>
      </c>
      <c r="Y88">
        <v>69</v>
      </c>
      <c r="Z88">
        <v>1</v>
      </c>
      <c r="AA88">
        <f t="shared" si="1"/>
        <v>517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1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</row>
    <row r="89" spans="1:96" x14ac:dyDescent="0.3">
      <c r="A89" s="1">
        <v>45499</v>
      </c>
      <c r="B89" t="s">
        <v>97</v>
      </c>
      <c r="C89" t="s">
        <v>234</v>
      </c>
      <c r="D89" t="s">
        <v>99</v>
      </c>
      <c r="E89" t="s">
        <v>235</v>
      </c>
      <c r="F89" t="s">
        <v>101</v>
      </c>
      <c r="G89">
        <v>21026</v>
      </c>
      <c r="H89" t="s">
        <v>126</v>
      </c>
      <c r="I89" t="s">
        <v>129</v>
      </c>
      <c r="J89">
        <v>4</v>
      </c>
      <c r="K89" t="s">
        <v>120</v>
      </c>
      <c r="L89">
        <v>2.3333333330000001</v>
      </c>
      <c r="M89" t="s">
        <v>105</v>
      </c>
      <c r="N89">
        <v>86.428569999999993</v>
      </c>
      <c r="O89">
        <v>5.8505173309999998</v>
      </c>
      <c r="P89">
        <v>13.65120711</v>
      </c>
      <c r="Q89">
        <v>0</v>
      </c>
      <c r="R89">
        <v>1179.8543090000001</v>
      </c>
      <c r="S89">
        <v>1179.8543090000001</v>
      </c>
      <c r="T89">
        <v>0.45555555599999997</v>
      </c>
      <c r="U89">
        <v>0.459027778</v>
      </c>
      <c r="V89">
        <v>0</v>
      </c>
      <c r="W89">
        <v>1</v>
      </c>
      <c r="X89">
        <v>5</v>
      </c>
      <c r="Y89">
        <v>73</v>
      </c>
      <c r="Z89">
        <v>3</v>
      </c>
      <c r="AA89">
        <f t="shared" si="1"/>
        <v>520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1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</row>
    <row r="90" spans="1:96" x14ac:dyDescent="0.3">
      <c r="A90" s="1">
        <v>45499</v>
      </c>
      <c r="B90" t="s">
        <v>97</v>
      </c>
      <c r="C90" t="s">
        <v>238</v>
      </c>
      <c r="D90" t="s">
        <v>99</v>
      </c>
      <c r="E90" t="s">
        <v>122</v>
      </c>
      <c r="F90" t="s">
        <v>101</v>
      </c>
      <c r="G90" t="s">
        <v>239</v>
      </c>
      <c r="H90" t="s">
        <v>126</v>
      </c>
      <c r="I90" t="s">
        <v>123</v>
      </c>
      <c r="J90">
        <v>4</v>
      </c>
      <c r="K90" t="s">
        <v>120</v>
      </c>
      <c r="L90">
        <v>7</v>
      </c>
      <c r="M90" t="s">
        <v>105</v>
      </c>
      <c r="N90">
        <v>15.1</v>
      </c>
      <c r="O90">
        <v>1.0372108289999999</v>
      </c>
      <c r="P90">
        <v>7.2604758020000002</v>
      </c>
      <c r="Q90">
        <v>0</v>
      </c>
      <c r="R90">
        <v>109.63318460000001</v>
      </c>
      <c r="S90">
        <v>109.63318460000001</v>
      </c>
      <c r="T90">
        <v>0.414583333</v>
      </c>
      <c r="U90">
        <v>0.41805555599999999</v>
      </c>
      <c r="V90">
        <v>0</v>
      </c>
      <c r="W90">
        <v>1</v>
      </c>
      <c r="X90">
        <v>0</v>
      </c>
      <c r="Y90">
        <v>69</v>
      </c>
      <c r="Z90">
        <v>17</v>
      </c>
      <c r="AA90">
        <f t="shared" si="1"/>
        <v>537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1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3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3</v>
      </c>
      <c r="BQ90">
        <v>0</v>
      </c>
      <c r="BR90">
        <v>1</v>
      </c>
      <c r="BS90">
        <v>7</v>
      </c>
      <c r="BT90">
        <v>0</v>
      </c>
      <c r="BU90">
        <v>1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1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 t="s">
        <v>240</v>
      </c>
    </row>
    <row r="91" spans="1:96" x14ac:dyDescent="0.3">
      <c r="A91" s="1">
        <v>45499</v>
      </c>
      <c r="B91" t="s">
        <v>97</v>
      </c>
      <c r="C91" t="s">
        <v>242</v>
      </c>
      <c r="D91" t="s">
        <v>99</v>
      </c>
      <c r="E91" t="s">
        <v>243</v>
      </c>
      <c r="F91" t="s">
        <v>101</v>
      </c>
      <c r="G91">
        <v>10063</v>
      </c>
      <c r="H91" t="s">
        <v>113</v>
      </c>
      <c r="I91" t="s">
        <v>119</v>
      </c>
      <c r="J91">
        <v>5</v>
      </c>
      <c r="K91" t="s">
        <v>120</v>
      </c>
      <c r="L91">
        <v>2.3333333330000001</v>
      </c>
      <c r="M91" t="s">
        <v>105</v>
      </c>
      <c r="N91">
        <v>349.6</v>
      </c>
      <c r="O91">
        <v>18.187653950000001</v>
      </c>
      <c r="P91">
        <v>42.437859209999999</v>
      </c>
      <c r="Q91">
        <v>0</v>
      </c>
      <c r="R91">
        <v>14836.27558</v>
      </c>
      <c r="S91">
        <v>14836.27558</v>
      </c>
      <c r="T91">
        <v>0.71944444399999996</v>
      </c>
      <c r="U91">
        <v>0.72291666700000001</v>
      </c>
      <c r="V91">
        <v>0</v>
      </c>
      <c r="W91">
        <v>2</v>
      </c>
      <c r="X91">
        <v>0</v>
      </c>
      <c r="Y91">
        <v>81</v>
      </c>
      <c r="Z91">
        <v>1</v>
      </c>
      <c r="AA91">
        <f t="shared" si="1"/>
        <v>538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1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</row>
    <row r="92" spans="1:96" x14ac:dyDescent="0.3">
      <c r="A92" s="1">
        <v>45499</v>
      </c>
      <c r="B92" t="s">
        <v>97</v>
      </c>
      <c r="C92" t="s">
        <v>162</v>
      </c>
      <c r="D92" t="s">
        <v>99</v>
      </c>
      <c r="E92" t="s">
        <v>163</v>
      </c>
      <c r="F92" t="s">
        <v>101</v>
      </c>
      <c r="G92">
        <v>4054</v>
      </c>
      <c r="H92" t="s">
        <v>118</v>
      </c>
      <c r="I92" t="s">
        <v>103</v>
      </c>
      <c r="J92">
        <v>4</v>
      </c>
      <c r="K92" t="s">
        <v>120</v>
      </c>
      <c r="L92">
        <v>9.6666666669999994</v>
      </c>
      <c r="M92" t="s">
        <v>105</v>
      </c>
      <c r="N92">
        <v>50</v>
      </c>
      <c r="O92">
        <v>9.7279031249999992</v>
      </c>
      <c r="P92">
        <v>94.036396870000004</v>
      </c>
      <c r="Q92">
        <v>0</v>
      </c>
      <c r="R92">
        <v>4701.8198439999996</v>
      </c>
      <c r="S92">
        <v>4701.8198439999996</v>
      </c>
      <c r="T92">
        <v>0.74305555599999995</v>
      </c>
      <c r="U92">
        <v>0.74652777800000003</v>
      </c>
      <c r="V92">
        <v>0</v>
      </c>
      <c r="W92">
        <v>1</v>
      </c>
      <c r="X92">
        <v>0</v>
      </c>
      <c r="Y92">
        <v>81</v>
      </c>
      <c r="Z92">
        <v>5</v>
      </c>
      <c r="AA92">
        <f t="shared" si="1"/>
        <v>543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1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1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1</v>
      </c>
      <c r="CG92">
        <v>0</v>
      </c>
      <c r="CH92">
        <v>0</v>
      </c>
      <c r="CI92">
        <v>2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</row>
    <row r="93" spans="1:96" x14ac:dyDescent="0.3">
      <c r="A93" s="1">
        <v>45499</v>
      </c>
      <c r="B93" t="s">
        <v>97</v>
      </c>
      <c r="C93" t="s">
        <v>167</v>
      </c>
      <c r="D93" t="s">
        <v>99</v>
      </c>
      <c r="E93" t="s">
        <v>168</v>
      </c>
      <c r="F93" t="s">
        <v>108</v>
      </c>
      <c r="G93">
        <v>18022</v>
      </c>
      <c r="H93" t="s">
        <v>102</v>
      </c>
      <c r="I93" t="s">
        <v>103</v>
      </c>
      <c r="J93">
        <v>3</v>
      </c>
      <c r="K93" t="s">
        <v>109</v>
      </c>
      <c r="L93">
        <v>1</v>
      </c>
      <c r="M93" t="s">
        <v>105</v>
      </c>
      <c r="N93">
        <v>563.42857140000001</v>
      </c>
      <c r="O93">
        <v>9.3348974590000005</v>
      </c>
      <c r="P93">
        <v>9.3348974590000005</v>
      </c>
      <c r="Q93">
        <v>0</v>
      </c>
      <c r="R93">
        <v>5259.5479400000004</v>
      </c>
      <c r="S93">
        <v>5259.5479400000004</v>
      </c>
      <c r="T93">
        <v>0.77847222199999999</v>
      </c>
      <c r="U93">
        <v>0.78194444399999996</v>
      </c>
      <c r="V93">
        <v>0</v>
      </c>
      <c r="W93">
        <v>1</v>
      </c>
      <c r="X93">
        <v>0</v>
      </c>
      <c r="Y93">
        <v>80</v>
      </c>
      <c r="Z93">
        <v>2</v>
      </c>
      <c r="AA93">
        <f t="shared" si="1"/>
        <v>545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1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1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</row>
    <row r="94" spans="1:96" x14ac:dyDescent="0.3">
      <c r="A94" s="1">
        <v>45499</v>
      </c>
      <c r="B94" t="s">
        <v>97</v>
      </c>
      <c r="C94" t="s">
        <v>169</v>
      </c>
      <c r="D94" t="s">
        <v>99</v>
      </c>
      <c r="E94" t="s">
        <v>170</v>
      </c>
      <c r="F94" t="s">
        <v>108</v>
      </c>
      <c r="G94">
        <v>10067</v>
      </c>
      <c r="H94" t="s">
        <v>126</v>
      </c>
      <c r="I94" t="s">
        <v>129</v>
      </c>
      <c r="J94">
        <v>4</v>
      </c>
      <c r="K94" t="s">
        <v>114</v>
      </c>
      <c r="L94">
        <v>0.66</v>
      </c>
      <c r="M94" t="s">
        <v>105</v>
      </c>
      <c r="N94">
        <v>88</v>
      </c>
      <c r="O94">
        <v>3.4073996370000001</v>
      </c>
      <c r="P94">
        <v>2.24888376</v>
      </c>
      <c r="Q94">
        <v>0</v>
      </c>
      <c r="R94">
        <v>197.9017709</v>
      </c>
      <c r="S94">
        <v>197.9017709</v>
      </c>
      <c r="T94">
        <v>0.78472222199999997</v>
      </c>
      <c r="U94">
        <v>0.78819444400000005</v>
      </c>
      <c r="V94">
        <v>0</v>
      </c>
      <c r="W94">
        <v>1</v>
      </c>
      <c r="X94">
        <v>0</v>
      </c>
      <c r="Y94">
        <v>80</v>
      </c>
      <c r="Z94">
        <v>1</v>
      </c>
      <c r="AA94">
        <f t="shared" si="1"/>
        <v>546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 t="s">
        <v>244</v>
      </c>
    </row>
    <row r="95" spans="1:96" x14ac:dyDescent="0.3">
      <c r="A95" s="1">
        <v>45499</v>
      </c>
      <c r="B95" t="s">
        <v>97</v>
      </c>
      <c r="C95" t="s">
        <v>188</v>
      </c>
      <c r="D95" t="s">
        <v>99</v>
      </c>
      <c r="E95" t="s">
        <v>189</v>
      </c>
      <c r="F95" t="s">
        <v>101</v>
      </c>
      <c r="G95">
        <v>15055</v>
      </c>
      <c r="H95" t="s">
        <v>113</v>
      </c>
      <c r="I95" t="s">
        <v>119</v>
      </c>
      <c r="J95">
        <v>4</v>
      </c>
      <c r="K95" t="s">
        <v>120</v>
      </c>
      <c r="L95">
        <v>14.6</v>
      </c>
      <c r="M95" t="s">
        <v>105</v>
      </c>
      <c r="N95">
        <v>42.8</v>
      </c>
      <c r="O95">
        <v>11.8144796</v>
      </c>
      <c r="P95">
        <v>172.49140209999999</v>
      </c>
      <c r="Q95">
        <v>0</v>
      </c>
      <c r="R95">
        <v>7382.6320100000003</v>
      </c>
      <c r="S95">
        <v>7382.6320100000003</v>
      </c>
      <c r="T95">
        <v>0.73333333300000003</v>
      </c>
      <c r="U95">
        <v>0.73680555599999997</v>
      </c>
      <c r="V95">
        <v>0</v>
      </c>
      <c r="W95">
        <v>2</v>
      </c>
      <c r="X95">
        <v>0</v>
      </c>
      <c r="Y95">
        <v>81</v>
      </c>
      <c r="Z95">
        <v>12</v>
      </c>
      <c r="AA95">
        <f t="shared" si="1"/>
        <v>558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</v>
      </c>
      <c r="AP95">
        <v>0</v>
      </c>
      <c r="AQ95">
        <v>0</v>
      </c>
      <c r="AR95">
        <v>1</v>
      </c>
      <c r="AS95">
        <v>0</v>
      </c>
      <c r="AT95">
        <v>0</v>
      </c>
      <c r="AU95">
        <v>1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2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1</v>
      </c>
      <c r="BQ95">
        <v>0</v>
      </c>
      <c r="BR95">
        <v>0</v>
      </c>
      <c r="BS95">
        <v>4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2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</row>
    <row r="96" spans="1:96" x14ac:dyDescent="0.3">
      <c r="A96" s="1">
        <v>45499</v>
      </c>
      <c r="B96" t="s">
        <v>97</v>
      </c>
      <c r="C96" t="s">
        <v>245</v>
      </c>
      <c r="D96" t="s">
        <v>99</v>
      </c>
      <c r="E96" t="s">
        <v>246</v>
      </c>
      <c r="F96" t="s">
        <v>101</v>
      </c>
      <c r="G96">
        <v>1006</v>
      </c>
      <c r="H96" t="s">
        <v>113</v>
      </c>
      <c r="I96" t="s">
        <v>103</v>
      </c>
      <c r="J96">
        <v>4</v>
      </c>
      <c r="K96" t="s">
        <v>120</v>
      </c>
      <c r="L96">
        <v>5</v>
      </c>
      <c r="M96" t="s">
        <v>105</v>
      </c>
      <c r="N96">
        <v>41.2</v>
      </c>
      <c r="O96">
        <v>1.6981120000000001</v>
      </c>
      <c r="P96">
        <v>8.4905600000000003</v>
      </c>
      <c r="Q96">
        <v>0</v>
      </c>
      <c r="R96">
        <v>349.81107200000002</v>
      </c>
      <c r="S96">
        <v>349.81107200000002</v>
      </c>
      <c r="T96">
        <v>0.44791666699999999</v>
      </c>
      <c r="U96">
        <v>0.45138888900000002</v>
      </c>
      <c r="V96">
        <v>0</v>
      </c>
      <c r="W96">
        <v>1</v>
      </c>
      <c r="X96">
        <v>5</v>
      </c>
      <c r="Y96">
        <v>73</v>
      </c>
      <c r="Z96">
        <v>6</v>
      </c>
      <c r="AA96">
        <f t="shared" si="1"/>
        <v>564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</v>
      </c>
      <c r="AM96">
        <v>0</v>
      </c>
      <c r="AN96">
        <v>0</v>
      </c>
      <c r="AO96">
        <v>0</v>
      </c>
      <c r="AP96">
        <v>1</v>
      </c>
      <c r="AQ96">
        <v>0</v>
      </c>
      <c r="AR96">
        <v>0</v>
      </c>
      <c r="AS96">
        <v>0</v>
      </c>
      <c r="AT96">
        <v>0</v>
      </c>
      <c r="AU96">
        <v>1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1</v>
      </c>
      <c r="BQ96">
        <v>1</v>
      </c>
      <c r="BR96">
        <v>0</v>
      </c>
      <c r="BS96">
        <v>0</v>
      </c>
      <c r="BT96">
        <v>0</v>
      </c>
      <c r="BU96">
        <v>0</v>
      </c>
      <c r="BV96">
        <v>1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</row>
    <row r="97" spans="1:96" x14ac:dyDescent="0.3">
      <c r="A97" s="1">
        <v>45499</v>
      </c>
      <c r="B97" t="s">
        <v>97</v>
      </c>
      <c r="C97" t="s">
        <v>137</v>
      </c>
      <c r="E97" t="s">
        <v>138</v>
      </c>
      <c r="F97" t="s">
        <v>101</v>
      </c>
      <c r="G97">
        <v>14026</v>
      </c>
      <c r="H97" t="s">
        <v>113</v>
      </c>
      <c r="I97" t="s">
        <v>129</v>
      </c>
      <c r="J97">
        <v>4</v>
      </c>
      <c r="K97" t="s">
        <v>120</v>
      </c>
      <c r="L97">
        <v>12</v>
      </c>
      <c r="M97" t="s">
        <v>105</v>
      </c>
      <c r="N97">
        <v>76.5</v>
      </c>
      <c r="O97">
        <v>8.5731957570000006</v>
      </c>
      <c r="P97">
        <v>102.87834909999999</v>
      </c>
      <c r="Q97">
        <v>0</v>
      </c>
      <c r="R97">
        <v>7870.1937049999997</v>
      </c>
      <c r="S97">
        <v>7870.1937049999997</v>
      </c>
      <c r="T97">
        <v>0.75763888899999998</v>
      </c>
      <c r="U97">
        <v>0.76111111099999995</v>
      </c>
      <c r="V97">
        <v>0</v>
      </c>
      <c r="W97">
        <v>1</v>
      </c>
      <c r="X97">
        <v>0</v>
      </c>
      <c r="Y97">
        <v>81</v>
      </c>
      <c r="Z97">
        <v>3</v>
      </c>
      <c r="AA97">
        <f t="shared" si="1"/>
        <v>567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1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2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</row>
    <row r="98" spans="1:96" x14ac:dyDescent="0.3">
      <c r="A98" s="1">
        <v>45499</v>
      </c>
      <c r="B98" t="s">
        <v>97</v>
      </c>
      <c r="C98" t="s">
        <v>248</v>
      </c>
      <c r="E98" t="s">
        <v>249</v>
      </c>
      <c r="F98" t="s">
        <v>101</v>
      </c>
      <c r="G98">
        <v>15049</v>
      </c>
      <c r="H98" t="s">
        <v>126</v>
      </c>
      <c r="I98" t="s">
        <v>119</v>
      </c>
      <c r="J98">
        <v>4</v>
      </c>
      <c r="K98" t="s">
        <v>120</v>
      </c>
      <c r="L98">
        <v>0.66666666699999999</v>
      </c>
      <c r="M98" t="s">
        <v>105</v>
      </c>
      <c r="N98">
        <v>107.9</v>
      </c>
      <c r="O98">
        <v>1.5078279999999999</v>
      </c>
      <c r="P98">
        <v>1.0052186670000001</v>
      </c>
      <c r="Q98">
        <v>0</v>
      </c>
      <c r="R98">
        <v>108.46309410000001</v>
      </c>
      <c r="S98">
        <v>108.46309410000001</v>
      </c>
      <c r="T98">
        <v>0.36736111100000002</v>
      </c>
      <c r="U98">
        <v>0.36875000000000002</v>
      </c>
      <c r="V98">
        <v>0</v>
      </c>
      <c r="W98">
        <v>1</v>
      </c>
      <c r="X98">
        <v>0</v>
      </c>
      <c r="Y98">
        <v>69</v>
      </c>
      <c r="Z98">
        <v>0</v>
      </c>
      <c r="AA98">
        <f t="shared" si="1"/>
        <v>567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 t="s">
        <v>250</v>
      </c>
    </row>
    <row r="99" spans="1:96" x14ac:dyDescent="0.3">
      <c r="A99" s="1">
        <v>45499</v>
      </c>
      <c r="B99" t="s">
        <v>97</v>
      </c>
      <c r="C99" t="s">
        <v>257</v>
      </c>
      <c r="E99" t="s">
        <v>185</v>
      </c>
      <c r="F99" t="s">
        <v>101</v>
      </c>
      <c r="G99" t="s">
        <v>258</v>
      </c>
      <c r="H99" t="s">
        <v>113</v>
      </c>
      <c r="I99" t="s">
        <v>103</v>
      </c>
      <c r="J99">
        <v>4</v>
      </c>
      <c r="K99" t="s">
        <v>104</v>
      </c>
      <c r="L99">
        <v>0.3</v>
      </c>
      <c r="M99" t="s">
        <v>105</v>
      </c>
      <c r="N99" t="s">
        <v>105</v>
      </c>
      <c r="O99">
        <v>0</v>
      </c>
      <c r="P99">
        <v>0</v>
      </c>
      <c r="Q99" t="e">
        <v>#VALUE!</v>
      </c>
      <c r="R99" t="e">
        <v>#VALUE!</v>
      </c>
      <c r="S99" t="s">
        <v>105</v>
      </c>
      <c r="T99">
        <v>0.373611111</v>
      </c>
      <c r="U99">
        <v>0.38402777799999999</v>
      </c>
      <c r="V99">
        <v>0</v>
      </c>
      <c r="W99">
        <v>1</v>
      </c>
      <c r="X99">
        <v>0</v>
      </c>
      <c r="Y99">
        <v>69</v>
      </c>
      <c r="Z99">
        <v>0</v>
      </c>
      <c r="AA99">
        <f t="shared" si="1"/>
        <v>567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</row>
    <row r="100" spans="1:96" x14ac:dyDescent="0.3">
      <c r="A100" s="1">
        <v>45499</v>
      </c>
      <c r="B100" t="s">
        <v>97</v>
      </c>
      <c r="C100" t="s">
        <v>259</v>
      </c>
      <c r="E100" t="s">
        <v>260</v>
      </c>
      <c r="F100" t="s">
        <v>101</v>
      </c>
      <c r="G100">
        <v>12020</v>
      </c>
      <c r="H100" t="s">
        <v>102</v>
      </c>
      <c r="I100" t="s">
        <v>103</v>
      </c>
      <c r="J100">
        <v>4</v>
      </c>
      <c r="K100" t="s">
        <v>104</v>
      </c>
      <c r="L100">
        <v>5.6666666670000003</v>
      </c>
      <c r="M100" t="s">
        <v>105</v>
      </c>
      <c r="N100">
        <v>167.9</v>
      </c>
      <c r="O100">
        <v>16.08081945</v>
      </c>
      <c r="P100">
        <v>91.124643559999996</v>
      </c>
      <c r="Q100">
        <v>0</v>
      </c>
      <c r="R100">
        <v>15299.827649999999</v>
      </c>
      <c r="S100">
        <v>15299.827649999999</v>
      </c>
      <c r="T100">
        <v>0.72777777799999999</v>
      </c>
      <c r="U100">
        <v>0.73124999999999996</v>
      </c>
      <c r="V100">
        <v>0</v>
      </c>
      <c r="W100">
        <v>2</v>
      </c>
      <c r="X100">
        <v>0</v>
      </c>
      <c r="Y100">
        <v>81</v>
      </c>
      <c r="Z100">
        <v>0</v>
      </c>
      <c r="AA100">
        <f t="shared" si="1"/>
        <v>567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</row>
    <row r="101" spans="1:96" x14ac:dyDescent="0.3">
      <c r="A101" s="1">
        <v>45499</v>
      </c>
      <c r="B101" t="s">
        <v>97</v>
      </c>
      <c r="C101" t="s">
        <v>198</v>
      </c>
      <c r="E101" t="s">
        <v>199</v>
      </c>
      <c r="F101" t="s">
        <v>108</v>
      </c>
      <c r="G101">
        <v>16027</v>
      </c>
      <c r="H101" t="s">
        <v>113</v>
      </c>
      <c r="I101" t="s">
        <v>129</v>
      </c>
      <c r="J101">
        <v>4</v>
      </c>
      <c r="K101" t="s">
        <v>114</v>
      </c>
      <c r="L101">
        <v>0</v>
      </c>
      <c r="M101" t="s">
        <v>105</v>
      </c>
      <c r="N101">
        <v>684</v>
      </c>
      <c r="O101">
        <v>8.2044997199999994</v>
      </c>
      <c r="P101">
        <v>0</v>
      </c>
      <c r="Q101">
        <v>0</v>
      </c>
      <c r="R101">
        <v>0</v>
      </c>
      <c r="S101">
        <v>0</v>
      </c>
      <c r="T101">
        <v>0.78819444400000005</v>
      </c>
      <c r="U101">
        <v>0.79166666699999999</v>
      </c>
      <c r="V101">
        <v>0</v>
      </c>
      <c r="W101">
        <v>1</v>
      </c>
      <c r="X101">
        <v>0</v>
      </c>
      <c r="Y101">
        <v>80</v>
      </c>
      <c r="Z101">
        <v>0</v>
      </c>
      <c r="AA101">
        <f t="shared" si="1"/>
        <v>567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 t="s">
        <v>262</v>
      </c>
    </row>
    <row r="102" spans="1:96" x14ac:dyDescent="0.3">
      <c r="A102" s="1">
        <v>45499</v>
      </c>
      <c r="B102" t="s">
        <v>97</v>
      </c>
      <c r="C102" t="s">
        <v>171</v>
      </c>
      <c r="E102" t="s">
        <v>116</v>
      </c>
      <c r="F102" t="s">
        <v>101</v>
      </c>
      <c r="G102" t="s">
        <v>172</v>
      </c>
      <c r="H102" t="s">
        <v>118</v>
      </c>
      <c r="I102" t="s">
        <v>119</v>
      </c>
      <c r="J102">
        <v>4</v>
      </c>
      <c r="K102" t="s">
        <v>120</v>
      </c>
      <c r="L102">
        <v>8.6666666669999994</v>
      </c>
      <c r="M102" t="s">
        <v>105</v>
      </c>
      <c r="N102">
        <v>27.1</v>
      </c>
      <c r="O102">
        <v>5.2508798209999998</v>
      </c>
      <c r="P102">
        <v>45.507625109999999</v>
      </c>
      <c r="Q102">
        <v>0</v>
      </c>
      <c r="R102">
        <v>1233.2566409999999</v>
      </c>
      <c r="S102">
        <v>1233.2566409999999</v>
      </c>
      <c r="T102">
        <v>0.75</v>
      </c>
      <c r="U102">
        <v>0.75347222199999997</v>
      </c>
      <c r="V102">
        <v>0</v>
      </c>
      <c r="W102">
        <v>1</v>
      </c>
      <c r="X102">
        <v>0</v>
      </c>
      <c r="Y102">
        <v>81</v>
      </c>
      <c r="Z102">
        <v>0</v>
      </c>
      <c r="AA102">
        <f t="shared" si="1"/>
        <v>567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 t="s">
        <v>250</v>
      </c>
    </row>
    <row r="103" spans="1:96" x14ac:dyDescent="0.3">
      <c r="A103" s="1">
        <v>45501</v>
      </c>
      <c r="B103" t="s">
        <v>97</v>
      </c>
      <c r="C103" t="s">
        <v>124</v>
      </c>
      <c r="E103" t="s">
        <v>125</v>
      </c>
      <c r="F103" t="s">
        <v>101</v>
      </c>
      <c r="G103">
        <v>11045</v>
      </c>
      <c r="H103" t="s">
        <v>126</v>
      </c>
      <c r="I103" t="s">
        <v>103</v>
      </c>
      <c r="J103">
        <v>4</v>
      </c>
      <c r="K103" t="s">
        <v>120</v>
      </c>
      <c r="L103">
        <v>8.6</v>
      </c>
      <c r="M103" t="s">
        <v>105</v>
      </c>
      <c r="N103">
        <v>31</v>
      </c>
      <c r="O103">
        <v>9.0432000000000006</v>
      </c>
      <c r="P103">
        <v>77.771519999999995</v>
      </c>
      <c r="Q103">
        <v>0</v>
      </c>
      <c r="R103">
        <v>2410.9171200000001</v>
      </c>
      <c r="S103">
        <v>2410.9171200000001</v>
      </c>
      <c r="T103">
        <v>0.563888889</v>
      </c>
      <c r="U103">
        <v>0.56736111099999997</v>
      </c>
      <c r="V103">
        <v>0</v>
      </c>
      <c r="W103">
        <v>1</v>
      </c>
      <c r="X103">
        <v>35</v>
      </c>
      <c r="Y103">
        <v>78</v>
      </c>
      <c r="Z103">
        <v>8</v>
      </c>
      <c r="AA103">
        <f t="shared" si="1"/>
        <v>575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4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2</v>
      </c>
      <c r="CJ103">
        <v>0</v>
      </c>
      <c r="CK103">
        <v>0</v>
      </c>
      <c r="CL103">
        <v>0</v>
      </c>
      <c r="CM103">
        <v>1</v>
      </c>
      <c r="CN103">
        <v>0</v>
      </c>
      <c r="CO103">
        <v>1</v>
      </c>
      <c r="CP103">
        <v>0</v>
      </c>
      <c r="CQ103">
        <v>0</v>
      </c>
      <c r="CR103" t="s">
        <v>263</v>
      </c>
    </row>
    <row r="104" spans="1:96" x14ac:dyDescent="0.3">
      <c r="A104" s="1">
        <v>45502</v>
      </c>
      <c r="B104" t="s">
        <v>97</v>
      </c>
      <c r="C104" t="s">
        <v>137</v>
      </c>
      <c r="D104" t="s">
        <v>99</v>
      </c>
      <c r="E104" t="s">
        <v>138</v>
      </c>
      <c r="F104" t="s">
        <v>101</v>
      </c>
      <c r="G104">
        <v>14026</v>
      </c>
      <c r="H104" t="s">
        <v>113</v>
      </c>
      <c r="I104" t="s">
        <v>129</v>
      </c>
      <c r="J104">
        <v>4</v>
      </c>
      <c r="K104" t="s">
        <v>120</v>
      </c>
      <c r="L104">
        <v>5.6666666670000003</v>
      </c>
      <c r="M104" t="s">
        <v>105</v>
      </c>
      <c r="N104">
        <v>76.5</v>
      </c>
      <c r="O104">
        <v>8.5731957570000006</v>
      </c>
      <c r="P104">
        <v>48.581442619999997</v>
      </c>
      <c r="Q104">
        <v>0</v>
      </c>
      <c r="R104">
        <v>3716.4803609999999</v>
      </c>
      <c r="S104">
        <v>3716.4803609999999</v>
      </c>
      <c r="T104">
        <v>0.66180555600000002</v>
      </c>
      <c r="U104">
        <v>0.66527777799999999</v>
      </c>
      <c r="V104">
        <v>0</v>
      </c>
      <c r="W104">
        <v>1</v>
      </c>
      <c r="X104">
        <v>30</v>
      </c>
      <c r="Y104">
        <v>80</v>
      </c>
      <c r="Z104">
        <v>4</v>
      </c>
      <c r="AA104">
        <f t="shared" si="1"/>
        <v>579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2</v>
      </c>
      <c r="AV104">
        <v>0</v>
      </c>
      <c r="AW104">
        <v>0</v>
      </c>
      <c r="AX104">
        <v>0</v>
      </c>
      <c r="AY104">
        <v>1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1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</row>
    <row r="105" spans="1:96" x14ac:dyDescent="0.3">
      <c r="A105" s="1">
        <v>45502</v>
      </c>
      <c r="B105" t="s">
        <v>97</v>
      </c>
      <c r="C105" t="s">
        <v>141</v>
      </c>
      <c r="D105" t="s">
        <v>99</v>
      </c>
      <c r="E105" t="s">
        <v>142</v>
      </c>
      <c r="F105" t="s">
        <v>101</v>
      </c>
      <c r="G105">
        <v>14010</v>
      </c>
      <c r="H105" t="s">
        <v>102</v>
      </c>
      <c r="I105" t="s">
        <v>129</v>
      </c>
      <c r="J105">
        <v>4</v>
      </c>
      <c r="K105" t="s">
        <v>104</v>
      </c>
      <c r="L105">
        <v>12.66666667</v>
      </c>
      <c r="M105" t="s">
        <v>105</v>
      </c>
      <c r="N105">
        <v>59.7</v>
      </c>
      <c r="O105">
        <v>5.5466469710000004</v>
      </c>
      <c r="P105">
        <v>70.257528300000004</v>
      </c>
      <c r="Q105">
        <v>0</v>
      </c>
      <c r="R105">
        <v>4194.3744399999996</v>
      </c>
      <c r="S105">
        <v>4194.3744399999996</v>
      </c>
      <c r="T105">
        <v>0.67013888899999996</v>
      </c>
      <c r="U105">
        <v>0.67361111100000004</v>
      </c>
      <c r="V105">
        <v>0</v>
      </c>
      <c r="W105">
        <v>1</v>
      </c>
      <c r="X105">
        <v>30</v>
      </c>
      <c r="Y105">
        <v>80</v>
      </c>
      <c r="Z105">
        <v>9</v>
      </c>
      <c r="AA105">
        <f t="shared" si="1"/>
        <v>588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1</v>
      </c>
      <c r="AS105">
        <v>0</v>
      </c>
      <c r="AT105">
        <v>0</v>
      </c>
      <c r="AU105">
        <v>1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4</v>
      </c>
      <c r="BT105">
        <v>1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1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1</v>
      </c>
      <c r="CN105">
        <v>0</v>
      </c>
      <c r="CO105">
        <v>0</v>
      </c>
      <c r="CP105">
        <v>0</v>
      </c>
      <c r="CQ105">
        <v>0</v>
      </c>
    </row>
    <row r="106" spans="1:96" x14ac:dyDescent="0.3">
      <c r="A106" s="1">
        <v>45502</v>
      </c>
      <c r="B106" t="s">
        <v>97</v>
      </c>
      <c r="C106" t="s">
        <v>160</v>
      </c>
      <c r="D106" t="s">
        <v>99</v>
      </c>
      <c r="E106" t="s">
        <v>161</v>
      </c>
      <c r="F106" t="s">
        <v>101</v>
      </c>
      <c r="G106">
        <v>13029</v>
      </c>
      <c r="H106" t="s">
        <v>118</v>
      </c>
      <c r="I106" t="s">
        <v>103</v>
      </c>
      <c r="J106">
        <v>4</v>
      </c>
      <c r="K106" t="s">
        <v>120</v>
      </c>
      <c r="L106">
        <v>6</v>
      </c>
      <c r="M106" t="s">
        <v>105</v>
      </c>
      <c r="N106">
        <v>4.5</v>
      </c>
      <c r="O106">
        <v>5.8505173309999998</v>
      </c>
      <c r="P106">
        <v>35.103103990000001</v>
      </c>
      <c r="Q106">
        <v>0</v>
      </c>
      <c r="R106">
        <v>157.9639679</v>
      </c>
      <c r="S106">
        <v>157.9639679</v>
      </c>
      <c r="T106">
        <v>0.67847222200000001</v>
      </c>
      <c r="U106">
        <v>0.68194444399999998</v>
      </c>
      <c r="V106">
        <v>0</v>
      </c>
      <c r="W106">
        <v>1</v>
      </c>
      <c r="X106">
        <v>30</v>
      </c>
      <c r="Y106">
        <v>80</v>
      </c>
      <c r="Z106">
        <v>3</v>
      </c>
      <c r="AA106">
        <f t="shared" si="1"/>
        <v>591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1</v>
      </c>
      <c r="BQ106">
        <v>0</v>
      </c>
      <c r="BR106">
        <v>0</v>
      </c>
      <c r="BS106">
        <v>1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</row>
    <row r="107" spans="1:96" x14ac:dyDescent="0.3">
      <c r="A107" s="1">
        <v>45502</v>
      </c>
      <c r="B107" t="s">
        <v>97</v>
      </c>
      <c r="C107" t="s">
        <v>143</v>
      </c>
      <c r="D107" t="s">
        <v>99</v>
      </c>
      <c r="E107" t="s">
        <v>138</v>
      </c>
      <c r="F107" t="s">
        <v>101</v>
      </c>
      <c r="G107" t="s">
        <v>144</v>
      </c>
      <c r="H107" t="s">
        <v>118</v>
      </c>
      <c r="I107" t="s">
        <v>129</v>
      </c>
      <c r="J107" t="s">
        <v>105</v>
      </c>
      <c r="K107" t="s">
        <v>120</v>
      </c>
      <c r="L107">
        <v>9.3333333330000006</v>
      </c>
      <c r="M107" t="s">
        <v>105</v>
      </c>
      <c r="N107">
        <v>71.400000000000006</v>
      </c>
      <c r="O107">
        <v>8.9499950029999997</v>
      </c>
      <c r="P107">
        <v>83.533286700000005</v>
      </c>
      <c r="Q107">
        <v>0</v>
      </c>
      <c r="R107">
        <v>5964.2766700000002</v>
      </c>
      <c r="S107">
        <v>5964.2766700000002</v>
      </c>
      <c r="T107">
        <v>0.62013888900000003</v>
      </c>
      <c r="U107">
        <v>0.623611111</v>
      </c>
      <c r="V107">
        <v>0</v>
      </c>
      <c r="W107">
        <v>1</v>
      </c>
      <c r="X107">
        <v>65</v>
      </c>
      <c r="Y107">
        <v>78</v>
      </c>
      <c r="Z107">
        <v>8</v>
      </c>
      <c r="AA107">
        <f t="shared" si="1"/>
        <v>599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1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1</v>
      </c>
      <c r="BQ107">
        <v>0</v>
      </c>
      <c r="BR107">
        <v>0</v>
      </c>
      <c r="BS107">
        <v>4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2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</row>
    <row r="108" spans="1:96" x14ac:dyDescent="0.3">
      <c r="A108" s="1">
        <v>45502</v>
      </c>
      <c r="B108" t="s">
        <v>97</v>
      </c>
      <c r="C108" t="s">
        <v>145</v>
      </c>
      <c r="D108" t="s">
        <v>99</v>
      </c>
      <c r="E108" t="s">
        <v>138</v>
      </c>
      <c r="F108" t="s">
        <v>101</v>
      </c>
      <c r="G108" t="s">
        <v>146</v>
      </c>
      <c r="H108" t="s">
        <v>113</v>
      </c>
      <c r="I108" t="s">
        <v>129</v>
      </c>
      <c r="J108">
        <v>4</v>
      </c>
      <c r="K108" t="s">
        <v>120</v>
      </c>
      <c r="L108">
        <v>17.333333329999999</v>
      </c>
      <c r="M108" t="s">
        <v>105</v>
      </c>
      <c r="N108">
        <v>94.3</v>
      </c>
      <c r="O108">
        <v>8.5731957570000006</v>
      </c>
      <c r="P108">
        <v>148.60205980000001</v>
      </c>
      <c r="Q108">
        <v>0</v>
      </c>
      <c r="R108">
        <v>14013.17424</v>
      </c>
      <c r="S108">
        <v>14013.17424</v>
      </c>
      <c r="T108">
        <v>0.63124999999999998</v>
      </c>
      <c r="U108">
        <v>0.63472222199999995</v>
      </c>
      <c r="V108">
        <v>0</v>
      </c>
      <c r="W108">
        <v>1</v>
      </c>
      <c r="X108">
        <v>65</v>
      </c>
      <c r="Y108">
        <v>78</v>
      </c>
      <c r="Z108">
        <v>14</v>
      </c>
      <c r="AA108">
        <f t="shared" si="1"/>
        <v>613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2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1</v>
      </c>
      <c r="AQ108">
        <v>0</v>
      </c>
      <c r="AR108">
        <v>0</v>
      </c>
      <c r="AS108">
        <v>0</v>
      </c>
      <c r="AT108">
        <v>2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1</v>
      </c>
      <c r="BN108">
        <v>0</v>
      </c>
      <c r="BO108">
        <v>0</v>
      </c>
      <c r="BP108">
        <v>0</v>
      </c>
      <c r="BQ108">
        <v>0</v>
      </c>
      <c r="BR108">
        <v>1</v>
      </c>
      <c r="BS108">
        <v>3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1</v>
      </c>
      <c r="CI108">
        <v>3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</row>
    <row r="109" spans="1:96" x14ac:dyDescent="0.3">
      <c r="A109" s="1">
        <v>45502</v>
      </c>
      <c r="B109" t="s">
        <v>97</v>
      </c>
      <c r="C109" t="s">
        <v>224</v>
      </c>
      <c r="D109" t="s">
        <v>99</v>
      </c>
      <c r="E109" t="s">
        <v>225</v>
      </c>
      <c r="F109" t="s">
        <v>101</v>
      </c>
      <c r="G109">
        <v>98053</v>
      </c>
      <c r="H109" t="s">
        <v>126</v>
      </c>
      <c r="I109" t="s">
        <v>129</v>
      </c>
      <c r="J109" t="s">
        <v>105</v>
      </c>
      <c r="K109" t="s">
        <v>120</v>
      </c>
      <c r="L109">
        <v>1.3333333329999999</v>
      </c>
      <c r="M109" t="s">
        <v>105</v>
      </c>
      <c r="N109">
        <v>46.2</v>
      </c>
      <c r="O109">
        <v>1.9609767229999999</v>
      </c>
      <c r="P109">
        <v>2.6146356310000001</v>
      </c>
      <c r="Q109">
        <v>0</v>
      </c>
      <c r="R109">
        <v>120.79616609999999</v>
      </c>
      <c r="S109">
        <v>120.79616609999999</v>
      </c>
      <c r="T109">
        <v>0.60763888899999996</v>
      </c>
      <c r="U109">
        <v>0.61111111100000004</v>
      </c>
      <c r="V109">
        <v>1</v>
      </c>
      <c r="W109">
        <v>1</v>
      </c>
      <c r="X109">
        <v>65</v>
      </c>
      <c r="Y109">
        <v>78</v>
      </c>
      <c r="Z109">
        <v>2</v>
      </c>
      <c r="AA109">
        <f t="shared" si="1"/>
        <v>615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1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 t="s">
        <v>247</v>
      </c>
    </row>
    <row r="110" spans="1:96" x14ac:dyDescent="0.3">
      <c r="A110" s="1">
        <v>45502</v>
      </c>
      <c r="B110" t="s">
        <v>97</v>
      </c>
      <c r="C110" t="s">
        <v>154</v>
      </c>
      <c r="D110" t="s">
        <v>99</v>
      </c>
      <c r="E110" t="s">
        <v>155</v>
      </c>
      <c r="F110" t="s">
        <v>101</v>
      </c>
      <c r="G110">
        <v>14022</v>
      </c>
      <c r="H110" t="s">
        <v>126</v>
      </c>
      <c r="I110" t="s">
        <v>119</v>
      </c>
      <c r="J110">
        <v>4</v>
      </c>
      <c r="K110" t="s">
        <v>120</v>
      </c>
      <c r="L110">
        <v>7</v>
      </c>
      <c r="M110" t="s">
        <v>105</v>
      </c>
      <c r="N110">
        <v>47.1</v>
      </c>
      <c r="O110">
        <v>5.5466469710000004</v>
      </c>
      <c r="P110">
        <v>38.826528799999998</v>
      </c>
      <c r="Q110">
        <v>0</v>
      </c>
      <c r="R110">
        <v>1828.7295059999999</v>
      </c>
      <c r="S110">
        <v>1828.7295059999999</v>
      </c>
      <c r="T110">
        <v>0.70069444400000003</v>
      </c>
      <c r="U110">
        <v>0.70416666699999997</v>
      </c>
      <c r="V110">
        <v>0</v>
      </c>
      <c r="W110">
        <v>1</v>
      </c>
      <c r="X110">
        <v>30</v>
      </c>
      <c r="Y110">
        <v>80</v>
      </c>
      <c r="Z110">
        <v>8</v>
      </c>
      <c r="AA110">
        <f t="shared" si="1"/>
        <v>623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1</v>
      </c>
      <c r="BD110">
        <v>0</v>
      </c>
      <c r="BE110">
        <v>0</v>
      </c>
      <c r="BF110">
        <v>0</v>
      </c>
      <c r="BG110">
        <v>2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4</v>
      </c>
      <c r="BT110">
        <v>0</v>
      </c>
      <c r="BU110">
        <v>0</v>
      </c>
      <c r="BV110">
        <v>1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</row>
    <row r="111" spans="1:96" x14ac:dyDescent="0.3">
      <c r="A111" s="1">
        <v>45502</v>
      </c>
      <c r="B111" t="s">
        <v>97</v>
      </c>
      <c r="C111" t="s">
        <v>154</v>
      </c>
      <c r="D111" t="s">
        <v>99</v>
      </c>
      <c r="E111" t="s">
        <v>155</v>
      </c>
      <c r="F111" t="s">
        <v>101</v>
      </c>
      <c r="G111">
        <v>14022</v>
      </c>
      <c r="H111" t="s">
        <v>126</v>
      </c>
      <c r="I111" t="s">
        <v>119</v>
      </c>
      <c r="J111">
        <v>4</v>
      </c>
      <c r="K111" t="s">
        <v>120</v>
      </c>
      <c r="L111">
        <v>7</v>
      </c>
      <c r="M111" t="s">
        <v>105</v>
      </c>
      <c r="N111">
        <v>47.1</v>
      </c>
      <c r="O111">
        <v>5.5466469710000004</v>
      </c>
      <c r="P111">
        <v>38.826528799999998</v>
      </c>
      <c r="Q111">
        <v>0</v>
      </c>
      <c r="R111">
        <v>1828.7295059999999</v>
      </c>
      <c r="S111">
        <v>1828.7295059999999</v>
      </c>
      <c r="T111">
        <v>0.70069444400000003</v>
      </c>
      <c r="U111">
        <v>0.70416666699999997</v>
      </c>
      <c r="V111">
        <v>0</v>
      </c>
      <c r="W111">
        <v>1</v>
      </c>
      <c r="X111">
        <v>30</v>
      </c>
      <c r="Y111">
        <v>80</v>
      </c>
      <c r="Z111">
        <v>7</v>
      </c>
      <c r="AA111">
        <f t="shared" si="1"/>
        <v>630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1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1</v>
      </c>
      <c r="BS111">
        <v>2</v>
      </c>
      <c r="BT111">
        <v>0</v>
      </c>
      <c r="BU111">
        <v>0</v>
      </c>
      <c r="BV111">
        <v>1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</row>
    <row r="112" spans="1:96" x14ac:dyDescent="0.3">
      <c r="A112" s="1">
        <v>45502</v>
      </c>
      <c r="B112" t="s">
        <v>97</v>
      </c>
      <c r="C112" t="s">
        <v>194</v>
      </c>
      <c r="D112" t="s">
        <v>99</v>
      </c>
      <c r="E112" t="s">
        <v>195</v>
      </c>
      <c r="F112" t="s">
        <v>108</v>
      </c>
      <c r="G112">
        <v>12019</v>
      </c>
      <c r="H112" t="s">
        <v>126</v>
      </c>
      <c r="I112" t="s">
        <v>103</v>
      </c>
      <c r="J112">
        <v>4</v>
      </c>
      <c r="K112" t="s">
        <v>114</v>
      </c>
      <c r="L112">
        <v>0.66666666699999999</v>
      </c>
      <c r="M112" t="s">
        <v>105</v>
      </c>
      <c r="N112">
        <v>528.4</v>
      </c>
      <c r="O112">
        <v>17.097300000000001</v>
      </c>
      <c r="P112">
        <v>11.398199999999999</v>
      </c>
      <c r="Q112">
        <v>0</v>
      </c>
      <c r="R112">
        <v>6022.8088799999996</v>
      </c>
      <c r="S112">
        <v>6022.8088799999996</v>
      </c>
      <c r="T112">
        <v>0.72361111099999997</v>
      </c>
      <c r="U112">
        <v>0.72638888899999998</v>
      </c>
      <c r="V112">
        <v>0</v>
      </c>
      <c r="W112">
        <v>1</v>
      </c>
      <c r="X112">
        <v>25</v>
      </c>
      <c r="Y112">
        <v>81</v>
      </c>
      <c r="Z112">
        <v>4</v>
      </c>
      <c r="AA112">
        <f t="shared" si="1"/>
        <v>634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1</v>
      </c>
      <c r="BT112">
        <v>0</v>
      </c>
      <c r="BU112">
        <v>0</v>
      </c>
      <c r="BV112">
        <v>2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</row>
    <row r="113" spans="1:96" x14ac:dyDescent="0.3">
      <c r="A113" s="1">
        <v>45502</v>
      </c>
      <c r="B113" t="s">
        <v>97</v>
      </c>
      <c r="C113" t="s">
        <v>162</v>
      </c>
      <c r="D113" t="s">
        <v>99</v>
      </c>
      <c r="E113" t="s">
        <v>163</v>
      </c>
      <c r="F113" t="s">
        <v>101</v>
      </c>
      <c r="G113">
        <v>4054</v>
      </c>
      <c r="H113" t="s">
        <v>118</v>
      </c>
      <c r="I113" t="s">
        <v>103</v>
      </c>
      <c r="J113">
        <v>4</v>
      </c>
      <c r="K113" t="s">
        <v>120</v>
      </c>
      <c r="L113">
        <v>12</v>
      </c>
      <c r="M113" t="s">
        <v>105</v>
      </c>
      <c r="N113">
        <v>50</v>
      </c>
      <c r="O113">
        <v>9.7279031249999992</v>
      </c>
      <c r="P113">
        <v>116.7348375</v>
      </c>
      <c r="Q113">
        <v>0</v>
      </c>
      <c r="R113">
        <v>5836.7418749999997</v>
      </c>
      <c r="S113">
        <v>5836.7418749999997</v>
      </c>
      <c r="T113">
        <v>0.68958333299999997</v>
      </c>
      <c r="U113">
        <v>0.69305555600000002</v>
      </c>
      <c r="V113">
        <v>0</v>
      </c>
      <c r="W113">
        <v>1</v>
      </c>
      <c r="X113">
        <v>30</v>
      </c>
      <c r="Y113">
        <v>80</v>
      </c>
      <c r="Z113">
        <v>10</v>
      </c>
      <c r="AA113">
        <f t="shared" si="1"/>
        <v>644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1</v>
      </c>
      <c r="AQ113">
        <v>0</v>
      </c>
      <c r="AR113">
        <v>0</v>
      </c>
      <c r="AS113">
        <v>0</v>
      </c>
      <c r="AT113">
        <v>1</v>
      </c>
      <c r="AU113">
        <v>1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3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1</v>
      </c>
      <c r="CH113">
        <v>0</v>
      </c>
      <c r="CI113">
        <v>1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</row>
    <row r="114" spans="1:96" x14ac:dyDescent="0.3">
      <c r="A114" s="1">
        <v>45502</v>
      </c>
      <c r="B114" t="s">
        <v>97</v>
      </c>
      <c r="C114" t="s">
        <v>200</v>
      </c>
      <c r="D114" t="s">
        <v>99</v>
      </c>
      <c r="E114" t="s">
        <v>201</v>
      </c>
      <c r="F114" t="s">
        <v>108</v>
      </c>
      <c r="G114">
        <v>65169</v>
      </c>
      <c r="H114" t="s">
        <v>113</v>
      </c>
      <c r="I114" t="s">
        <v>103</v>
      </c>
      <c r="J114">
        <v>4</v>
      </c>
      <c r="K114" t="s">
        <v>114</v>
      </c>
      <c r="M114">
        <v>3</v>
      </c>
      <c r="N114">
        <v>478.5</v>
      </c>
      <c r="O114">
        <v>36.172800000000002</v>
      </c>
      <c r="P114">
        <v>0</v>
      </c>
      <c r="Q114">
        <v>1435.5</v>
      </c>
      <c r="R114">
        <v>0</v>
      </c>
      <c r="S114">
        <v>1435.5</v>
      </c>
      <c r="T114">
        <v>0.73333333300000003</v>
      </c>
      <c r="U114">
        <v>0.73680555599999997</v>
      </c>
      <c r="V114">
        <v>0</v>
      </c>
      <c r="W114">
        <v>1</v>
      </c>
      <c r="X114">
        <v>25</v>
      </c>
      <c r="Y114">
        <v>81</v>
      </c>
      <c r="Z114">
        <v>2</v>
      </c>
      <c r="AA114">
        <f t="shared" si="1"/>
        <v>646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1</v>
      </c>
      <c r="AL114">
        <v>0</v>
      </c>
      <c r="AM114">
        <v>0</v>
      </c>
      <c r="AN114">
        <v>0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</row>
    <row r="115" spans="1:96" x14ac:dyDescent="0.3">
      <c r="A115" s="1">
        <v>45502</v>
      </c>
      <c r="B115" t="s">
        <v>97</v>
      </c>
      <c r="C115" t="s">
        <v>171</v>
      </c>
      <c r="D115" t="s">
        <v>99</v>
      </c>
      <c r="E115" t="s">
        <v>116</v>
      </c>
      <c r="F115" t="s">
        <v>101</v>
      </c>
      <c r="G115" t="s">
        <v>172</v>
      </c>
      <c r="H115" t="s">
        <v>118</v>
      </c>
      <c r="I115" t="s">
        <v>119</v>
      </c>
      <c r="J115">
        <v>4</v>
      </c>
      <c r="K115" t="s">
        <v>120</v>
      </c>
      <c r="L115">
        <v>8.6666666669999994</v>
      </c>
      <c r="M115" t="s">
        <v>105</v>
      </c>
      <c r="N115">
        <v>27.1</v>
      </c>
      <c r="O115">
        <v>5.2508798209999998</v>
      </c>
      <c r="P115">
        <v>45.507625109999999</v>
      </c>
      <c r="Q115">
        <v>0</v>
      </c>
      <c r="R115">
        <v>1233.2566409999999</v>
      </c>
      <c r="S115">
        <v>1233.2566409999999</v>
      </c>
      <c r="T115">
        <v>0.64444444400000001</v>
      </c>
      <c r="U115">
        <v>0.64791666699999995</v>
      </c>
      <c r="V115">
        <v>0</v>
      </c>
      <c r="W115">
        <v>1</v>
      </c>
      <c r="X115">
        <v>30</v>
      </c>
      <c r="Y115">
        <v>80</v>
      </c>
      <c r="Z115">
        <v>2</v>
      </c>
      <c r="AA115">
        <f t="shared" si="1"/>
        <v>648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1</v>
      </c>
      <c r="AP115">
        <v>0</v>
      </c>
      <c r="AQ115">
        <v>0</v>
      </c>
      <c r="AR115">
        <v>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 t="s">
        <v>251</v>
      </c>
    </row>
    <row r="116" spans="1:96" x14ac:dyDescent="0.3">
      <c r="A116" s="1">
        <v>45502</v>
      </c>
      <c r="B116" t="s">
        <v>97</v>
      </c>
      <c r="C116" t="s">
        <v>252</v>
      </c>
      <c r="D116" t="s">
        <v>99</v>
      </c>
      <c r="E116" t="s">
        <v>253</v>
      </c>
      <c r="F116" t="s">
        <v>101</v>
      </c>
      <c r="G116">
        <v>14021</v>
      </c>
      <c r="H116" t="s">
        <v>118</v>
      </c>
      <c r="I116" t="s">
        <v>119</v>
      </c>
      <c r="J116">
        <v>4</v>
      </c>
      <c r="K116" t="s">
        <v>120</v>
      </c>
      <c r="L116">
        <v>3.3333333330000001</v>
      </c>
      <c r="M116" t="s">
        <v>105</v>
      </c>
      <c r="N116">
        <v>120.2</v>
      </c>
      <c r="O116">
        <v>6.4825676799999998</v>
      </c>
      <c r="P116">
        <v>21.608558930000001</v>
      </c>
      <c r="Q116">
        <v>0</v>
      </c>
      <c r="R116">
        <v>2597.3487839999998</v>
      </c>
      <c r="S116">
        <v>2597.3487839999998</v>
      </c>
      <c r="T116">
        <v>0.65277777800000003</v>
      </c>
      <c r="U116">
        <v>0.65625</v>
      </c>
      <c r="V116">
        <v>0</v>
      </c>
      <c r="W116">
        <v>1</v>
      </c>
      <c r="X116">
        <v>30</v>
      </c>
      <c r="Y116">
        <v>80</v>
      </c>
      <c r="Z116">
        <v>3</v>
      </c>
      <c r="AA116">
        <f t="shared" si="1"/>
        <v>651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1</v>
      </c>
      <c r="AU116">
        <v>1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</row>
    <row r="117" spans="1:96" x14ac:dyDescent="0.3">
      <c r="A117" s="1">
        <v>45502</v>
      </c>
      <c r="B117" t="s">
        <v>97</v>
      </c>
      <c r="C117" t="s">
        <v>266</v>
      </c>
      <c r="E117" t="s">
        <v>267</v>
      </c>
      <c r="F117" t="s">
        <v>108</v>
      </c>
      <c r="G117">
        <v>17031</v>
      </c>
      <c r="H117" t="s">
        <v>113</v>
      </c>
      <c r="I117" t="s">
        <v>129</v>
      </c>
      <c r="J117">
        <v>3</v>
      </c>
      <c r="K117" t="s">
        <v>114</v>
      </c>
      <c r="M117">
        <v>4</v>
      </c>
      <c r="N117">
        <v>111.7</v>
      </c>
      <c r="O117">
        <v>1.0047999999999999</v>
      </c>
      <c r="P117">
        <v>0</v>
      </c>
      <c r="Q117">
        <v>446.8</v>
      </c>
      <c r="R117">
        <v>0</v>
      </c>
      <c r="S117">
        <v>446.8</v>
      </c>
      <c r="T117">
        <v>0.720138889</v>
      </c>
      <c r="U117">
        <v>0.72361111099999997</v>
      </c>
      <c r="V117">
        <v>0</v>
      </c>
      <c r="W117">
        <v>1</v>
      </c>
      <c r="X117">
        <v>25</v>
      </c>
      <c r="Y117">
        <v>81</v>
      </c>
      <c r="Z117">
        <v>0</v>
      </c>
      <c r="AA117">
        <f t="shared" si="1"/>
        <v>651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 t="s">
        <v>250</v>
      </c>
    </row>
    <row r="118" spans="1:96" x14ac:dyDescent="0.3">
      <c r="A118" s="1">
        <v>45502</v>
      </c>
      <c r="B118" t="s">
        <v>97</v>
      </c>
      <c r="C118" t="s">
        <v>269</v>
      </c>
      <c r="E118" t="s">
        <v>199</v>
      </c>
      <c r="F118" t="s">
        <v>108</v>
      </c>
      <c r="G118">
        <v>16027</v>
      </c>
      <c r="H118" t="s">
        <v>113</v>
      </c>
      <c r="I118" t="s">
        <v>129</v>
      </c>
      <c r="J118">
        <v>4</v>
      </c>
      <c r="K118" t="s">
        <v>114</v>
      </c>
      <c r="L118">
        <v>1</v>
      </c>
      <c r="M118" t="s">
        <v>105</v>
      </c>
      <c r="N118">
        <v>663.9</v>
      </c>
      <c r="O118">
        <v>12.3088</v>
      </c>
      <c r="P118">
        <v>12.3088</v>
      </c>
      <c r="Q118">
        <v>0</v>
      </c>
      <c r="R118">
        <v>8171.81232</v>
      </c>
      <c r="S118">
        <v>8171.81232</v>
      </c>
      <c r="T118">
        <v>0.74444444399999998</v>
      </c>
      <c r="U118">
        <v>0.74791666700000003</v>
      </c>
      <c r="V118">
        <v>0</v>
      </c>
      <c r="W118">
        <v>2</v>
      </c>
      <c r="X118">
        <v>25</v>
      </c>
      <c r="Y118">
        <v>81</v>
      </c>
      <c r="Z118">
        <v>1</v>
      </c>
      <c r="AA118">
        <f t="shared" si="1"/>
        <v>652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1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</row>
    <row r="119" spans="1:96" x14ac:dyDescent="0.3">
      <c r="A119" s="1">
        <v>45502</v>
      </c>
      <c r="B119" t="s">
        <v>97</v>
      </c>
      <c r="C119" t="s">
        <v>276</v>
      </c>
      <c r="E119" t="s">
        <v>277</v>
      </c>
      <c r="F119" t="s">
        <v>108</v>
      </c>
      <c r="G119">
        <v>9062</v>
      </c>
      <c r="H119" t="s">
        <v>113</v>
      </c>
      <c r="I119" t="s">
        <v>103</v>
      </c>
      <c r="J119">
        <v>3</v>
      </c>
      <c r="K119" t="s">
        <v>114</v>
      </c>
      <c r="M119">
        <v>2</v>
      </c>
      <c r="N119">
        <v>4</v>
      </c>
      <c r="O119">
        <v>10.613200000000001</v>
      </c>
      <c r="P119">
        <v>0</v>
      </c>
      <c r="Q119">
        <v>8</v>
      </c>
      <c r="R119">
        <v>0</v>
      </c>
      <c r="S119">
        <v>8</v>
      </c>
      <c r="T119">
        <v>0.74027777800000005</v>
      </c>
      <c r="U119">
        <v>0.74375000000000002</v>
      </c>
      <c r="V119">
        <v>0</v>
      </c>
      <c r="W119">
        <v>2</v>
      </c>
      <c r="X119">
        <v>25</v>
      </c>
      <c r="Y119">
        <v>81</v>
      </c>
      <c r="Z119">
        <v>1</v>
      </c>
      <c r="AA119">
        <f t="shared" si="1"/>
        <v>653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1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</row>
    <row r="120" spans="1:96" x14ac:dyDescent="0.3">
      <c r="A120" s="1">
        <v>45503</v>
      </c>
      <c r="B120" t="s">
        <v>97</v>
      </c>
      <c r="C120" t="s">
        <v>110</v>
      </c>
      <c r="D120" t="s">
        <v>99</v>
      </c>
      <c r="E120" t="s">
        <v>111</v>
      </c>
      <c r="F120" t="s">
        <v>108</v>
      </c>
      <c r="G120" t="s">
        <v>112</v>
      </c>
      <c r="H120" t="s">
        <v>113</v>
      </c>
      <c r="I120" t="s">
        <v>103</v>
      </c>
      <c r="J120">
        <v>4</v>
      </c>
      <c r="K120" t="s">
        <v>114</v>
      </c>
      <c r="L120">
        <v>0.66666666699999999</v>
      </c>
      <c r="M120" t="s">
        <v>105</v>
      </c>
      <c r="N120">
        <v>388.8</v>
      </c>
      <c r="O120">
        <v>8.3053000000000008</v>
      </c>
      <c r="P120">
        <v>5.536866667</v>
      </c>
      <c r="Q120">
        <v>0</v>
      </c>
      <c r="R120">
        <v>2152.7337600000001</v>
      </c>
      <c r="S120">
        <v>2152.7337600000001</v>
      </c>
      <c r="T120">
        <v>0.70347222200000004</v>
      </c>
      <c r="U120">
        <v>0.70694444400000001</v>
      </c>
      <c r="V120">
        <v>0</v>
      </c>
      <c r="W120">
        <v>2</v>
      </c>
      <c r="X120">
        <v>80</v>
      </c>
      <c r="Y120">
        <v>87</v>
      </c>
      <c r="Z120">
        <v>1</v>
      </c>
      <c r="AA120">
        <f t="shared" si="1"/>
        <v>654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1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</row>
    <row r="121" spans="1:96" x14ac:dyDescent="0.3">
      <c r="A121" s="1">
        <v>45503</v>
      </c>
      <c r="B121" t="s">
        <v>97</v>
      </c>
      <c r="C121" t="s">
        <v>236</v>
      </c>
      <c r="D121" t="s">
        <v>99</v>
      </c>
      <c r="E121" t="s">
        <v>237</v>
      </c>
      <c r="F121" t="s">
        <v>101</v>
      </c>
      <c r="G121">
        <v>16012</v>
      </c>
      <c r="H121" t="s">
        <v>102</v>
      </c>
      <c r="I121" t="s">
        <v>103</v>
      </c>
      <c r="J121">
        <v>4</v>
      </c>
      <c r="K121" t="s">
        <v>104</v>
      </c>
      <c r="L121">
        <v>2.6666666669999999</v>
      </c>
      <c r="M121" t="s">
        <v>105</v>
      </c>
      <c r="N121" t="s">
        <v>105</v>
      </c>
      <c r="O121" t="e">
        <v>#VALUE!</v>
      </c>
      <c r="P121" t="e">
        <v>#VALUE!</v>
      </c>
      <c r="Q121" t="e">
        <v>#VALUE!</v>
      </c>
      <c r="R121" t="e">
        <v>#VALUE!</v>
      </c>
      <c r="S121" t="s">
        <v>105</v>
      </c>
      <c r="T121">
        <v>0.73819444400000001</v>
      </c>
      <c r="U121">
        <v>0.74166666699999995</v>
      </c>
      <c r="V121">
        <v>0</v>
      </c>
      <c r="W121">
        <v>2</v>
      </c>
      <c r="X121">
        <v>80</v>
      </c>
      <c r="Y121">
        <v>87</v>
      </c>
      <c r="Z121">
        <v>2</v>
      </c>
      <c r="AA121">
        <f t="shared" si="1"/>
        <v>656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1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</row>
    <row r="122" spans="1:96" x14ac:dyDescent="0.3">
      <c r="A122" s="1">
        <v>45503</v>
      </c>
      <c r="B122" t="s">
        <v>97</v>
      </c>
      <c r="C122" t="s">
        <v>214</v>
      </c>
      <c r="D122" t="s">
        <v>99</v>
      </c>
      <c r="E122" t="s">
        <v>215</v>
      </c>
      <c r="F122" t="s">
        <v>101</v>
      </c>
      <c r="G122">
        <v>11031</v>
      </c>
      <c r="H122" t="s">
        <v>102</v>
      </c>
      <c r="I122" t="s">
        <v>103</v>
      </c>
      <c r="J122">
        <v>4</v>
      </c>
      <c r="K122" t="s">
        <v>104</v>
      </c>
      <c r="L122">
        <v>5.6666666670000003</v>
      </c>
      <c r="M122" t="s">
        <v>105</v>
      </c>
      <c r="N122">
        <v>189.5</v>
      </c>
      <c r="O122">
        <v>15.0877</v>
      </c>
      <c r="P122">
        <v>85.496966670000006</v>
      </c>
      <c r="Q122">
        <v>0</v>
      </c>
      <c r="R122">
        <v>16201.67518</v>
      </c>
      <c r="S122">
        <v>16201.67518</v>
      </c>
      <c r="T122">
        <v>0.72152777800000001</v>
      </c>
      <c r="U122">
        <v>0.72499999999999998</v>
      </c>
      <c r="V122">
        <v>0</v>
      </c>
      <c r="W122">
        <v>2</v>
      </c>
      <c r="X122">
        <v>80</v>
      </c>
      <c r="Y122">
        <v>87</v>
      </c>
      <c r="Z122">
        <v>7</v>
      </c>
      <c r="AA122">
        <f t="shared" si="1"/>
        <v>663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1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1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1</v>
      </c>
      <c r="BS122">
        <v>0</v>
      </c>
      <c r="BT122">
        <v>0</v>
      </c>
      <c r="BU122">
        <v>0</v>
      </c>
      <c r="BV122">
        <v>1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3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</row>
    <row r="123" spans="1:96" x14ac:dyDescent="0.3">
      <c r="A123" s="1">
        <v>45503</v>
      </c>
      <c r="B123" t="s">
        <v>97</v>
      </c>
      <c r="C123" t="s">
        <v>130</v>
      </c>
      <c r="D123" t="s">
        <v>99</v>
      </c>
      <c r="E123" t="s">
        <v>131</v>
      </c>
      <c r="F123" t="s">
        <v>101</v>
      </c>
      <c r="G123">
        <v>1128</v>
      </c>
      <c r="H123" t="s">
        <v>113</v>
      </c>
      <c r="I123" t="s">
        <v>119</v>
      </c>
      <c r="J123">
        <v>4</v>
      </c>
      <c r="K123" t="s">
        <v>120</v>
      </c>
      <c r="L123">
        <v>11.33333333</v>
      </c>
      <c r="M123" t="s">
        <v>105</v>
      </c>
      <c r="N123">
        <v>36.1</v>
      </c>
      <c r="O123">
        <v>8.3053000000000008</v>
      </c>
      <c r="P123">
        <v>94.126733329999993</v>
      </c>
      <c r="Q123">
        <v>0</v>
      </c>
      <c r="R123">
        <v>3397.9750730000001</v>
      </c>
      <c r="S123">
        <v>3397.9750730000001</v>
      </c>
      <c r="T123">
        <v>0.71319444399999998</v>
      </c>
      <c r="U123">
        <v>0.71666666700000003</v>
      </c>
      <c r="V123">
        <v>0</v>
      </c>
      <c r="W123">
        <v>2</v>
      </c>
      <c r="X123">
        <v>80</v>
      </c>
      <c r="Y123">
        <v>87</v>
      </c>
      <c r="Z123">
        <v>8</v>
      </c>
      <c r="AA123">
        <f t="shared" si="1"/>
        <v>671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3</v>
      </c>
      <c r="BT123">
        <v>1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2</v>
      </c>
      <c r="CF123">
        <v>0</v>
      </c>
      <c r="CG123">
        <v>0</v>
      </c>
      <c r="CH123">
        <v>0</v>
      </c>
      <c r="CI123">
        <v>1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</row>
    <row r="124" spans="1:96" x14ac:dyDescent="0.3">
      <c r="A124" s="1">
        <v>45503</v>
      </c>
      <c r="B124" t="s">
        <v>97</v>
      </c>
      <c r="C124" t="s">
        <v>192</v>
      </c>
      <c r="E124" t="s">
        <v>153</v>
      </c>
      <c r="F124" t="s">
        <v>108</v>
      </c>
      <c r="G124">
        <v>9050</v>
      </c>
      <c r="H124" t="s">
        <v>113</v>
      </c>
      <c r="I124" t="s">
        <v>103</v>
      </c>
      <c r="J124">
        <v>4</v>
      </c>
      <c r="K124" t="s">
        <v>114</v>
      </c>
      <c r="M124">
        <v>2</v>
      </c>
      <c r="N124">
        <v>1180.7</v>
      </c>
      <c r="O124">
        <v>9.0432000000000006</v>
      </c>
      <c r="P124">
        <v>0</v>
      </c>
      <c r="Q124">
        <v>2361.4</v>
      </c>
      <c r="R124">
        <v>0</v>
      </c>
      <c r="S124">
        <v>2361.4</v>
      </c>
      <c r="T124">
        <v>0.69930555599999999</v>
      </c>
      <c r="U124">
        <v>0.70277777799999996</v>
      </c>
      <c r="V124">
        <v>0</v>
      </c>
      <c r="W124">
        <v>2</v>
      </c>
      <c r="X124">
        <v>80</v>
      </c>
      <c r="Y124">
        <v>87</v>
      </c>
      <c r="Z124">
        <v>0</v>
      </c>
      <c r="AA124">
        <f t="shared" si="1"/>
        <v>671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 t="s">
        <v>278</v>
      </c>
    </row>
    <row r="125" spans="1:96" x14ac:dyDescent="0.3">
      <c r="A125" s="1">
        <v>45503</v>
      </c>
      <c r="B125" t="s">
        <v>97</v>
      </c>
      <c r="C125" t="s">
        <v>124</v>
      </c>
      <c r="E125" t="s">
        <v>125</v>
      </c>
      <c r="F125" t="s">
        <v>101</v>
      </c>
      <c r="G125">
        <v>11045</v>
      </c>
      <c r="H125" t="s">
        <v>126</v>
      </c>
      <c r="I125" t="s">
        <v>103</v>
      </c>
      <c r="J125">
        <v>4</v>
      </c>
      <c r="K125" t="s">
        <v>120</v>
      </c>
      <c r="L125">
        <v>11.33333333</v>
      </c>
      <c r="M125" t="s">
        <v>105</v>
      </c>
      <c r="N125">
        <v>31</v>
      </c>
      <c r="O125">
        <v>9.0432000000000006</v>
      </c>
      <c r="P125">
        <v>102.4896</v>
      </c>
      <c r="Q125">
        <v>0</v>
      </c>
      <c r="R125">
        <v>3177.1776</v>
      </c>
      <c r="S125">
        <v>3177.1776</v>
      </c>
      <c r="T125">
        <v>0.72916666699999999</v>
      </c>
      <c r="U125">
        <v>0.73263888899999996</v>
      </c>
      <c r="V125">
        <v>0</v>
      </c>
      <c r="W125">
        <v>2</v>
      </c>
      <c r="X125">
        <v>80</v>
      </c>
      <c r="Y125">
        <v>87</v>
      </c>
      <c r="Z125">
        <v>2</v>
      </c>
      <c r="AA125">
        <f t="shared" si="1"/>
        <v>673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1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1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</row>
    <row r="126" spans="1:96" x14ac:dyDescent="0.3">
      <c r="A126" s="1">
        <v>45504</v>
      </c>
      <c r="B126" t="s">
        <v>97</v>
      </c>
      <c r="C126" t="s">
        <v>121</v>
      </c>
      <c r="D126" t="s">
        <v>99</v>
      </c>
      <c r="E126" t="s">
        <v>122</v>
      </c>
      <c r="F126" t="s">
        <v>101</v>
      </c>
      <c r="G126">
        <v>20012</v>
      </c>
      <c r="H126" t="s">
        <v>113</v>
      </c>
      <c r="I126" t="s">
        <v>123</v>
      </c>
      <c r="J126">
        <v>4</v>
      </c>
      <c r="K126" t="s">
        <v>120</v>
      </c>
      <c r="L126">
        <v>8</v>
      </c>
      <c r="M126" t="s">
        <v>105</v>
      </c>
      <c r="N126" t="e">
        <v>#N/A</v>
      </c>
      <c r="O126" t="e">
        <v>#N/A</v>
      </c>
      <c r="P126" t="e">
        <v>#N/A</v>
      </c>
      <c r="Q126" t="e">
        <v>#N/A</v>
      </c>
      <c r="R126" t="e">
        <v>#N/A</v>
      </c>
      <c r="S126" t="s">
        <v>105</v>
      </c>
      <c r="T126">
        <v>0.74027777800000005</v>
      </c>
      <c r="U126">
        <v>0.74375000000000002</v>
      </c>
      <c r="V126">
        <v>0</v>
      </c>
      <c r="W126">
        <v>2</v>
      </c>
      <c r="X126">
        <v>10</v>
      </c>
      <c r="Y126">
        <v>91</v>
      </c>
      <c r="Z126">
        <v>3</v>
      </c>
      <c r="AA126">
        <f t="shared" si="1"/>
        <v>676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1</v>
      </c>
      <c r="BS126">
        <v>1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</row>
    <row r="127" spans="1:96" x14ac:dyDescent="0.3">
      <c r="A127" s="1">
        <v>45504</v>
      </c>
      <c r="B127" t="s">
        <v>97</v>
      </c>
      <c r="C127" t="s">
        <v>115</v>
      </c>
      <c r="E127" t="s">
        <v>116</v>
      </c>
      <c r="F127" t="s">
        <v>101</v>
      </c>
      <c r="G127" t="s">
        <v>117</v>
      </c>
      <c r="H127" t="s">
        <v>118</v>
      </c>
      <c r="I127" t="s">
        <v>119</v>
      </c>
      <c r="J127">
        <v>4</v>
      </c>
      <c r="K127" t="s">
        <v>120</v>
      </c>
      <c r="L127">
        <v>4.6666666670000003</v>
      </c>
      <c r="M127" t="s">
        <v>105</v>
      </c>
      <c r="N127">
        <v>68.400000000000006</v>
      </c>
      <c r="O127">
        <v>4.1488433149999997</v>
      </c>
      <c r="P127">
        <v>19.361268800000001</v>
      </c>
      <c r="Q127">
        <v>0</v>
      </c>
      <c r="R127">
        <v>1324.310786</v>
      </c>
      <c r="S127">
        <v>1324.310786</v>
      </c>
      <c r="T127">
        <v>0.73611111100000004</v>
      </c>
      <c r="U127">
        <v>0.73958333300000001</v>
      </c>
      <c r="V127">
        <v>0</v>
      </c>
      <c r="W127">
        <v>2</v>
      </c>
      <c r="X127">
        <v>10</v>
      </c>
      <c r="Y127">
        <v>91</v>
      </c>
      <c r="Z127">
        <v>0</v>
      </c>
      <c r="AA127">
        <f t="shared" si="1"/>
        <v>676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</row>
    <row r="128" spans="1:96" x14ac:dyDescent="0.3">
      <c r="A128" s="1">
        <v>45505</v>
      </c>
      <c r="B128" t="s">
        <v>261</v>
      </c>
      <c r="C128" t="s">
        <v>219</v>
      </c>
      <c r="D128" t="s">
        <v>99</v>
      </c>
      <c r="E128" t="s">
        <v>155</v>
      </c>
      <c r="F128" t="s">
        <v>101</v>
      </c>
      <c r="G128">
        <v>7045</v>
      </c>
      <c r="H128" t="s">
        <v>126</v>
      </c>
      <c r="I128" t="s">
        <v>119</v>
      </c>
      <c r="J128">
        <v>4</v>
      </c>
      <c r="K128" t="s">
        <v>104</v>
      </c>
      <c r="L128">
        <v>18</v>
      </c>
      <c r="M128" t="s">
        <v>105</v>
      </c>
      <c r="N128">
        <v>79</v>
      </c>
      <c r="O128">
        <v>1.446912</v>
      </c>
      <c r="P128">
        <v>26.044415999999998</v>
      </c>
      <c r="Q128">
        <v>0</v>
      </c>
      <c r="R128">
        <v>2057.5088639999999</v>
      </c>
      <c r="S128">
        <v>2057.5088639999999</v>
      </c>
      <c r="T128">
        <v>0.445833333</v>
      </c>
      <c r="U128">
        <v>0.44930555599999999</v>
      </c>
      <c r="V128">
        <v>0</v>
      </c>
      <c r="W128">
        <v>2</v>
      </c>
      <c r="X128">
        <v>100</v>
      </c>
      <c r="Y128">
        <v>81</v>
      </c>
      <c r="Z128">
        <v>19</v>
      </c>
      <c r="AA128">
        <f t="shared" si="1"/>
        <v>695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5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1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2</v>
      </c>
      <c r="BQ128">
        <v>1</v>
      </c>
      <c r="BR128">
        <v>0</v>
      </c>
      <c r="BS128">
        <v>6</v>
      </c>
      <c r="BT128">
        <v>0</v>
      </c>
      <c r="BU128">
        <v>0</v>
      </c>
      <c r="BV128">
        <v>3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1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</row>
    <row r="129" spans="1:96" x14ac:dyDescent="0.3">
      <c r="A129" s="1">
        <v>45505</v>
      </c>
      <c r="B129" t="s">
        <v>261</v>
      </c>
      <c r="C129" t="s">
        <v>207</v>
      </c>
      <c r="D129" t="s">
        <v>99</v>
      </c>
      <c r="E129" t="s">
        <v>208</v>
      </c>
      <c r="F129" t="s">
        <v>101</v>
      </c>
      <c r="G129">
        <v>1005</v>
      </c>
      <c r="H129" t="s">
        <v>113</v>
      </c>
      <c r="I129" t="s">
        <v>119</v>
      </c>
      <c r="J129">
        <v>4</v>
      </c>
      <c r="K129" t="s">
        <v>120</v>
      </c>
      <c r="L129">
        <v>7</v>
      </c>
      <c r="M129" t="s">
        <v>105</v>
      </c>
      <c r="N129">
        <v>125.2</v>
      </c>
      <c r="O129">
        <v>3.8207520000000001</v>
      </c>
      <c r="P129">
        <v>26.745263999999999</v>
      </c>
      <c r="Q129">
        <v>0</v>
      </c>
      <c r="R129">
        <v>3348.5070529999998</v>
      </c>
      <c r="S129">
        <v>3348.5070529999998</v>
      </c>
      <c r="T129">
        <v>0.56319444399999996</v>
      </c>
      <c r="U129">
        <v>0.56666666700000001</v>
      </c>
      <c r="V129">
        <v>0</v>
      </c>
      <c r="W129">
        <v>2</v>
      </c>
      <c r="X129">
        <v>90</v>
      </c>
      <c r="Y129">
        <v>79</v>
      </c>
      <c r="Z129">
        <v>6</v>
      </c>
      <c r="AA129">
        <f t="shared" si="1"/>
        <v>701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1</v>
      </c>
      <c r="BQ129">
        <v>0</v>
      </c>
      <c r="BR129">
        <v>0</v>
      </c>
      <c r="BS129">
        <v>2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2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</row>
    <row r="130" spans="1:96" x14ac:dyDescent="0.3">
      <c r="A130" s="1">
        <v>45505</v>
      </c>
      <c r="B130" t="s">
        <v>261</v>
      </c>
      <c r="C130" t="s">
        <v>222</v>
      </c>
      <c r="D130" t="s">
        <v>99</v>
      </c>
      <c r="E130" t="s">
        <v>189</v>
      </c>
      <c r="F130" t="s">
        <v>101</v>
      </c>
      <c r="G130">
        <v>15012</v>
      </c>
      <c r="H130" t="s">
        <v>102</v>
      </c>
      <c r="I130" t="s">
        <v>119</v>
      </c>
      <c r="J130">
        <v>4</v>
      </c>
      <c r="K130" t="s">
        <v>120</v>
      </c>
      <c r="L130">
        <v>5.3333333329999997</v>
      </c>
      <c r="M130" t="s">
        <v>105</v>
      </c>
      <c r="N130">
        <v>269.7</v>
      </c>
      <c r="O130">
        <v>7.5987999999999998</v>
      </c>
      <c r="P130">
        <v>40.526933329999999</v>
      </c>
      <c r="Q130">
        <v>0</v>
      </c>
      <c r="R130">
        <v>10930.11392</v>
      </c>
      <c r="S130">
        <v>10930.11392</v>
      </c>
      <c r="T130">
        <v>0.57083333300000005</v>
      </c>
      <c r="U130">
        <v>0.57430555599999999</v>
      </c>
      <c r="V130">
        <v>0</v>
      </c>
      <c r="W130">
        <v>2</v>
      </c>
      <c r="X130">
        <v>75</v>
      </c>
      <c r="Y130">
        <v>79</v>
      </c>
      <c r="Z130">
        <v>4</v>
      </c>
      <c r="AA130">
        <f t="shared" si="1"/>
        <v>705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1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1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1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1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</row>
    <row r="131" spans="1:96" x14ac:dyDescent="0.3">
      <c r="A131" s="1">
        <v>45505</v>
      </c>
      <c r="B131" t="s">
        <v>261</v>
      </c>
      <c r="C131" t="s">
        <v>209</v>
      </c>
      <c r="D131" t="s">
        <v>99</v>
      </c>
      <c r="E131" t="s">
        <v>155</v>
      </c>
      <c r="F131" t="s">
        <v>101</v>
      </c>
      <c r="G131">
        <v>7045</v>
      </c>
      <c r="H131" t="s">
        <v>113</v>
      </c>
      <c r="I131" t="s">
        <v>119</v>
      </c>
      <c r="J131">
        <v>5</v>
      </c>
      <c r="K131" t="s">
        <v>104</v>
      </c>
      <c r="L131">
        <v>8.3333333330000006</v>
      </c>
      <c r="M131" t="s">
        <v>105</v>
      </c>
      <c r="N131">
        <v>91.2</v>
      </c>
      <c r="O131">
        <v>1.6981120000000001</v>
      </c>
      <c r="P131">
        <v>14.150933330000001</v>
      </c>
      <c r="Q131">
        <v>0</v>
      </c>
      <c r="R131">
        <v>1290.56512</v>
      </c>
      <c r="S131">
        <v>1290.56512</v>
      </c>
      <c r="T131">
        <v>0.58333333300000001</v>
      </c>
      <c r="U131">
        <v>0.58680555599999995</v>
      </c>
      <c r="V131">
        <v>0</v>
      </c>
      <c r="W131">
        <v>2</v>
      </c>
      <c r="X131">
        <v>75</v>
      </c>
      <c r="Y131">
        <v>79</v>
      </c>
      <c r="Z131">
        <v>10</v>
      </c>
      <c r="AA131">
        <f t="shared" si="1"/>
        <v>715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2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1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1</v>
      </c>
      <c r="BQ131">
        <v>0</v>
      </c>
      <c r="BR131">
        <v>0</v>
      </c>
      <c r="BS131">
        <v>3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2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</row>
    <row r="132" spans="1:96" x14ac:dyDescent="0.3">
      <c r="A132" s="1">
        <v>45505</v>
      </c>
      <c r="B132" t="s">
        <v>261</v>
      </c>
      <c r="C132" t="s">
        <v>248</v>
      </c>
      <c r="D132" t="s">
        <v>99</v>
      </c>
      <c r="E132" t="s">
        <v>249</v>
      </c>
      <c r="F132" t="s">
        <v>101</v>
      </c>
      <c r="G132">
        <v>15049</v>
      </c>
      <c r="H132" t="s">
        <v>126</v>
      </c>
      <c r="I132" t="s">
        <v>119</v>
      </c>
      <c r="J132">
        <v>4</v>
      </c>
      <c r="K132" t="s">
        <v>120</v>
      </c>
      <c r="L132">
        <v>8</v>
      </c>
      <c r="M132" t="s">
        <v>105</v>
      </c>
      <c r="N132">
        <v>107.9</v>
      </c>
      <c r="O132">
        <v>1.5078279999999999</v>
      </c>
      <c r="P132">
        <v>12.062624</v>
      </c>
      <c r="Q132">
        <v>0</v>
      </c>
      <c r="R132">
        <v>1301.5571299999999</v>
      </c>
      <c r="S132">
        <v>1301.5571299999999</v>
      </c>
      <c r="T132">
        <v>0.59027777800000003</v>
      </c>
      <c r="U132">
        <v>0.59375</v>
      </c>
      <c r="V132">
        <v>0</v>
      </c>
      <c r="W132">
        <v>2</v>
      </c>
      <c r="X132">
        <v>75</v>
      </c>
      <c r="Y132">
        <v>79</v>
      </c>
      <c r="Z132">
        <v>5</v>
      </c>
      <c r="AA132">
        <f t="shared" ref="AA132:AA195" si="2">Z132+AA131</f>
        <v>720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1</v>
      </c>
      <c r="AU132">
        <v>1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1</v>
      </c>
      <c r="BP132">
        <v>1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1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 t="s">
        <v>231</v>
      </c>
    </row>
    <row r="133" spans="1:96" x14ac:dyDescent="0.3">
      <c r="A133" s="1">
        <v>45505</v>
      </c>
      <c r="B133" t="s">
        <v>261</v>
      </c>
      <c r="C133" t="s">
        <v>220</v>
      </c>
      <c r="D133" t="s">
        <v>99</v>
      </c>
      <c r="E133" t="s">
        <v>221</v>
      </c>
      <c r="F133" t="s">
        <v>101</v>
      </c>
      <c r="G133">
        <v>1127</v>
      </c>
      <c r="H133" t="s">
        <v>113</v>
      </c>
      <c r="I133" t="s">
        <v>103</v>
      </c>
      <c r="J133">
        <v>4</v>
      </c>
      <c r="K133" t="s">
        <v>104</v>
      </c>
      <c r="L133">
        <v>7.6666666670000003</v>
      </c>
      <c r="M133" t="s">
        <v>105</v>
      </c>
      <c r="N133">
        <v>126.2</v>
      </c>
      <c r="O133">
        <v>2.9899079999999998</v>
      </c>
      <c r="P133">
        <v>22.922628</v>
      </c>
      <c r="Q133">
        <v>0</v>
      </c>
      <c r="R133">
        <v>2892.835654</v>
      </c>
      <c r="S133">
        <v>2892.835654</v>
      </c>
      <c r="T133">
        <v>0.61666666699999995</v>
      </c>
      <c r="U133">
        <v>0.62013888900000003</v>
      </c>
      <c r="V133">
        <v>0</v>
      </c>
      <c r="W133">
        <v>2</v>
      </c>
      <c r="X133">
        <v>60</v>
      </c>
      <c r="Y133">
        <v>84</v>
      </c>
      <c r="Z133">
        <v>15</v>
      </c>
      <c r="AA133">
        <f t="shared" si="2"/>
        <v>735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1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1</v>
      </c>
      <c r="AU133">
        <v>2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1</v>
      </c>
      <c r="BH133">
        <v>0</v>
      </c>
      <c r="BI133">
        <v>1</v>
      </c>
      <c r="BJ133">
        <v>0</v>
      </c>
      <c r="BK133">
        <v>0</v>
      </c>
      <c r="BL133">
        <v>0</v>
      </c>
      <c r="BM133">
        <v>2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7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1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</row>
    <row r="134" spans="1:96" x14ac:dyDescent="0.3">
      <c r="A134" s="1">
        <v>45505</v>
      </c>
      <c r="B134" t="s">
        <v>261</v>
      </c>
      <c r="C134" t="s">
        <v>210</v>
      </c>
      <c r="D134" t="s">
        <v>99</v>
      </c>
      <c r="E134" t="s">
        <v>142</v>
      </c>
      <c r="F134" t="s">
        <v>101</v>
      </c>
      <c r="G134">
        <v>14010</v>
      </c>
      <c r="H134" t="s">
        <v>102</v>
      </c>
      <c r="I134" t="s">
        <v>129</v>
      </c>
      <c r="J134" t="s">
        <v>105</v>
      </c>
      <c r="K134" t="s">
        <v>104</v>
      </c>
      <c r="L134">
        <v>8.6666666669999994</v>
      </c>
      <c r="M134" t="s">
        <v>105</v>
      </c>
      <c r="N134">
        <v>69.400000000000006</v>
      </c>
      <c r="O134">
        <v>4.0191999999999997</v>
      </c>
      <c r="P134">
        <v>34.833066670000001</v>
      </c>
      <c r="Q134">
        <v>0</v>
      </c>
      <c r="R134">
        <v>2417.4148270000001</v>
      </c>
      <c r="S134">
        <v>2417.4148270000001</v>
      </c>
      <c r="T134">
        <v>0.47083333300000002</v>
      </c>
      <c r="U134">
        <v>0.47430555600000002</v>
      </c>
      <c r="V134">
        <v>0</v>
      </c>
      <c r="W134">
        <v>2</v>
      </c>
      <c r="X134">
        <v>90</v>
      </c>
      <c r="Y134">
        <v>81</v>
      </c>
      <c r="Z134">
        <v>13</v>
      </c>
      <c r="AA134">
        <f t="shared" si="2"/>
        <v>748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1</v>
      </c>
      <c r="AP134">
        <v>0</v>
      </c>
      <c r="AQ134">
        <v>0</v>
      </c>
      <c r="AR134">
        <v>1</v>
      </c>
      <c r="AS134">
        <v>0</v>
      </c>
      <c r="AT134">
        <v>0</v>
      </c>
      <c r="AU134">
        <v>1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5</v>
      </c>
      <c r="BS134">
        <v>4</v>
      </c>
      <c r="BT134">
        <v>0</v>
      </c>
      <c r="BU134">
        <v>0</v>
      </c>
      <c r="BV134">
        <v>1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</row>
    <row r="135" spans="1:96" x14ac:dyDescent="0.3">
      <c r="A135" s="1">
        <v>45505</v>
      </c>
      <c r="B135" t="s">
        <v>261</v>
      </c>
      <c r="C135" t="s">
        <v>264</v>
      </c>
      <c r="D135" t="s">
        <v>265</v>
      </c>
      <c r="E135" t="s">
        <v>260</v>
      </c>
      <c r="F135" t="s">
        <v>101</v>
      </c>
      <c r="G135">
        <v>12020</v>
      </c>
      <c r="H135" t="s">
        <v>118</v>
      </c>
      <c r="I135" t="s">
        <v>103</v>
      </c>
      <c r="J135">
        <v>4</v>
      </c>
      <c r="K135" t="s">
        <v>104</v>
      </c>
      <c r="L135">
        <v>8.3333333330000006</v>
      </c>
      <c r="M135" t="s">
        <v>105</v>
      </c>
      <c r="N135">
        <v>150.69999999999999</v>
      </c>
      <c r="O135">
        <v>13.629598550000001</v>
      </c>
      <c r="P135">
        <v>113.57998790000001</v>
      </c>
      <c r="Q135">
        <v>0</v>
      </c>
      <c r="R135">
        <v>17116.50418</v>
      </c>
      <c r="S135">
        <v>17116.50418</v>
      </c>
      <c r="T135">
        <v>0.45694444400000001</v>
      </c>
      <c r="U135">
        <v>0.460416667</v>
      </c>
      <c r="V135">
        <v>0</v>
      </c>
      <c r="W135">
        <v>2</v>
      </c>
      <c r="X135">
        <v>90</v>
      </c>
      <c r="Y135">
        <v>81</v>
      </c>
      <c r="Z135">
        <v>20</v>
      </c>
      <c r="AA135">
        <f t="shared" si="2"/>
        <v>768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1</v>
      </c>
      <c r="AN135">
        <v>0</v>
      </c>
      <c r="AO135">
        <v>0</v>
      </c>
      <c r="AP135">
        <v>1</v>
      </c>
      <c r="AQ135">
        <v>1</v>
      </c>
      <c r="AR135">
        <v>0</v>
      </c>
      <c r="AS135">
        <v>0</v>
      </c>
      <c r="AT135">
        <v>2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2</v>
      </c>
      <c r="BD135">
        <v>0</v>
      </c>
      <c r="BE135">
        <v>0</v>
      </c>
      <c r="BF135">
        <v>0</v>
      </c>
      <c r="BG135">
        <v>2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2</v>
      </c>
      <c r="BQ135">
        <v>0</v>
      </c>
      <c r="BR135">
        <v>0</v>
      </c>
      <c r="BS135">
        <v>6</v>
      </c>
      <c r="BT135">
        <v>0</v>
      </c>
      <c r="BU135">
        <v>0</v>
      </c>
      <c r="BV135">
        <v>3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</row>
    <row r="136" spans="1:96" x14ac:dyDescent="0.3">
      <c r="A136" s="1">
        <v>45505</v>
      </c>
      <c r="B136" t="s">
        <v>261</v>
      </c>
      <c r="C136" t="s">
        <v>228</v>
      </c>
      <c r="D136" t="s">
        <v>99</v>
      </c>
      <c r="E136" t="s">
        <v>229</v>
      </c>
      <c r="F136" t="s">
        <v>101</v>
      </c>
      <c r="G136" t="s">
        <v>230</v>
      </c>
      <c r="H136" t="s">
        <v>113</v>
      </c>
      <c r="I136" t="s">
        <v>129</v>
      </c>
      <c r="J136">
        <v>5</v>
      </c>
      <c r="K136" t="s">
        <v>120</v>
      </c>
      <c r="L136">
        <v>7</v>
      </c>
      <c r="M136" t="s">
        <v>105</v>
      </c>
      <c r="N136">
        <v>60.9</v>
      </c>
      <c r="O136">
        <v>4.4121976270000003</v>
      </c>
      <c r="P136">
        <v>30.885383390000001</v>
      </c>
      <c r="Q136">
        <v>0</v>
      </c>
      <c r="R136">
        <v>1880.919848</v>
      </c>
      <c r="S136">
        <v>1880.919848</v>
      </c>
      <c r="T136">
        <v>0.64305555599999997</v>
      </c>
      <c r="U136">
        <v>0.64652777800000005</v>
      </c>
      <c r="V136">
        <v>0</v>
      </c>
      <c r="W136">
        <v>1</v>
      </c>
      <c r="X136">
        <v>60</v>
      </c>
      <c r="Y136">
        <v>81</v>
      </c>
      <c r="Z136">
        <v>7</v>
      </c>
      <c r="AA136">
        <f t="shared" si="2"/>
        <v>775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1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1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1</v>
      </c>
      <c r="BM136">
        <v>0</v>
      </c>
      <c r="BN136">
        <v>1</v>
      </c>
      <c r="BO136">
        <v>0</v>
      </c>
      <c r="BP136">
        <v>0</v>
      </c>
      <c r="BQ136">
        <v>0</v>
      </c>
      <c r="BR136">
        <v>0</v>
      </c>
      <c r="BS136">
        <v>3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</row>
    <row r="137" spans="1:96" x14ac:dyDescent="0.3">
      <c r="A137" s="1">
        <v>45505</v>
      </c>
      <c r="B137" t="s">
        <v>261</v>
      </c>
      <c r="C137" t="s">
        <v>232</v>
      </c>
      <c r="D137" t="s">
        <v>265</v>
      </c>
      <c r="E137" t="s">
        <v>233</v>
      </c>
      <c r="F137" t="s">
        <v>101</v>
      </c>
      <c r="G137">
        <v>21040</v>
      </c>
      <c r="H137" t="s">
        <v>126</v>
      </c>
      <c r="I137" t="s">
        <v>119</v>
      </c>
      <c r="J137">
        <v>4</v>
      </c>
      <c r="K137" t="s">
        <v>120</v>
      </c>
      <c r="M137">
        <v>24</v>
      </c>
      <c r="N137">
        <v>194.2</v>
      </c>
      <c r="O137">
        <v>3.6464443200000001</v>
      </c>
      <c r="P137">
        <v>0</v>
      </c>
      <c r="Q137">
        <v>4660.8</v>
      </c>
      <c r="R137">
        <v>0</v>
      </c>
      <c r="S137">
        <v>4660.8</v>
      </c>
      <c r="T137">
        <v>0.59930555600000002</v>
      </c>
      <c r="U137">
        <v>0.60208333300000005</v>
      </c>
      <c r="V137">
        <v>0</v>
      </c>
      <c r="W137">
        <v>1</v>
      </c>
      <c r="X137">
        <v>30</v>
      </c>
      <c r="Y137">
        <v>84</v>
      </c>
      <c r="Z137">
        <v>5</v>
      </c>
      <c r="AA137">
        <f t="shared" si="2"/>
        <v>780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1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4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</row>
    <row r="138" spans="1:96" x14ac:dyDescent="0.3">
      <c r="A138" s="1">
        <v>45505</v>
      </c>
      <c r="B138" t="s">
        <v>261</v>
      </c>
      <c r="C138" t="s">
        <v>234</v>
      </c>
      <c r="D138" t="s">
        <v>99</v>
      </c>
      <c r="E138" t="s">
        <v>235</v>
      </c>
      <c r="F138" t="s">
        <v>101</v>
      </c>
      <c r="G138">
        <v>21026</v>
      </c>
      <c r="H138" t="s">
        <v>126</v>
      </c>
      <c r="I138" t="s">
        <v>129</v>
      </c>
      <c r="J138">
        <v>4</v>
      </c>
      <c r="K138" t="s">
        <v>120</v>
      </c>
      <c r="L138">
        <v>2.6666666669999999</v>
      </c>
      <c r="M138" t="s">
        <v>105</v>
      </c>
      <c r="N138">
        <v>86.428569999999993</v>
      </c>
      <c r="O138">
        <v>5.8505173309999998</v>
      </c>
      <c r="P138">
        <v>15.601379550000001</v>
      </c>
      <c r="Q138">
        <v>0</v>
      </c>
      <c r="R138">
        <v>1348.404925</v>
      </c>
      <c r="S138">
        <v>1348.404925</v>
      </c>
      <c r="T138">
        <v>0.62569444399999996</v>
      </c>
      <c r="U138">
        <v>0.62916666700000001</v>
      </c>
      <c r="V138">
        <v>0</v>
      </c>
      <c r="W138">
        <v>1</v>
      </c>
      <c r="X138">
        <v>50</v>
      </c>
      <c r="Y138">
        <v>84</v>
      </c>
      <c r="Z138">
        <v>2</v>
      </c>
      <c r="AA138">
        <f t="shared" si="2"/>
        <v>782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1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1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</row>
    <row r="139" spans="1:96" x14ac:dyDescent="0.3">
      <c r="A139" s="1">
        <v>45505</v>
      </c>
      <c r="B139" t="s">
        <v>261</v>
      </c>
      <c r="C139" t="s">
        <v>241</v>
      </c>
      <c r="D139" t="s">
        <v>99</v>
      </c>
      <c r="E139" t="s">
        <v>165</v>
      </c>
      <c r="F139" t="s">
        <v>101</v>
      </c>
      <c r="G139">
        <v>1004</v>
      </c>
      <c r="H139" t="s">
        <v>126</v>
      </c>
      <c r="I139" t="s">
        <v>103</v>
      </c>
      <c r="J139">
        <v>4</v>
      </c>
      <c r="K139" t="s">
        <v>120</v>
      </c>
      <c r="L139">
        <v>4.6666666670000003</v>
      </c>
      <c r="M139" t="s">
        <v>105</v>
      </c>
      <c r="N139">
        <v>174.4</v>
      </c>
      <c r="O139">
        <v>44.668942919999999</v>
      </c>
      <c r="P139">
        <v>208.45506700000001</v>
      </c>
      <c r="Q139">
        <v>0</v>
      </c>
      <c r="R139">
        <v>36354.563679999999</v>
      </c>
      <c r="S139">
        <v>36354.563679999999</v>
      </c>
      <c r="T139">
        <v>0.51041666699999999</v>
      </c>
      <c r="U139">
        <v>0.51180555599999999</v>
      </c>
      <c r="V139">
        <v>0</v>
      </c>
      <c r="W139">
        <v>2</v>
      </c>
      <c r="X139">
        <v>35</v>
      </c>
      <c r="Y139">
        <v>81</v>
      </c>
      <c r="Z139">
        <v>3</v>
      </c>
      <c r="AA139">
        <f t="shared" si="2"/>
        <v>785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2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 t="s">
        <v>268</v>
      </c>
    </row>
    <row r="140" spans="1:96" x14ac:dyDescent="0.3">
      <c r="A140" s="1">
        <v>45505</v>
      </c>
      <c r="B140" t="s">
        <v>261</v>
      </c>
      <c r="C140" t="s">
        <v>211</v>
      </c>
      <c r="D140" t="s">
        <v>99</v>
      </c>
      <c r="E140" t="s">
        <v>212</v>
      </c>
      <c r="F140" t="s">
        <v>101</v>
      </c>
      <c r="G140">
        <v>12022</v>
      </c>
      <c r="H140" t="s">
        <v>113</v>
      </c>
      <c r="I140" t="s">
        <v>103</v>
      </c>
      <c r="J140">
        <v>4</v>
      </c>
      <c r="K140" t="s">
        <v>120</v>
      </c>
      <c r="L140">
        <v>17</v>
      </c>
      <c r="M140" t="s">
        <v>105</v>
      </c>
      <c r="N140">
        <v>361</v>
      </c>
      <c r="O140">
        <v>8.3053000000000008</v>
      </c>
      <c r="P140">
        <v>141.1901</v>
      </c>
      <c r="Q140">
        <v>0</v>
      </c>
      <c r="R140">
        <v>50969.626100000001</v>
      </c>
      <c r="S140">
        <v>50969.626100000001</v>
      </c>
      <c r="T140">
        <v>0.39097222199999998</v>
      </c>
      <c r="U140">
        <v>0.39444444400000001</v>
      </c>
      <c r="V140">
        <v>0</v>
      </c>
      <c r="W140">
        <v>2</v>
      </c>
      <c r="X140">
        <v>100</v>
      </c>
      <c r="Y140">
        <v>76</v>
      </c>
      <c r="Z140">
        <v>10</v>
      </c>
      <c r="AA140">
        <f t="shared" si="2"/>
        <v>795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2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3</v>
      </c>
      <c r="BQ140">
        <v>0</v>
      </c>
      <c r="BR140">
        <v>0</v>
      </c>
      <c r="BS140">
        <v>2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1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1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</row>
    <row r="141" spans="1:96" x14ac:dyDescent="0.3">
      <c r="A141" s="1">
        <v>45505</v>
      </c>
      <c r="B141" t="s">
        <v>261</v>
      </c>
      <c r="C141" t="s">
        <v>270</v>
      </c>
      <c r="D141" t="s">
        <v>265</v>
      </c>
      <c r="E141" t="s">
        <v>271</v>
      </c>
      <c r="F141" t="s">
        <v>101</v>
      </c>
      <c r="G141">
        <v>10040</v>
      </c>
      <c r="H141" t="s">
        <v>118</v>
      </c>
      <c r="I141" t="s">
        <v>123</v>
      </c>
      <c r="J141">
        <v>4</v>
      </c>
      <c r="K141" t="s">
        <v>120</v>
      </c>
      <c r="M141">
        <v>1</v>
      </c>
      <c r="N141" t="s">
        <v>105</v>
      </c>
      <c r="O141" t="e">
        <v>#VALUE!</v>
      </c>
      <c r="P141" t="e">
        <v>#VALUE!</v>
      </c>
      <c r="Q141" t="e">
        <v>#VALUE!</v>
      </c>
      <c r="R141" t="e">
        <v>#VALUE!</v>
      </c>
      <c r="S141" t="s">
        <v>105</v>
      </c>
      <c r="T141">
        <v>0.50277777800000001</v>
      </c>
      <c r="U141">
        <v>0.50624999999999998</v>
      </c>
      <c r="V141">
        <v>0</v>
      </c>
      <c r="W141">
        <v>2</v>
      </c>
      <c r="X141">
        <v>35</v>
      </c>
      <c r="Y141">
        <v>81</v>
      </c>
      <c r="Z141">
        <v>2</v>
      </c>
      <c r="AA141">
        <f t="shared" si="2"/>
        <v>797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1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1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1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 t="s">
        <v>272</v>
      </c>
    </row>
    <row r="142" spans="1:96" x14ac:dyDescent="0.3">
      <c r="A142" s="1">
        <v>45505</v>
      </c>
      <c r="B142" t="s">
        <v>261</v>
      </c>
      <c r="C142" t="s">
        <v>127</v>
      </c>
      <c r="D142" t="s">
        <v>99</v>
      </c>
      <c r="E142" t="s">
        <v>128</v>
      </c>
      <c r="F142" t="s">
        <v>101</v>
      </c>
      <c r="G142">
        <v>5079</v>
      </c>
      <c r="H142" t="s">
        <v>102</v>
      </c>
      <c r="I142" t="s">
        <v>129</v>
      </c>
      <c r="J142">
        <v>4</v>
      </c>
      <c r="K142" t="s">
        <v>104</v>
      </c>
      <c r="L142">
        <v>20.333333329999999</v>
      </c>
      <c r="M142" t="s">
        <v>105</v>
      </c>
      <c r="N142">
        <v>98.6</v>
      </c>
      <c r="O142">
        <v>14.13</v>
      </c>
      <c r="P142">
        <v>287.31</v>
      </c>
      <c r="Q142">
        <v>0</v>
      </c>
      <c r="R142">
        <v>28328.766</v>
      </c>
      <c r="S142">
        <v>28328.766</v>
      </c>
      <c r="T142">
        <v>0.4</v>
      </c>
      <c r="U142">
        <v>0.40347222199999999</v>
      </c>
      <c r="V142">
        <v>0</v>
      </c>
      <c r="W142">
        <v>2</v>
      </c>
      <c r="X142">
        <v>100</v>
      </c>
      <c r="Y142">
        <v>76</v>
      </c>
      <c r="Z142">
        <v>10</v>
      </c>
      <c r="AA142">
        <f t="shared" si="2"/>
        <v>807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>
        <v>1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2</v>
      </c>
      <c r="BT142">
        <v>1</v>
      </c>
      <c r="BU142">
        <v>0</v>
      </c>
      <c r="BV142">
        <v>1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2</v>
      </c>
      <c r="CF142">
        <v>0</v>
      </c>
      <c r="CG142">
        <v>0</v>
      </c>
      <c r="CH142">
        <v>0</v>
      </c>
      <c r="CI142">
        <v>1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</row>
    <row r="143" spans="1:96" x14ac:dyDescent="0.3">
      <c r="A143" s="1">
        <v>45505</v>
      </c>
      <c r="B143" t="s">
        <v>261</v>
      </c>
      <c r="C143" t="s">
        <v>187</v>
      </c>
      <c r="D143" t="s">
        <v>99</v>
      </c>
      <c r="E143" t="s">
        <v>100</v>
      </c>
      <c r="F143" t="s">
        <v>101</v>
      </c>
      <c r="G143">
        <v>5026</v>
      </c>
      <c r="H143" t="s">
        <v>102</v>
      </c>
      <c r="I143" t="s">
        <v>103</v>
      </c>
      <c r="J143">
        <v>4</v>
      </c>
      <c r="K143" t="s">
        <v>104</v>
      </c>
      <c r="L143">
        <v>0</v>
      </c>
      <c r="M143" t="s">
        <v>105</v>
      </c>
      <c r="N143">
        <v>5.5</v>
      </c>
      <c r="O143">
        <v>0.90683199999999997</v>
      </c>
      <c r="P143">
        <v>0</v>
      </c>
      <c r="Q143">
        <v>0</v>
      </c>
      <c r="R143">
        <v>0</v>
      </c>
      <c r="S143">
        <v>0</v>
      </c>
      <c r="T143">
        <v>0.49583333299999999</v>
      </c>
      <c r="U143">
        <v>0.49930555599999998</v>
      </c>
      <c r="V143">
        <v>0</v>
      </c>
      <c r="W143">
        <v>2</v>
      </c>
      <c r="X143">
        <v>35</v>
      </c>
      <c r="Y143">
        <v>81</v>
      </c>
      <c r="Z143">
        <v>2</v>
      </c>
      <c r="AA143">
        <f t="shared" si="2"/>
        <v>809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2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 t="s">
        <v>273</v>
      </c>
    </row>
    <row r="144" spans="1:96" x14ac:dyDescent="0.3">
      <c r="A144" s="1">
        <v>45505</v>
      </c>
      <c r="B144" t="s">
        <v>261</v>
      </c>
      <c r="C144" t="s">
        <v>216</v>
      </c>
      <c r="D144" t="s">
        <v>99</v>
      </c>
      <c r="E144" t="s">
        <v>131</v>
      </c>
      <c r="F144" t="s">
        <v>101</v>
      </c>
      <c r="G144">
        <v>1128</v>
      </c>
      <c r="H144" t="s">
        <v>126</v>
      </c>
      <c r="I144" t="s">
        <v>119</v>
      </c>
      <c r="J144">
        <v>4</v>
      </c>
      <c r="K144" t="s">
        <v>104</v>
      </c>
      <c r="L144">
        <v>21</v>
      </c>
      <c r="M144" t="s">
        <v>105</v>
      </c>
      <c r="N144">
        <v>154.80000000000001</v>
      </c>
      <c r="O144">
        <v>1.1077920000000001</v>
      </c>
      <c r="P144">
        <v>23.263632000000001</v>
      </c>
      <c r="Q144">
        <v>0</v>
      </c>
      <c r="R144">
        <v>3601.2102340000001</v>
      </c>
      <c r="S144">
        <v>3601.2102340000001</v>
      </c>
      <c r="T144">
        <v>0.48749999999999999</v>
      </c>
      <c r="U144">
        <v>0.49097222200000001</v>
      </c>
      <c r="V144">
        <v>0</v>
      </c>
      <c r="W144">
        <v>2</v>
      </c>
      <c r="X144">
        <v>35</v>
      </c>
      <c r="Y144">
        <v>81</v>
      </c>
      <c r="Z144">
        <v>22</v>
      </c>
      <c r="AA144">
        <f t="shared" si="2"/>
        <v>831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1</v>
      </c>
      <c r="AP144">
        <v>1</v>
      </c>
      <c r="AQ144">
        <v>0</v>
      </c>
      <c r="AR144">
        <v>0</v>
      </c>
      <c r="AS144">
        <v>0</v>
      </c>
      <c r="AT144">
        <v>5</v>
      </c>
      <c r="AU144">
        <v>2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</v>
      </c>
      <c r="BH144">
        <v>0</v>
      </c>
      <c r="BI144">
        <v>1</v>
      </c>
      <c r="BJ144">
        <v>0</v>
      </c>
      <c r="BK144">
        <v>0</v>
      </c>
      <c r="BL144">
        <v>0</v>
      </c>
      <c r="BM144">
        <v>1</v>
      </c>
      <c r="BN144">
        <v>0</v>
      </c>
      <c r="BO144">
        <v>0</v>
      </c>
      <c r="BP144">
        <v>2</v>
      </c>
      <c r="BQ144">
        <v>0</v>
      </c>
      <c r="BR144">
        <v>1</v>
      </c>
      <c r="BS144">
        <v>4</v>
      </c>
      <c r="BT144">
        <v>0</v>
      </c>
      <c r="BU144">
        <v>0</v>
      </c>
      <c r="BV144">
        <v>2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1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</row>
    <row r="145" spans="1:96" x14ac:dyDescent="0.3">
      <c r="A145" s="1">
        <v>45505</v>
      </c>
      <c r="B145" t="s">
        <v>261</v>
      </c>
      <c r="C145" t="s">
        <v>188</v>
      </c>
      <c r="D145" t="s">
        <v>99</v>
      </c>
      <c r="E145" t="s">
        <v>189</v>
      </c>
      <c r="F145" t="s">
        <v>101</v>
      </c>
      <c r="G145">
        <v>15055</v>
      </c>
      <c r="H145" t="s">
        <v>113</v>
      </c>
      <c r="I145" t="s">
        <v>119</v>
      </c>
      <c r="J145">
        <v>4</v>
      </c>
      <c r="K145" t="s">
        <v>120</v>
      </c>
      <c r="M145" t="s">
        <v>105</v>
      </c>
      <c r="N145">
        <v>42.8</v>
      </c>
      <c r="O145">
        <v>11.8144796</v>
      </c>
      <c r="T145" t="s">
        <v>105</v>
      </c>
      <c r="U145" t="s">
        <v>105</v>
      </c>
      <c r="V145" t="s">
        <v>105</v>
      </c>
      <c r="W145" t="s">
        <v>105</v>
      </c>
      <c r="X145" t="s">
        <v>105</v>
      </c>
      <c r="Y145" t="s">
        <v>105</v>
      </c>
      <c r="Z145">
        <v>16</v>
      </c>
      <c r="AA145">
        <f t="shared" si="2"/>
        <v>847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1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1</v>
      </c>
      <c r="AP145">
        <v>0</v>
      </c>
      <c r="AQ145">
        <v>0</v>
      </c>
      <c r="AR145">
        <v>1</v>
      </c>
      <c r="AS145">
        <v>0</v>
      </c>
      <c r="AT145">
        <v>1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1</v>
      </c>
      <c r="BP145">
        <v>8</v>
      </c>
      <c r="BQ145">
        <v>0</v>
      </c>
      <c r="BR145">
        <v>0</v>
      </c>
      <c r="BS145">
        <v>3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</row>
    <row r="146" spans="1:96" x14ac:dyDescent="0.3">
      <c r="A146" s="1">
        <v>45505</v>
      </c>
      <c r="B146" t="s">
        <v>261</v>
      </c>
      <c r="C146" t="s">
        <v>213</v>
      </c>
      <c r="D146" t="s">
        <v>99</v>
      </c>
      <c r="E146" t="s">
        <v>176</v>
      </c>
      <c r="F146" t="s">
        <v>101</v>
      </c>
      <c r="G146">
        <v>11044</v>
      </c>
      <c r="H146" t="s">
        <v>126</v>
      </c>
      <c r="I146" t="s">
        <v>119</v>
      </c>
      <c r="J146">
        <v>4</v>
      </c>
      <c r="K146" t="s">
        <v>104</v>
      </c>
      <c r="L146">
        <v>18</v>
      </c>
      <c r="M146" t="s">
        <v>105</v>
      </c>
      <c r="N146">
        <v>174.2</v>
      </c>
      <c r="O146">
        <v>4.0191999999999997</v>
      </c>
      <c r="P146">
        <v>72.345600000000005</v>
      </c>
      <c r="Q146">
        <v>0</v>
      </c>
      <c r="R146">
        <v>12602.603520000001</v>
      </c>
      <c r="S146">
        <v>12602.603520000001</v>
      </c>
      <c r="T146">
        <v>0.40972222200000002</v>
      </c>
      <c r="U146">
        <v>0.41319444399999999</v>
      </c>
      <c r="V146">
        <v>0</v>
      </c>
      <c r="W146">
        <v>2</v>
      </c>
      <c r="X146">
        <v>100</v>
      </c>
      <c r="Y146">
        <v>76</v>
      </c>
      <c r="Z146">
        <v>17</v>
      </c>
      <c r="AA146">
        <f t="shared" si="2"/>
        <v>864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</v>
      </c>
      <c r="AH146">
        <v>0</v>
      </c>
      <c r="AI146">
        <v>0</v>
      </c>
      <c r="AJ146">
        <v>0</v>
      </c>
      <c r="AK146">
        <v>3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3</v>
      </c>
      <c r="BQ146">
        <v>1</v>
      </c>
      <c r="BR146">
        <v>1</v>
      </c>
      <c r="BS146">
        <v>1</v>
      </c>
      <c r="BT146">
        <v>1</v>
      </c>
      <c r="BU146">
        <v>0</v>
      </c>
      <c r="BV146">
        <v>3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1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</row>
    <row r="147" spans="1:96" x14ac:dyDescent="0.3">
      <c r="A147" s="1">
        <v>45505</v>
      </c>
      <c r="B147" t="s">
        <v>261</v>
      </c>
      <c r="C147" t="s">
        <v>274</v>
      </c>
      <c r="D147" t="s">
        <v>99</v>
      </c>
      <c r="E147" t="s">
        <v>128</v>
      </c>
      <c r="F147" t="s">
        <v>101</v>
      </c>
      <c r="G147">
        <v>5079</v>
      </c>
      <c r="H147" t="s">
        <v>102</v>
      </c>
      <c r="I147" t="s">
        <v>129</v>
      </c>
      <c r="J147">
        <v>4</v>
      </c>
      <c r="K147" t="s">
        <v>104</v>
      </c>
      <c r="L147">
        <v>7.3333333329999997</v>
      </c>
      <c r="M147" t="s">
        <v>105</v>
      </c>
      <c r="N147">
        <v>138.69999999999999</v>
      </c>
      <c r="O147">
        <v>2.2608000000000001</v>
      </c>
      <c r="P147">
        <v>16.5792</v>
      </c>
      <c r="Q147">
        <v>0</v>
      </c>
      <c r="R147">
        <v>2299.5350400000002</v>
      </c>
      <c r="S147">
        <v>2299.5350400000002</v>
      </c>
      <c r="T147">
        <v>0.47916666699999999</v>
      </c>
      <c r="U147">
        <v>0.48263888900000002</v>
      </c>
      <c r="V147">
        <v>0</v>
      </c>
      <c r="W147">
        <v>2</v>
      </c>
      <c r="X147">
        <v>100</v>
      </c>
      <c r="Y147">
        <v>81</v>
      </c>
      <c r="Z147">
        <v>3</v>
      </c>
      <c r="AA147">
        <f t="shared" si="2"/>
        <v>867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1</v>
      </c>
      <c r="AQ147">
        <v>0</v>
      </c>
      <c r="AR147">
        <v>0</v>
      </c>
      <c r="AS147">
        <v>0</v>
      </c>
      <c r="AT147">
        <v>0</v>
      </c>
      <c r="AU147">
        <v>1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1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 t="s">
        <v>275</v>
      </c>
    </row>
    <row r="148" spans="1:96" x14ac:dyDescent="0.3">
      <c r="A148" s="1">
        <v>45505</v>
      </c>
      <c r="B148" t="s">
        <v>261</v>
      </c>
      <c r="C148" t="s">
        <v>132</v>
      </c>
      <c r="D148" t="s">
        <v>99</v>
      </c>
      <c r="E148" t="s">
        <v>133</v>
      </c>
      <c r="F148" t="s">
        <v>101</v>
      </c>
      <c r="G148">
        <v>12021</v>
      </c>
      <c r="H148" t="s">
        <v>102</v>
      </c>
      <c r="I148" t="s">
        <v>119</v>
      </c>
      <c r="J148">
        <v>4</v>
      </c>
      <c r="K148" t="s">
        <v>104</v>
      </c>
      <c r="L148">
        <v>12.33333333</v>
      </c>
      <c r="M148" t="s">
        <v>105</v>
      </c>
      <c r="N148">
        <v>97.8</v>
      </c>
      <c r="O148">
        <v>6.28</v>
      </c>
      <c r="P148">
        <v>77.453333330000007</v>
      </c>
      <c r="Q148">
        <v>0</v>
      </c>
      <c r="R148">
        <v>7574.9359999999997</v>
      </c>
      <c r="S148">
        <v>7574.9359999999997</v>
      </c>
      <c r="T148">
        <v>0.41944444400000003</v>
      </c>
      <c r="U148">
        <v>0.42291666700000002</v>
      </c>
      <c r="V148">
        <v>0</v>
      </c>
      <c r="W148">
        <v>2</v>
      </c>
      <c r="X148">
        <v>100</v>
      </c>
      <c r="Y148">
        <v>76</v>
      </c>
      <c r="Z148">
        <v>8</v>
      </c>
      <c r="AA148">
        <f t="shared" si="2"/>
        <v>875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1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1</v>
      </c>
      <c r="BQ148">
        <v>0</v>
      </c>
      <c r="BR148">
        <v>0</v>
      </c>
      <c r="BS148">
        <v>2</v>
      </c>
      <c r="BT148">
        <v>1</v>
      </c>
      <c r="BU148">
        <v>0</v>
      </c>
      <c r="BV148">
        <v>1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1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</row>
    <row r="149" spans="1:96" x14ac:dyDescent="0.3">
      <c r="A149" s="1">
        <v>45505</v>
      </c>
      <c r="B149" t="s">
        <v>261</v>
      </c>
      <c r="C149" t="s">
        <v>245</v>
      </c>
      <c r="D149" t="s">
        <v>99</v>
      </c>
      <c r="E149" t="s">
        <v>246</v>
      </c>
      <c r="F149" t="s">
        <v>101</v>
      </c>
      <c r="G149">
        <v>1006</v>
      </c>
      <c r="H149" t="s">
        <v>113</v>
      </c>
      <c r="I149" t="s">
        <v>103</v>
      </c>
      <c r="J149">
        <v>4</v>
      </c>
      <c r="K149" t="s">
        <v>120</v>
      </c>
      <c r="L149">
        <v>6.6666666670000003</v>
      </c>
      <c r="M149" t="s">
        <v>105</v>
      </c>
      <c r="N149">
        <v>41.2</v>
      </c>
      <c r="O149">
        <v>1.6981120000000001</v>
      </c>
      <c r="P149">
        <v>11.32074667</v>
      </c>
      <c r="Q149">
        <v>0</v>
      </c>
      <c r="R149">
        <v>466.41476269999998</v>
      </c>
      <c r="S149">
        <v>466.41476269999998</v>
      </c>
      <c r="T149">
        <v>0.63333333300000005</v>
      </c>
      <c r="U149">
        <v>0.63680555599999999</v>
      </c>
      <c r="V149">
        <v>0</v>
      </c>
      <c r="W149">
        <v>2</v>
      </c>
      <c r="X149">
        <v>70</v>
      </c>
      <c r="Y149">
        <v>81</v>
      </c>
      <c r="Z149">
        <v>4</v>
      </c>
      <c r="AA149">
        <f t="shared" si="2"/>
        <v>879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1</v>
      </c>
      <c r="AM149">
        <v>0</v>
      </c>
      <c r="AN149">
        <v>0</v>
      </c>
      <c r="AO149">
        <v>0</v>
      </c>
      <c r="AP149">
        <v>1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2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</row>
    <row r="150" spans="1:96" x14ac:dyDescent="0.3">
      <c r="A150" s="1">
        <v>45505</v>
      </c>
      <c r="B150" t="s">
        <v>261</v>
      </c>
      <c r="C150" t="s">
        <v>289</v>
      </c>
      <c r="E150" t="s">
        <v>243</v>
      </c>
      <c r="F150" t="s">
        <v>101</v>
      </c>
      <c r="G150">
        <v>10063</v>
      </c>
      <c r="H150" t="s">
        <v>113</v>
      </c>
      <c r="I150" t="s">
        <v>119</v>
      </c>
      <c r="J150">
        <v>4</v>
      </c>
      <c r="K150" t="s">
        <v>120</v>
      </c>
      <c r="L150">
        <v>0</v>
      </c>
      <c r="M150" t="s">
        <v>105</v>
      </c>
      <c r="N150" t="s">
        <v>105</v>
      </c>
      <c r="O150" t="e">
        <v>#VALUE!</v>
      </c>
      <c r="P150" t="e">
        <v>#VALUE!</v>
      </c>
      <c r="Q150" t="e">
        <v>#VALUE!</v>
      </c>
      <c r="R150" t="e">
        <v>#VALUE!</v>
      </c>
      <c r="S150" t="s">
        <v>105</v>
      </c>
      <c r="T150">
        <v>0.57847222200000004</v>
      </c>
      <c r="U150">
        <v>0.58194444400000001</v>
      </c>
      <c r="V150">
        <v>0</v>
      </c>
      <c r="W150">
        <v>2</v>
      </c>
      <c r="X150">
        <v>75</v>
      </c>
      <c r="Y150">
        <v>79</v>
      </c>
      <c r="Z150">
        <v>0</v>
      </c>
      <c r="AA150">
        <f t="shared" si="2"/>
        <v>879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 t="s">
        <v>290</v>
      </c>
    </row>
    <row r="151" spans="1:96" x14ac:dyDescent="0.3">
      <c r="A151" s="1">
        <v>45505</v>
      </c>
      <c r="B151" t="s">
        <v>261</v>
      </c>
      <c r="C151" t="s">
        <v>295</v>
      </c>
      <c r="E151" t="s">
        <v>296</v>
      </c>
      <c r="F151" t="s">
        <v>101</v>
      </c>
      <c r="G151">
        <v>1072</v>
      </c>
      <c r="H151" t="s">
        <v>118</v>
      </c>
      <c r="I151" t="s">
        <v>123</v>
      </c>
      <c r="J151">
        <v>4</v>
      </c>
      <c r="K151" t="s">
        <v>120</v>
      </c>
      <c r="L151">
        <v>8</v>
      </c>
      <c r="M151" t="s">
        <v>105</v>
      </c>
      <c r="N151" t="s">
        <v>105</v>
      </c>
      <c r="O151" t="e">
        <v>#VALUE!</v>
      </c>
      <c r="P151" t="e">
        <v>#VALUE!</v>
      </c>
      <c r="Q151" t="e">
        <v>#VALUE!</v>
      </c>
      <c r="R151" t="e">
        <v>#VALUE!</v>
      </c>
      <c r="S151" t="s">
        <v>105</v>
      </c>
      <c r="T151">
        <v>0.60555555599999999</v>
      </c>
      <c r="U151">
        <v>0.60902777799999996</v>
      </c>
      <c r="V151">
        <v>0</v>
      </c>
      <c r="W151">
        <v>1</v>
      </c>
      <c r="X151">
        <v>30</v>
      </c>
      <c r="Y151">
        <v>84</v>
      </c>
      <c r="Z151">
        <v>0</v>
      </c>
      <c r="AA151">
        <f t="shared" si="2"/>
        <v>879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 t="s">
        <v>297</v>
      </c>
    </row>
    <row r="152" spans="1:96" x14ac:dyDescent="0.3">
      <c r="A152" s="1">
        <v>45505</v>
      </c>
      <c r="B152" t="s">
        <v>261</v>
      </c>
      <c r="C152" t="s">
        <v>299</v>
      </c>
      <c r="E152" t="s">
        <v>150</v>
      </c>
      <c r="F152" t="s">
        <v>101</v>
      </c>
      <c r="G152">
        <v>12031</v>
      </c>
      <c r="H152" t="s">
        <v>126</v>
      </c>
      <c r="I152" t="s">
        <v>103</v>
      </c>
      <c r="J152">
        <v>4</v>
      </c>
      <c r="K152" t="s">
        <v>120</v>
      </c>
      <c r="M152">
        <v>1</v>
      </c>
      <c r="N152">
        <v>132</v>
      </c>
      <c r="O152">
        <v>0.56520000000000004</v>
      </c>
      <c r="P152">
        <v>0</v>
      </c>
      <c r="Q152">
        <v>132</v>
      </c>
      <c r="R152">
        <v>0</v>
      </c>
      <c r="S152">
        <v>132</v>
      </c>
      <c r="T152">
        <v>0.46597222199999999</v>
      </c>
      <c r="U152">
        <v>0.46944444400000002</v>
      </c>
      <c r="V152">
        <v>0</v>
      </c>
      <c r="W152">
        <v>2</v>
      </c>
      <c r="X152">
        <v>90</v>
      </c>
      <c r="Y152">
        <v>81</v>
      </c>
      <c r="Z152">
        <v>0</v>
      </c>
      <c r="AA152">
        <f t="shared" si="2"/>
        <v>879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 t="s">
        <v>250</v>
      </c>
    </row>
    <row r="153" spans="1:96" x14ac:dyDescent="0.3">
      <c r="A153" s="1">
        <v>45505</v>
      </c>
      <c r="B153" t="s">
        <v>261</v>
      </c>
      <c r="C153" t="s">
        <v>226</v>
      </c>
      <c r="E153" t="s">
        <v>227</v>
      </c>
      <c r="F153" t="s">
        <v>101</v>
      </c>
      <c r="G153">
        <v>21039</v>
      </c>
      <c r="H153" t="s">
        <v>126</v>
      </c>
      <c r="I153" t="s">
        <v>119</v>
      </c>
      <c r="J153">
        <v>4</v>
      </c>
      <c r="K153" t="s">
        <v>120</v>
      </c>
      <c r="L153">
        <v>11.66666667</v>
      </c>
      <c r="M153" t="s">
        <v>105</v>
      </c>
      <c r="N153">
        <v>17.7</v>
      </c>
      <c r="O153">
        <v>1.9609767229999999</v>
      </c>
      <c r="P153">
        <v>22.878061769999999</v>
      </c>
      <c r="Q153">
        <v>0</v>
      </c>
      <c r="R153">
        <v>404.9416933</v>
      </c>
      <c r="S153">
        <v>404.9416933</v>
      </c>
      <c r="T153">
        <v>0.404861111</v>
      </c>
      <c r="U153">
        <v>0.40833333300000002</v>
      </c>
      <c r="V153">
        <v>0</v>
      </c>
      <c r="W153">
        <v>2</v>
      </c>
      <c r="X153">
        <v>70</v>
      </c>
      <c r="Y153">
        <v>75</v>
      </c>
      <c r="Z153">
        <v>0</v>
      </c>
      <c r="AA153">
        <f t="shared" si="2"/>
        <v>879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 t="s">
        <v>300</v>
      </c>
    </row>
    <row r="154" spans="1:96" x14ac:dyDescent="0.3">
      <c r="A154" s="1">
        <v>45505</v>
      </c>
      <c r="B154" t="s">
        <v>261</v>
      </c>
      <c r="C154" t="s">
        <v>257</v>
      </c>
      <c r="E154" t="s">
        <v>185</v>
      </c>
      <c r="F154" t="s">
        <v>101</v>
      </c>
      <c r="G154" t="s">
        <v>258</v>
      </c>
      <c r="H154" t="s">
        <v>113</v>
      </c>
      <c r="I154" t="s">
        <v>103</v>
      </c>
      <c r="J154">
        <v>4</v>
      </c>
      <c r="K154" t="s">
        <v>104</v>
      </c>
      <c r="M154">
        <v>1</v>
      </c>
      <c r="N154" t="s">
        <v>105</v>
      </c>
      <c r="O154">
        <v>0</v>
      </c>
      <c r="P154">
        <v>0</v>
      </c>
      <c r="Q154" t="e">
        <v>#VALUE!</v>
      </c>
      <c r="R154" t="e">
        <v>#VALUE!</v>
      </c>
      <c r="S154" t="s">
        <v>105</v>
      </c>
      <c r="T154">
        <v>0.61180555599999997</v>
      </c>
      <c r="U154">
        <v>0.61527777800000005</v>
      </c>
      <c r="V154">
        <v>0</v>
      </c>
      <c r="W154">
        <v>1</v>
      </c>
      <c r="X154">
        <v>40</v>
      </c>
      <c r="Y154">
        <v>84</v>
      </c>
      <c r="Z154">
        <v>1</v>
      </c>
      <c r="AA154">
        <f t="shared" si="2"/>
        <v>880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1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</row>
    <row r="155" spans="1:96" x14ac:dyDescent="0.3">
      <c r="A155" s="1">
        <v>45506</v>
      </c>
      <c r="B155" t="s">
        <v>261</v>
      </c>
      <c r="C155" t="s">
        <v>147</v>
      </c>
      <c r="D155" t="s">
        <v>99</v>
      </c>
      <c r="E155" t="s">
        <v>128</v>
      </c>
      <c r="F155" t="s">
        <v>101</v>
      </c>
      <c r="G155">
        <v>14001</v>
      </c>
      <c r="H155" t="s">
        <v>102</v>
      </c>
      <c r="I155" t="s">
        <v>129</v>
      </c>
      <c r="J155">
        <v>4</v>
      </c>
      <c r="K155" t="s">
        <v>104</v>
      </c>
      <c r="L155">
        <v>6.3333333329999997</v>
      </c>
      <c r="M155" t="s">
        <v>105</v>
      </c>
      <c r="N155">
        <v>25.9</v>
      </c>
      <c r="O155">
        <v>8.2044997199999994</v>
      </c>
      <c r="P155">
        <v>51.96183156</v>
      </c>
      <c r="Q155">
        <v>0</v>
      </c>
      <c r="R155">
        <v>1345.8114370000001</v>
      </c>
      <c r="S155">
        <v>1345.8114370000001</v>
      </c>
      <c r="T155">
        <v>0.45277777800000002</v>
      </c>
      <c r="U155">
        <v>0.45624999999999999</v>
      </c>
      <c r="V155">
        <v>0</v>
      </c>
      <c r="W155">
        <v>2</v>
      </c>
      <c r="X155">
        <v>40</v>
      </c>
      <c r="Y155">
        <v>79</v>
      </c>
      <c r="Z155">
        <v>13</v>
      </c>
      <c r="AA155">
        <f t="shared" si="2"/>
        <v>893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1</v>
      </c>
      <c r="BD155">
        <v>0</v>
      </c>
      <c r="BE155">
        <v>0</v>
      </c>
      <c r="BF155">
        <v>2</v>
      </c>
      <c r="BG155">
        <v>1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2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1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1</v>
      </c>
      <c r="CF155">
        <v>1</v>
      </c>
      <c r="CG155">
        <v>0</v>
      </c>
      <c r="CH155">
        <v>0</v>
      </c>
      <c r="CI155">
        <v>3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</row>
    <row r="156" spans="1:96" x14ac:dyDescent="0.3">
      <c r="A156" s="1">
        <v>45506</v>
      </c>
      <c r="B156" t="s">
        <v>261</v>
      </c>
      <c r="C156" t="s">
        <v>180</v>
      </c>
      <c r="D156" t="s">
        <v>99</v>
      </c>
      <c r="E156" t="s">
        <v>181</v>
      </c>
      <c r="F156" t="s">
        <v>101</v>
      </c>
      <c r="G156" t="s">
        <v>182</v>
      </c>
      <c r="H156" t="s">
        <v>126</v>
      </c>
      <c r="I156" t="s">
        <v>103</v>
      </c>
      <c r="J156">
        <v>4</v>
      </c>
      <c r="K156" t="s">
        <v>120</v>
      </c>
      <c r="L156">
        <v>15</v>
      </c>
      <c r="M156" t="s">
        <v>105</v>
      </c>
      <c r="N156">
        <v>55.8</v>
      </c>
      <c r="O156">
        <v>2.3337243650000001</v>
      </c>
      <c r="P156">
        <v>35.005865470000003</v>
      </c>
      <c r="Q156">
        <v>0</v>
      </c>
      <c r="R156">
        <v>1953.3272930000001</v>
      </c>
      <c r="S156">
        <v>1953.3272930000001</v>
      </c>
      <c r="T156">
        <v>0.46319444399999998</v>
      </c>
      <c r="U156">
        <v>0.46666666699999998</v>
      </c>
      <c r="V156">
        <v>0</v>
      </c>
      <c r="W156">
        <v>2</v>
      </c>
      <c r="X156">
        <v>35</v>
      </c>
      <c r="Y156">
        <v>79</v>
      </c>
      <c r="Z156">
        <v>17</v>
      </c>
      <c r="AA156">
        <f t="shared" si="2"/>
        <v>910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1</v>
      </c>
      <c r="AQ156">
        <v>0</v>
      </c>
      <c r="AR156">
        <v>0</v>
      </c>
      <c r="AS156">
        <v>0</v>
      </c>
      <c r="AT156">
        <v>5</v>
      </c>
      <c r="AU156">
        <v>2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1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3</v>
      </c>
      <c r="BQ156">
        <v>0</v>
      </c>
      <c r="BR156">
        <v>0</v>
      </c>
      <c r="BS156">
        <v>5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</row>
    <row r="157" spans="1:96" x14ac:dyDescent="0.3">
      <c r="A157" s="1">
        <v>45506</v>
      </c>
      <c r="B157" t="s">
        <v>261</v>
      </c>
      <c r="C157" t="s">
        <v>226</v>
      </c>
      <c r="D157" t="s">
        <v>99</v>
      </c>
      <c r="E157" t="s">
        <v>227</v>
      </c>
      <c r="F157" t="s">
        <v>101</v>
      </c>
      <c r="G157">
        <v>21039</v>
      </c>
      <c r="H157" t="s">
        <v>126</v>
      </c>
      <c r="I157" t="s">
        <v>119</v>
      </c>
      <c r="J157">
        <v>4</v>
      </c>
      <c r="K157" t="s">
        <v>120</v>
      </c>
      <c r="M157" t="s">
        <v>105</v>
      </c>
      <c r="N157">
        <v>17.7</v>
      </c>
      <c r="O157">
        <v>1.9609767229999999</v>
      </c>
      <c r="T157" t="s">
        <v>105</v>
      </c>
      <c r="U157" t="s">
        <v>105</v>
      </c>
      <c r="V157" t="s">
        <v>105</v>
      </c>
      <c r="W157" t="s">
        <v>105</v>
      </c>
      <c r="X157" t="s">
        <v>105</v>
      </c>
      <c r="Y157" t="s">
        <v>105</v>
      </c>
      <c r="Z157">
        <v>2</v>
      </c>
      <c r="AA157">
        <f t="shared" si="2"/>
        <v>912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1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</row>
    <row r="158" spans="1:96" x14ac:dyDescent="0.3">
      <c r="A158" s="1">
        <v>45506</v>
      </c>
      <c r="B158" t="s">
        <v>261</v>
      </c>
      <c r="C158" t="s">
        <v>242</v>
      </c>
      <c r="D158" t="s">
        <v>99</v>
      </c>
      <c r="E158" t="s">
        <v>243</v>
      </c>
      <c r="F158" t="s">
        <v>101</v>
      </c>
      <c r="G158">
        <v>10063</v>
      </c>
      <c r="H158" t="s">
        <v>113</v>
      </c>
      <c r="I158" t="s">
        <v>119</v>
      </c>
      <c r="J158">
        <v>5</v>
      </c>
      <c r="K158" t="s">
        <v>120</v>
      </c>
      <c r="L158">
        <v>12</v>
      </c>
      <c r="M158" t="s">
        <v>105</v>
      </c>
      <c r="N158">
        <v>349.6</v>
      </c>
      <c r="O158">
        <v>18.187653950000001</v>
      </c>
      <c r="P158">
        <v>218.2518474</v>
      </c>
      <c r="Q158">
        <v>0</v>
      </c>
      <c r="R158">
        <v>76300.845839999994</v>
      </c>
      <c r="S158">
        <v>76300.845839999994</v>
      </c>
      <c r="T158">
        <v>0.47222222200000002</v>
      </c>
      <c r="U158">
        <v>0.47569444399999999</v>
      </c>
      <c r="V158">
        <v>0</v>
      </c>
      <c r="W158">
        <v>2</v>
      </c>
      <c r="X158">
        <v>35</v>
      </c>
      <c r="Y158">
        <v>79</v>
      </c>
      <c r="Z158">
        <v>8</v>
      </c>
      <c r="AA158">
        <f t="shared" si="2"/>
        <v>920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1</v>
      </c>
      <c r="AL158">
        <v>1</v>
      </c>
      <c r="AM158">
        <v>0</v>
      </c>
      <c r="AN158">
        <v>0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1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3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1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</row>
    <row r="159" spans="1:96" x14ac:dyDescent="0.3">
      <c r="A159" s="1">
        <v>45506</v>
      </c>
      <c r="B159" t="s">
        <v>261</v>
      </c>
      <c r="C159" t="s">
        <v>301</v>
      </c>
      <c r="D159" t="s">
        <v>99</v>
      </c>
      <c r="E159" t="s">
        <v>302</v>
      </c>
      <c r="F159" t="s">
        <v>101</v>
      </c>
      <c r="G159">
        <v>96102</v>
      </c>
      <c r="H159" t="s">
        <v>102</v>
      </c>
      <c r="I159" t="s">
        <v>103</v>
      </c>
      <c r="J159">
        <v>4</v>
      </c>
      <c r="K159" t="s">
        <v>104</v>
      </c>
      <c r="L159">
        <v>9</v>
      </c>
      <c r="M159" t="s">
        <v>105</v>
      </c>
      <c r="N159">
        <v>492.1</v>
      </c>
      <c r="O159">
        <v>6.8107476690000004</v>
      </c>
      <c r="P159">
        <v>61.296729020000001</v>
      </c>
      <c r="Q159">
        <v>0</v>
      </c>
      <c r="R159">
        <v>30164.120350000001</v>
      </c>
      <c r="S159">
        <v>30164.120350000001</v>
      </c>
      <c r="T159">
        <v>0.48055555599999999</v>
      </c>
      <c r="U159">
        <v>0.48402777800000002</v>
      </c>
      <c r="V159">
        <v>0</v>
      </c>
      <c r="W159">
        <v>2</v>
      </c>
      <c r="X159">
        <v>35</v>
      </c>
      <c r="Y159">
        <v>79</v>
      </c>
      <c r="Z159">
        <v>10</v>
      </c>
      <c r="AA159">
        <f t="shared" si="2"/>
        <v>930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1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</v>
      </c>
      <c r="BH159">
        <v>0</v>
      </c>
      <c r="BI159">
        <v>0</v>
      </c>
      <c r="BJ159">
        <v>0</v>
      </c>
      <c r="BK159">
        <v>1</v>
      </c>
      <c r="BL159">
        <v>0</v>
      </c>
      <c r="BM159">
        <v>0</v>
      </c>
      <c r="BN159">
        <v>0</v>
      </c>
      <c r="BO159">
        <v>0</v>
      </c>
      <c r="BP159">
        <v>1</v>
      </c>
      <c r="BQ159">
        <v>0</v>
      </c>
      <c r="BR159">
        <v>0</v>
      </c>
      <c r="BS159">
        <v>1</v>
      </c>
      <c r="BT159">
        <v>0</v>
      </c>
      <c r="BU159">
        <v>0</v>
      </c>
      <c r="BV159">
        <v>1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3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</row>
    <row r="160" spans="1:96" x14ac:dyDescent="0.3">
      <c r="A160" s="1">
        <v>45506</v>
      </c>
      <c r="B160" t="s">
        <v>261</v>
      </c>
      <c r="C160" t="s">
        <v>198</v>
      </c>
      <c r="D160" t="s">
        <v>99</v>
      </c>
      <c r="E160" t="s">
        <v>199</v>
      </c>
      <c r="F160" t="s">
        <v>108</v>
      </c>
      <c r="G160">
        <v>16027</v>
      </c>
      <c r="H160" t="s">
        <v>113</v>
      </c>
      <c r="I160" t="s">
        <v>129</v>
      </c>
      <c r="J160">
        <v>4</v>
      </c>
      <c r="K160" t="s">
        <v>114</v>
      </c>
      <c r="M160">
        <v>2</v>
      </c>
      <c r="N160">
        <v>684</v>
      </c>
      <c r="O160">
        <v>8.2044997199999994</v>
      </c>
      <c r="P160">
        <v>0</v>
      </c>
      <c r="Q160">
        <v>1368</v>
      </c>
      <c r="R160">
        <v>0</v>
      </c>
      <c r="S160">
        <v>1368</v>
      </c>
      <c r="T160">
        <v>0.43055555600000001</v>
      </c>
      <c r="U160">
        <v>0.43402777799999998</v>
      </c>
      <c r="V160">
        <v>0</v>
      </c>
      <c r="W160">
        <v>2</v>
      </c>
      <c r="X160">
        <v>70</v>
      </c>
      <c r="Y160">
        <v>75</v>
      </c>
      <c r="Z160">
        <v>2</v>
      </c>
      <c r="AA160">
        <f t="shared" si="2"/>
        <v>932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1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1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 t="s">
        <v>303</v>
      </c>
    </row>
    <row r="161" spans="1:96" x14ac:dyDescent="0.3">
      <c r="A161" s="1">
        <v>45506</v>
      </c>
      <c r="B161" t="s">
        <v>261</v>
      </c>
      <c r="C161" t="s">
        <v>156</v>
      </c>
      <c r="E161" t="s">
        <v>157</v>
      </c>
      <c r="F161" t="s">
        <v>108</v>
      </c>
      <c r="G161" t="s">
        <v>158</v>
      </c>
      <c r="H161" t="s">
        <v>102</v>
      </c>
      <c r="I161" t="s">
        <v>103</v>
      </c>
      <c r="J161">
        <v>4</v>
      </c>
      <c r="K161" t="s">
        <v>109</v>
      </c>
      <c r="M161">
        <v>1</v>
      </c>
      <c r="N161">
        <v>390.5</v>
      </c>
      <c r="O161">
        <v>3.6464443200000001</v>
      </c>
      <c r="P161">
        <v>0</v>
      </c>
      <c r="Q161">
        <v>390.5</v>
      </c>
      <c r="R161">
        <v>0</v>
      </c>
      <c r="S161">
        <v>390.5</v>
      </c>
      <c r="T161">
        <v>0.41249999999999998</v>
      </c>
      <c r="U161">
        <v>0.415972222</v>
      </c>
      <c r="V161">
        <v>0</v>
      </c>
      <c r="W161">
        <v>2</v>
      </c>
      <c r="X161">
        <v>70</v>
      </c>
      <c r="Y161">
        <v>75</v>
      </c>
      <c r="Z161">
        <v>1</v>
      </c>
      <c r="AA161">
        <f t="shared" si="2"/>
        <v>933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1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 t="s">
        <v>303</v>
      </c>
    </row>
    <row r="162" spans="1:96" x14ac:dyDescent="0.3">
      <c r="A162" s="1">
        <v>45506</v>
      </c>
      <c r="B162" t="s">
        <v>261</v>
      </c>
      <c r="C162" t="s">
        <v>190</v>
      </c>
      <c r="E162" t="s">
        <v>191</v>
      </c>
      <c r="F162" t="s">
        <v>108</v>
      </c>
      <c r="G162">
        <v>14020</v>
      </c>
      <c r="H162" t="s">
        <v>126</v>
      </c>
      <c r="I162" t="s">
        <v>103</v>
      </c>
      <c r="J162">
        <v>4</v>
      </c>
      <c r="K162" t="s">
        <v>114</v>
      </c>
      <c r="M162">
        <v>1</v>
      </c>
      <c r="N162">
        <v>371.4</v>
      </c>
      <c r="O162">
        <v>21.591001980000001</v>
      </c>
      <c r="P162">
        <v>0</v>
      </c>
      <c r="Q162">
        <v>371.4</v>
      </c>
      <c r="R162">
        <v>0</v>
      </c>
      <c r="S162">
        <v>371.4</v>
      </c>
      <c r="T162">
        <v>0.415972222</v>
      </c>
      <c r="U162">
        <v>0.41944444400000003</v>
      </c>
      <c r="V162">
        <v>0</v>
      </c>
      <c r="W162">
        <v>2</v>
      </c>
      <c r="X162">
        <v>70</v>
      </c>
      <c r="Y162">
        <v>75</v>
      </c>
      <c r="Z162">
        <v>0</v>
      </c>
      <c r="AA162">
        <f t="shared" si="2"/>
        <v>933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 t="s">
        <v>309</v>
      </c>
    </row>
    <row r="163" spans="1:96" x14ac:dyDescent="0.3">
      <c r="A163" s="1">
        <v>45506</v>
      </c>
      <c r="B163" t="s">
        <v>261</v>
      </c>
      <c r="C163" t="s">
        <v>167</v>
      </c>
      <c r="E163" t="s">
        <v>168</v>
      </c>
      <c r="F163" t="s">
        <v>108</v>
      </c>
      <c r="G163">
        <v>18022</v>
      </c>
      <c r="H163" t="s">
        <v>102</v>
      </c>
      <c r="I163" t="s">
        <v>103</v>
      </c>
      <c r="J163">
        <v>3</v>
      </c>
      <c r="K163" t="s">
        <v>109</v>
      </c>
      <c r="M163">
        <v>2</v>
      </c>
      <c r="N163">
        <v>563.42857140000001</v>
      </c>
      <c r="O163">
        <v>9.3348974590000005</v>
      </c>
      <c r="P163">
        <v>0</v>
      </c>
      <c r="Q163">
        <v>1126.857143</v>
      </c>
      <c r="R163">
        <v>0</v>
      </c>
      <c r="S163">
        <v>1126.857143</v>
      </c>
      <c r="T163">
        <v>0.42083333299999998</v>
      </c>
      <c r="U163">
        <v>0.42430555599999997</v>
      </c>
      <c r="V163">
        <v>0</v>
      </c>
      <c r="W163">
        <v>2</v>
      </c>
      <c r="X163">
        <v>70</v>
      </c>
      <c r="Y163">
        <v>75</v>
      </c>
      <c r="Z163">
        <v>2</v>
      </c>
      <c r="AA163">
        <f t="shared" si="2"/>
        <v>935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2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</row>
    <row r="164" spans="1:96" x14ac:dyDescent="0.3">
      <c r="A164" s="1">
        <v>45506</v>
      </c>
      <c r="B164" t="s">
        <v>261</v>
      </c>
      <c r="C164" t="s">
        <v>188</v>
      </c>
      <c r="E164" t="s">
        <v>189</v>
      </c>
      <c r="F164" t="s">
        <v>101</v>
      </c>
      <c r="G164">
        <v>15055</v>
      </c>
      <c r="H164" t="s">
        <v>113</v>
      </c>
      <c r="I164" t="s">
        <v>119</v>
      </c>
      <c r="J164">
        <v>4</v>
      </c>
      <c r="K164" t="s">
        <v>120</v>
      </c>
      <c r="L164">
        <v>23</v>
      </c>
      <c r="M164" t="s">
        <v>105</v>
      </c>
      <c r="N164">
        <v>42.8</v>
      </c>
      <c r="O164">
        <v>11.8144796</v>
      </c>
      <c r="P164">
        <v>271.73303069999997</v>
      </c>
      <c r="Q164">
        <v>0</v>
      </c>
      <c r="R164">
        <v>11630.173720000001</v>
      </c>
      <c r="S164">
        <v>11630.173720000001</v>
      </c>
      <c r="T164">
        <v>0.48888888899999999</v>
      </c>
      <c r="U164">
        <v>0.49236111100000002</v>
      </c>
      <c r="V164">
        <v>0</v>
      </c>
      <c r="W164">
        <v>2</v>
      </c>
      <c r="X164">
        <v>35</v>
      </c>
      <c r="Y164">
        <v>79</v>
      </c>
      <c r="Z164">
        <v>3</v>
      </c>
      <c r="AA164">
        <f t="shared" si="2"/>
        <v>938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1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1</v>
      </c>
      <c r="CH164">
        <v>0</v>
      </c>
      <c r="CI164">
        <v>1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</row>
    <row r="165" spans="1:96" x14ac:dyDescent="0.3">
      <c r="A165" s="1">
        <v>45506</v>
      </c>
      <c r="B165" t="s">
        <v>261</v>
      </c>
      <c r="C165" t="s">
        <v>174</v>
      </c>
      <c r="E165" t="s">
        <v>153</v>
      </c>
      <c r="F165" t="s">
        <v>108</v>
      </c>
      <c r="G165">
        <v>9050</v>
      </c>
      <c r="H165" t="s">
        <v>113</v>
      </c>
      <c r="I165" t="s">
        <v>103</v>
      </c>
      <c r="J165">
        <v>3</v>
      </c>
      <c r="K165" t="s">
        <v>114</v>
      </c>
      <c r="M165">
        <v>2</v>
      </c>
      <c r="N165">
        <v>557.4</v>
      </c>
      <c r="O165">
        <v>13.163664000000001</v>
      </c>
      <c r="P165">
        <v>0</v>
      </c>
      <c r="Q165">
        <v>1114.8</v>
      </c>
      <c r="R165">
        <v>0</v>
      </c>
      <c r="S165">
        <v>1114.8</v>
      </c>
      <c r="T165">
        <v>0.44236111099999997</v>
      </c>
      <c r="U165">
        <v>0.445833333</v>
      </c>
      <c r="V165">
        <v>0</v>
      </c>
      <c r="W165">
        <v>2</v>
      </c>
      <c r="X165">
        <v>70</v>
      </c>
      <c r="Y165">
        <v>75</v>
      </c>
      <c r="Z165">
        <v>0</v>
      </c>
      <c r="AA165">
        <f t="shared" si="2"/>
        <v>938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 t="s">
        <v>310</v>
      </c>
    </row>
    <row r="166" spans="1:96" x14ac:dyDescent="0.3">
      <c r="A166" s="1">
        <v>45512</v>
      </c>
      <c r="B166" t="s">
        <v>261</v>
      </c>
      <c r="C166" t="s">
        <v>137</v>
      </c>
      <c r="D166" t="s">
        <v>279</v>
      </c>
      <c r="E166" t="s">
        <v>138</v>
      </c>
      <c r="F166" t="s">
        <v>101</v>
      </c>
      <c r="G166">
        <v>14026</v>
      </c>
      <c r="H166" t="s">
        <v>113</v>
      </c>
      <c r="I166" t="s">
        <v>129</v>
      </c>
      <c r="J166">
        <v>4</v>
      </c>
      <c r="K166" t="s">
        <v>120</v>
      </c>
      <c r="L166">
        <v>2</v>
      </c>
      <c r="M166" t="s">
        <v>105</v>
      </c>
      <c r="N166">
        <v>76.5</v>
      </c>
      <c r="O166">
        <v>8.5731957570000006</v>
      </c>
      <c r="P166">
        <v>17.146391510000001</v>
      </c>
      <c r="Q166">
        <v>0</v>
      </c>
      <c r="R166">
        <v>1311.6989510000001</v>
      </c>
      <c r="S166">
        <v>1311.6989510000001</v>
      </c>
      <c r="T166">
        <v>0.60972222200000004</v>
      </c>
      <c r="U166">
        <v>0.61319444400000001</v>
      </c>
      <c r="V166">
        <v>0</v>
      </c>
      <c r="W166">
        <v>1</v>
      </c>
      <c r="X166">
        <v>100</v>
      </c>
      <c r="Y166">
        <v>73</v>
      </c>
      <c r="Z166">
        <v>3</v>
      </c>
      <c r="AA166">
        <f t="shared" si="2"/>
        <v>941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1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1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1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</row>
    <row r="167" spans="1:96" x14ac:dyDescent="0.3">
      <c r="A167" s="1">
        <v>45512</v>
      </c>
      <c r="B167" t="s">
        <v>261</v>
      </c>
      <c r="C167" t="s">
        <v>139</v>
      </c>
      <c r="D167" t="s">
        <v>279</v>
      </c>
      <c r="E167" t="s">
        <v>140</v>
      </c>
      <c r="F167" t="s">
        <v>101</v>
      </c>
      <c r="G167">
        <v>17047</v>
      </c>
      <c r="H167" t="s">
        <v>126</v>
      </c>
      <c r="I167" t="s">
        <v>119</v>
      </c>
      <c r="J167">
        <v>4</v>
      </c>
      <c r="K167" t="s">
        <v>120</v>
      </c>
      <c r="L167">
        <v>4.6666666670000003</v>
      </c>
      <c r="M167" t="s">
        <v>105</v>
      </c>
      <c r="N167">
        <v>109</v>
      </c>
      <c r="O167">
        <v>9.3348974590000005</v>
      </c>
      <c r="P167">
        <v>43.562854809999997</v>
      </c>
      <c r="Q167">
        <v>0</v>
      </c>
      <c r="R167">
        <v>4748.3511740000004</v>
      </c>
      <c r="S167">
        <v>4748.3511740000004</v>
      </c>
      <c r="T167">
        <v>0.43958333300000002</v>
      </c>
      <c r="U167">
        <v>0.44305555600000002</v>
      </c>
      <c r="V167">
        <v>0</v>
      </c>
      <c r="W167">
        <v>0</v>
      </c>
      <c r="X167">
        <v>90</v>
      </c>
      <c r="Y167">
        <v>72</v>
      </c>
      <c r="Z167">
        <v>7</v>
      </c>
      <c r="AA167">
        <f t="shared" si="2"/>
        <v>948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2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3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1</v>
      </c>
      <c r="BN167">
        <v>0</v>
      </c>
      <c r="BO167">
        <v>0</v>
      </c>
      <c r="BP167">
        <v>1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</row>
    <row r="168" spans="1:96" x14ac:dyDescent="0.3">
      <c r="A168" s="1">
        <v>45512</v>
      </c>
      <c r="B168" t="s">
        <v>261</v>
      </c>
      <c r="C168" t="s">
        <v>141</v>
      </c>
      <c r="D168" t="s">
        <v>279</v>
      </c>
      <c r="E168" t="s">
        <v>142</v>
      </c>
      <c r="F168" t="s">
        <v>101</v>
      </c>
      <c r="G168">
        <v>14010</v>
      </c>
      <c r="H168" t="s">
        <v>102</v>
      </c>
      <c r="I168" t="s">
        <v>129</v>
      </c>
      <c r="J168">
        <v>4</v>
      </c>
      <c r="K168" t="s">
        <v>104</v>
      </c>
      <c r="L168">
        <v>1</v>
      </c>
      <c r="M168" t="s">
        <v>105</v>
      </c>
      <c r="N168">
        <v>59.7</v>
      </c>
      <c r="O168">
        <v>5.5466469710000004</v>
      </c>
      <c r="P168">
        <v>5.5466469710000004</v>
      </c>
      <c r="Q168">
        <v>0</v>
      </c>
      <c r="R168">
        <v>331.13482420000003</v>
      </c>
      <c r="S168">
        <v>331.13482420000003</v>
      </c>
      <c r="T168">
        <v>0.60347222199999995</v>
      </c>
      <c r="U168">
        <v>0.60694444400000003</v>
      </c>
      <c r="V168">
        <v>0</v>
      </c>
      <c r="W168">
        <v>1</v>
      </c>
      <c r="X168">
        <v>100</v>
      </c>
      <c r="Y168">
        <v>73</v>
      </c>
      <c r="Z168">
        <v>3</v>
      </c>
      <c r="AA168">
        <f t="shared" si="2"/>
        <v>951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1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1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1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</row>
    <row r="169" spans="1:96" x14ac:dyDescent="0.3">
      <c r="A169" s="1">
        <v>45512</v>
      </c>
      <c r="B169" t="s">
        <v>261</v>
      </c>
      <c r="C169" t="s">
        <v>178</v>
      </c>
      <c r="D169" t="s">
        <v>279</v>
      </c>
      <c r="E169" t="s">
        <v>179</v>
      </c>
      <c r="F169" t="s">
        <v>101</v>
      </c>
      <c r="G169">
        <v>93021</v>
      </c>
      <c r="H169" t="s">
        <v>102</v>
      </c>
      <c r="I169" t="s">
        <v>103</v>
      </c>
      <c r="J169" t="s">
        <v>105</v>
      </c>
      <c r="K169" t="s">
        <v>104</v>
      </c>
      <c r="L169">
        <v>12.66666667</v>
      </c>
      <c r="M169" t="s">
        <v>105</v>
      </c>
      <c r="N169">
        <v>404.7</v>
      </c>
      <c r="O169">
        <v>9.3348974590000005</v>
      </c>
      <c r="P169">
        <v>118.2420345</v>
      </c>
      <c r="Q169">
        <v>0</v>
      </c>
      <c r="R169">
        <v>47852.551359999998</v>
      </c>
      <c r="S169">
        <v>47852.551359999998</v>
      </c>
      <c r="T169">
        <v>0.45069444400000003</v>
      </c>
      <c r="U169">
        <v>0.45416666700000002</v>
      </c>
      <c r="V169">
        <v>0</v>
      </c>
      <c r="W169">
        <v>2</v>
      </c>
      <c r="X169">
        <v>100</v>
      </c>
      <c r="Y169">
        <v>72</v>
      </c>
      <c r="Z169">
        <v>15</v>
      </c>
      <c r="AA169">
        <f t="shared" si="2"/>
        <v>966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1</v>
      </c>
      <c r="AL169">
        <v>1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1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4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1</v>
      </c>
      <c r="BT169">
        <v>0</v>
      </c>
      <c r="BU169">
        <v>0</v>
      </c>
      <c r="BV169">
        <v>5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1</v>
      </c>
      <c r="CG169">
        <v>0</v>
      </c>
      <c r="CH169">
        <v>0</v>
      </c>
      <c r="CI169">
        <v>1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</row>
    <row r="170" spans="1:96" x14ac:dyDescent="0.3">
      <c r="A170" s="1">
        <v>45512</v>
      </c>
      <c r="B170" t="s">
        <v>261</v>
      </c>
      <c r="C170" t="s">
        <v>160</v>
      </c>
      <c r="D170" t="s">
        <v>279</v>
      </c>
      <c r="E170" t="s">
        <v>161</v>
      </c>
      <c r="F170" t="s">
        <v>101</v>
      </c>
      <c r="G170">
        <v>13029</v>
      </c>
      <c r="H170" t="s">
        <v>118</v>
      </c>
      <c r="I170" t="s">
        <v>103</v>
      </c>
      <c r="J170">
        <v>4</v>
      </c>
      <c r="K170" t="s">
        <v>120</v>
      </c>
      <c r="L170">
        <v>1</v>
      </c>
      <c r="M170" t="s">
        <v>105</v>
      </c>
      <c r="N170">
        <v>4.5</v>
      </c>
      <c r="O170">
        <v>5.8505173309999998</v>
      </c>
      <c r="P170">
        <v>5.8505173309999998</v>
      </c>
      <c r="Q170">
        <v>0</v>
      </c>
      <c r="R170">
        <v>26.327327990000001</v>
      </c>
      <c r="S170">
        <v>26.327327990000001</v>
      </c>
      <c r="T170">
        <v>0.54513888899999996</v>
      </c>
      <c r="U170">
        <v>0.63194444400000005</v>
      </c>
      <c r="V170">
        <v>0</v>
      </c>
      <c r="W170">
        <v>1</v>
      </c>
      <c r="X170">
        <v>90</v>
      </c>
      <c r="Y170">
        <v>73</v>
      </c>
      <c r="Z170">
        <v>0</v>
      </c>
      <c r="AA170">
        <f t="shared" si="2"/>
        <v>966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</row>
    <row r="171" spans="1:96" x14ac:dyDescent="0.3">
      <c r="A171" s="1">
        <v>45512</v>
      </c>
      <c r="B171" t="s">
        <v>261</v>
      </c>
      <c r="C171" t="s">
        <v>164</v>
      </c>
      <c r="D171" t="s">
        <v>279</v>
      </c>
      <c r="E171" t="s">
        <v>165</v>
      </c>
      <c r="F171" t="s">
        <v>101</v>
      </c>
      <c r="G171">
        <v>1004</v>
      </c>
      <c r="H171" t="s">
        <v>113</v>
      </c>
      <c r="I171" t="s">
        <v>103</v>
      </c>
      <c r="J171">
        <v>4</v>
      </c>
      <c r="K171" t="s">
        <v>120</v>
      </c>
      <c r="L171">
        <v>9</v>
      </c>
      <c r="M171" t="s">
        <v>105</v>
      </c>
      <c r="N171">
        <v>98.3</v>
      </c>
      <c r="O171">
        <v>21.003519279999999</v>
      </c>
      <c r="P171">
        <v>189.03167350000001</v>
      </c>
      <c r="Q171">
        <v>0</v>
      </c>
      <c r="R171">
        <v>18581.81351</v>
      </c>
      <c r="S171">
        <v>18581.81351</v>
      </c>
      <c r="T171">
        <v>0.46250000000000002</v>
      </c>
      <c r="U171">
        <v>0.46597222199999999</v>
      </c>
      <c r="V171">
        <v>0</v>
      </c>
      <c r="W171">
        <v>1</v>
      </c>
      <c r="X171">
        <v>100</v>
      </c>
      <c r="Y171">
        <v>72</v>
      </c>
      <c r="Z171">
        <v>17</v>
      </c>
      <c r="AA171">
        <f t="shared" si="2"/>
        <v>983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</v>
      </c>
      <c r="AH171">
        <v>0</v>
      </c>
      <c r="AI171">
        <v>0</v>
      </c>
      <c r="AJ171">
        <v>0</v>
      </c>
      <c r="AK171">
        <v>1</v>
      </c>
      <c r="AL171">
        <v>0</v>
      </c>
      <c r="AM171">
        <v>0</v>
      </c>
      <c r="AN171">
        <v>0</v>
      </c>
      <c r="AO171">
        <v>0</v>
      </c>
      <c r="AP171">
        <v>1</v>
      </c>
      <c r="AQ171">
        <v>0</v>
      </c>
      <c r="AR171">
        <v>0</v>
      </c>
      <c r="AS171">
        <v>0</v>
      </c>
      <c r="AT171">
        <v>2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4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1</v>
      </c>
      <c r="BP171">
        <v>0</v>
      </c>
      <c r="BQ171">
        <v>0</v>
      </c>
      <c r="BR171">
        <v>0</v>
      </c>
      <c r="BS171">
        <v>2</v>
      </c>
      <c r="BT171">
        <v>0</v>
      </c>
      <c r="BU171">
        <v>0</v>
      </c>
      <c r="BV171">
        <v>1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4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</row>
    <row r="172" spans="1:96" x14ac:dyDescent="0.3">
      <c r="A172" s="1">
        <v>45512</v>
      </c>
      <c r="B172" t="s">
        <v>261</v>
      </c>
      <c r="C172" t="s">
        <v>143</v>
      </c>
      <c r="D172" t="s">
        <v>279</v>
      </c>
      <c r="E172" t="s">
        <v>138</v>
      </c>
      <c r="F172" t="s">
        <v>101</v>
      </c>
      <c r="G172" t="s">
        <v>144</v>
      </c>
      <c r="H172" t="s">
        <v>118</v>
      </c>
      <c r="I172" t="s">
        <v>129</v>
      </c>
      <c r="J172" t="s">
        <v>105</v>
      </c>
      <c r="K172" t="s">
        <v>120</v>
      </c>
      <c r="L172">
        <v>3.3333333330000001</v>
      </c>
      <c r="M172" t="s">
        <v>105</v>
      </c>
      <c r="N172">
        <v>71.400000000000006</v>
      </c>
      <c r="O172">
        <v>8.9499950029999997</v>
      </c>
      <c r="P172">
        <v>29.833316679999999</v>
      </c>
      <c r="Q172">
        <v>0</v>
      </c>
      <c r="R172">
        <v>2130.0988109999998</v>
      </c>
      <c r="S172">
        <v>2130.0988109999998</v>
      </c>
      <c r="T172">
        <v>0.59583333299999997</v>
      </c>
      <c r="U172">
        <v>0.59930555600000002</v>
      </c>
      <c r="V172">
        <v>0</v>
      </c>
      <c r="W172">
        <v>1</v>
      </c>
      <c r="X172">
        <v>100</v>
      </c>
      <c r="Y172">
        <v>74</v>
      </c>
      <c r="Z172">
        <v>9</v>
      </c>
      <c r="AA172">
        <f t="shared" si="2"/>
        <v>992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3</v>
      </c>
      <c r="AP172">
        <v>0</v>
      </c>
      <c r="AQ172">
        <v>0</v>
      </c>
      <c r="AR172">
        <v>2</v>
      </c>
      <c r="AS172">
        <v>0</v>
      </c>
      <c r="AT172">
        <v>0</v>
      </c>
      <c r="AU172">
        <v>1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1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1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1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</row>
    <row r="173" spans="1:96" x14ac:dyDescent="0.3">
      <c r="A173" s="1">
        <v>45512</v>
      </c>
      <c r="B173" t="s">
        <v>261</v>
      </c>
      <c r="C173" t="s">
        <v>308</v>
      </c>
      <c r="D173" t="s">
        <v>279</v>
      </c>
      <c r="E173" t="s">
        <v>225</v>
      </c>
      <c r="F173" t="s">
        <v>101</v>
      </c>
      <c r="G173">
        <v>98053</v>
      </c>
      <c r="H173" t="s">
        <v>126</v>
      </c>
      <c r="I173" t="s">
        <v>129</v>
      </c>
      <c r="J173">
        <v>4</v>
      </c>
      <c r="K173" t="s">
        <v>120</v>
      </c>
      <c r="L173">
        <v>5.3333333329999997</v>
      </c>
      <c r="M173" t="s">
        <v>105</v>
      </c>
      <c r="N173">
        <v>232.8</v>
      </c>
      <c r="O173">
        <v>13.163664000000001</v>
      </c>
      <c r="P173">
        <v>70.206207969999994</v>
      </c>
      <c r="Q173">
        <v>0</v>
      </c>
      <c r="R173">
        <v>16344.005219999999</v>
      </c>
      <c r="S173">
        <v>16344.005219999999</v>
      </c>
      <c r="T173">
        <v>0.47152777800000001</v>
      </c>
      <c r="U173">
        <v>0.47499999999999998</v>
      </c>
      <c r="V173">
        <v>0</v>
      </c>
      <c r="W173">
        <v>2</v>
      </c>
      <c r="X173">
        <v>100</v>
      </c>
      <c r="Y173">
        <v>72</v>
      </c>
      <c r="Z173">
        <v>20</v>
      </c>
      <c r="AA173">
        <f t="shared" si="2"/>
        <v>1012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2</v>
      </c>
      <c r="AM173">
        <v>0</v>
      </c>
      <c r="AN173">
        <v>0</v>
      </c>
      <c r="AO173">
        <v>0</v>
      </c>
      <c r="AP173">
        <v>2</v>
      </c>
      <c r="AQ173">
        <v>0</v>
      </c>
      <c r="AR173">
        <v>1</v>
      </c>
      <c r="AS173">
        <v>0</v>
      </c>
      <c r="AT173">
        <v>3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8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1</v>
      </c>
      <c r="BP173">
        <v>0</v>
      </c>
      <c r="BQ173">
        <v>1</v>
      </c>
      <c r="BR173">
        <v>0</v>
      </c>
      <c r="BS173">
        <v>0</v>
      </c>
      <c r="BT173">
        <v>0</v>
      </c>
      <c r="BU173">
        <v>0</v>
      </c>
      <c r="BV173">
        <v>1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1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</row>
    <row r="174" spans="1:96" x14ac:dyDescent="0.3">
      <c r="A174" s="1">
        <v>45512</v>
      </c>
      <c r="B174" t="s">
        <v>261</v>
      </c>
      <c r="C174" t="s">
        <v>145</v>
      </c>
      <c r="D174" t="s">
        <v>279</v>
      </c>
      <c r="E174" t="s">
        <v>138</v>
      </c>
      <c r="F174" t="s">
        <v>101</v>
      </c>
      <c r="G174" t="s">
        <v>146</v>
      </c>
      <c r="H174" t="s">
        <v>113</v>
      </c>
      <c r="I174" t="s">
        <v>129</v>
      </c>
      <c r="J174">
        <v>4</v>
      </c>
      <c r="K174" t="s">
        <v>120</v>
      </c>
      <c r="L174">
        <v>4.6666666670000003</v>
      </c>
      <c r="M174" t="s">
        <v>105</v>
      </c>
      <c r="N174">
        <v>94.3</v>
      </c>
      <c r="O174">
        <v>8.5731957570000006</v>
      </c>
      <c r="P174">
        <v>40.008246870000001</v>
      </c>
      <c r="Q174">
        <v>0</v>
      </c>
      <c r="R174">
        <v>3772.7776789999998</v>
      </c>
      <c r="S174">
        <v>3772.7776789999998</v>
      </c>
      <c r="T174">
        <v>0.58958333299999999</v>
      </c>
      <c r="U174">
        <v>0.59305555600000004</v>
      </c>
      <c r="V174">
        <v>0</v>
      </c>
      <c r="W174">
        <v>1</v>
      </c>
      <c r="X174">
        <v>100</v>
      </c>
      <c r="Y174">
        <v>73</v>
      </c>
      <c r="Z174">
        <v>8</v>
      </c>
      <c r="AA174">
        <f t="shared" si="2"/>
        <v>1020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1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1</v>
      </c>
      <c r="AQ174">
        <v>0</v>
      </c>
      <c r="AR174">
        <v>0</v>
      </c>
      <c r="AS174">
        <v>0</v>
      </c>
      <c r="AT174">
        <v>2</v>
      </c>
      <c r="AU174">
        <v>1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1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</row>
    <row r="175" spans="1:96" x14ac:dyDescent="0.3">
      <c r="A175" s="1">
        <v>45512</v>
      </c>
      <c r="B175" t="s">
        <v>261</v>
      </c>
      <c r="C175" t="s">
        <v>110</v>
      </c>
      <c r="E175" t="s">
        <v>111</v>
      </c>
      <c r="F175" t="s">
        <v>108</v>
      </c>
      <c r="G175" t="s">
        <v>112</v>
      </c>
      <c r="H175" t="s">
        <v>113</v>
      </c>
      <c r="I175" t="s">
        <v>103</v>
      </c>
      <c r="J175">
        <v>4</v>
      </c>
      <c r="K175" t="s">
        <v>114</v>
      </c>
      <c r="M175">
        <v>1</v>
      </c>
      <c r="N175">
        <v>388.8</v>
      </c>
      <c r="O175">
        <v>8.3053000000000008</v>
      </c>
      <c r="P175">
        <v>0</v>
      </c>
      <c r="Q175">
        <v>388.8</v>
      </c>
      <c r="R175">
        <v>0</v>
      </c>
      <c r="S175">
        <v>388.8</v>
      </c>
      <c r="T175">
        <v>0.44374999999999998</v>
      </c>
      <c r="U175">
        <v>0.447222222</v>
      </c>
      <c r="V175">
        <v>0</v>
      </c>
      <c r="W175">
        <v>2</v>
      </c>
      <c r="X175">
        <v>100</v>
      </c>
      <c r="Y175">
        <v>60</v>
      </c>
      <c r="Z175">
        <v>0</v>
      </c>
      <c r="AA175">
        <f t="shared" si="2"/>
        <v>1020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 t="s">
        <v>311</v>
      </c>
    </row>
    <row r="176" spans="1:96" x14ac:dyDescent="0.3">
      <c r="A176" s="1">
        <v>45512</v>
      </c>
      <c r="B176" t="s">
        <v>261</v>
      </c>
      <c r="C176" t="s">
        <v>175</v>
      </c>
      <c r="D176" t="s">
        <v>279</v>
      </c>
      <c r="E176" t="s">
        <v>176</v>
      </c>
      <c r="F176" t="s">
        <v>101</v>
      </c>
      <c r="G176">
        <v>11044</v>
      </c>
      <c r="H176" t="s">
        <v>126</v>
      </c>
      <c r="I176" t="s">
        <v>119</v>
      </c>
      <c r="J176">
        <v>4</v>
      </c>
      <c r="K176" t="s">
        <v>104</v>
      </c>
      <c r="L176">
        <v>7</v>
      </c>
      <c r="M176" t="s">
        <v>105</v>
      </c>
      <c r="N176">
        <v>88.6</v>
      </c>
      <c r="O176">
        <v>4.4121976270000003</v>
      </c>
      <c r="P176">
        <v>30.885383390000001</v>
      </c>
      <c r="Q176">
        <v>0</v>
      </c>
      <c r="R176">
        <v>2736.4449679999998</v>
      </c>
      <c r="S176">
        <v>2736.4449679999998</v>
      </c>
      <c r="T176">
        <v>0.48888888899999999</v>
      </c>
      <c r="U176">
        <v>0.49236111100000002</v>
      </c>
      <c r="V176">
        <v>0</v>
      </c>
      <c r="W176">
        <v>1</v>
      </c>
      <c r="X176">
        <v>100</v>
      </c>
      <c r="Y176">
        <v>73</v>
      </c>
      <c r="Z176">
        <v>8</v>
      </c>
      <c r="AA176">
        <f t="shared" si="2"/>
        <v>1028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2</v>
      </c>
      <c r="AP176">
        <v>1</v>
      </c>
      <c r="AQ176">
        <v>0</v>
      </c>
      <c r="AR176">
        <v>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3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1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</row>
    <row r="177" spans="1:96" x14ac:dyDescent="0.3">
      <c r="A177" s="1">
        <v>45512</v>
      </c>
      <c r="B177" t="s">
        <v>261</v>
      </c>
      <c r="C177" t="s">
        <v>285</v>
      </c>
      <c r="D177" t="s">
        <v>279</v>
      </c>
      <c r="E177" t="s">
        <v>286</v>
      </c>
      <c r="F177" t="s">
        <v>101</v>
      </c>
      <c r="G177">
        <v>95054</v>
      </c>
      <c r="H177" t="s">
        <v>102</v>
      </c>
      <c r="I177" t="s">
        <v>123</v>
      </c>
      <c r="J177">
        <v>4</v>
      </c>
      <c r="K177" t="s">
        <v>104</v>
      </c>
      <c r="L177">
        <v>5.6666666670000003</v>
      </c>
      <c r="M177" t="s">
        <v>105</v>
      </c>
      <c r="N177">
        <v>109.8</v>
      </c>
      <c r="O177">
        <v>16.595373259999999</v>
      </c>
      <c r="P177">
        <v>94.040448479999995</v>
      </c>
      <c r="Q177">
        <v>0</v>
      </c>
      <c r="R177">
        <v>10325.641240000001</v>
      </c>
      <c r="S177">
        <v>10325.641240000001</v>
      </c>
      <c r="T177">
        <v>0.54722222200000004</v>
      </c>
      <c r="U177">
        <v>0.55069444400000001</v>
      </c>
      <c r="V177">
        <v>0</v>
      </c>
      <c r="W177">
        <v>2</v>
      </c>
      <c r="X177">
        <v>100</v>
      </c>
      <c r="Y177">
        <v>73</v>
      </c>
      <c r="Z177">
        <v>13</v>
      </c>
      <c r="AA177">
        <f t="shared" si="2"/>
        <v>1041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3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1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5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1</v>
      </c>
      <c r="CI177">
        <v>2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1</v>
      </c>
      <c r="CQ177">
        <v>0</v>
      </c>
    </row>
    <row r="178" spans="1:96" x14ac:dyDescent="0.3">
      <c r="A178" s="1">
        <v>45512</v>
      </c>
      <c r="B178" t="s">
        <v>261</v>
      </c>
      <c r="C178" t="s">
        <v>288</v>
      </c>
      <c r="D178" t="s">
        <v>279</v>
      </c>
      <c r="E178" t="s">
        <v>208</v>
      </c>
      <c r="F178" t="s">
        <v>101</v>
      </c>
      <c r="G178">
        <v>1005</v>
      </c>
      <c r="H178" t="s">
        <v>113</v>
      </c>
      <c r="I178" t="s">
        <v>119</v>
      </c>
      <c r="J178">
        <v>4</v>
      </c>
      <c r="K178" t="s">
        <v>120</v>
      </c>
      <c r="L178">
        <v>6.6666666670000003</v>
      </c>
      <c r="M178" t="s">
        <v>105</v>
      </c>
      <c r="N178">
        <v>91.7</v>
      </c>
      <c r="O178">
        <v>8.2044997199999994</v>
      </c>
      <c r="P178">
        <v>54.696664800000001</v>
      </c>
      <c r="Q178">
        <v>0</v>
      </c>
      <c r="R178">
        <v>5015.6841619999996</v>
      </c>
      <c r="S178">
        <v>5015.6841619999996</v>
      </c>
      <c r="T178">
        <v>0.55625000000000002</v>
      </c>
      <c r="U178">
        <v>0.55972222199999999</v>
      </c>
      <c r="V178">
        <v>0</v>
      </c>
      <c r="W178">
        <v>1</v>
      </c>
      <c r="X178">
        <v>100</v>
      </c>
      <c r="Y178">
        <v>73</v>
      </c>
      <c r="Z178">
        <v>10</v>
      </c>
      <c r="AA178">
        <f t="shared" si="2"/>
        <v>1051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3</v>
      </c>
      <c r="AU178">
        <v>2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1</v>
      </c>
      <c r="BP178">
        <v>0</v>
      </c>
      <c r="BQ178">
        <v>0</v>
      </c>
      <c r="BR178">
        <v>0</v>
      </c>
      <c r="BS178">
        <v>1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1</v>
      </c>
      <c r="CQ178">
        <v>0</v>
      </c>
    </row>
    <row r="179" spans="1:96" x14ac:dyDescent="0.3">
      <c r="A179" s="1">
        <v>45512</v>
      </c>
      <c r="B179" t="s">
        <v>261</v>
      </c>
      <c r="C179" t="s">
        <v>149</v>
      </c>
      <c r="D179" t="s">
        <v>279</v>
      </c>
      <c r="E179" t="s">
        <v>150</v>
      </c>
      <c r="F179" t="s">
        <v>101</v>
      </c>
      <c r="G179" t="s">
        <v>151</v>
      </c>
      <c r="H179" t="s">
        <v>126</v>
      </c>
      <c r="I179" t="s">
        <v>103</v>
      </c>
      <c r="J179">
        <v>4</v>
      </c>
      <c r="K179" t="s">
        <v>120</v>
      </c>
      <c r="L179">
        <v>11.33333333</v>
      </c>
      <c r="M179" t="s">
        <v>105</v>
      </c>
      <c r="N179">
        <v>72.099999999999994</v>
      </c>
      <c r="O179">
        <v>6.162490901</v>
      </c>
      <c r="P179">
        <v>69.841563539999996</v>
      </c>
      <c r="Q179">
        <v>0</v>
      </c>
      <c r="R179">
        <v>5035.5767310000001</v>
      </c>
      <c r="S179">
        <v>5035.5767310000001</v>
      </c>
      <c r="T179">
        <v>0.563888889</v>
      </c>
      <c r="U179">
        <v>0.56736111099999997</v>
      </c>
      <c r="V179">
        <v>0</v>
      </c>
      <c r="W179">
        <v>2</v>
      </c>
      <c r="X179">
        <v>100</v>
      </c>
      <c r="Y179">
        <v>73</v>
      </c>
      <c r="Z179">
        <v>11</v>
      </c>
      <c r="AA179">
        <f t="shared" si="2"/>
        <v>1062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1</v>
      </c>
      <c r="AS179">
        <v>0</v>
      </c>
      <c r="AT179">
        <v>0</v>
      </c>
      <c r="AU179">
        <v>5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1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1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2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1</v>
      </c>
      <c r="CQ179">
        <v>0</v>
      </c>
      <c r="CR179" t="s">
        <v>312</v>
      </c>
    </row>
    <row r="180" spans="1:96" x14ac:dyDescent="0.3">
      <c r="A180" s="1">
        <v>45512</v>
      </c>
      <c r="B180" t="s">
        <v>261</v>
      </c>
      <c r="C180" t="s">
        <v>280</v>
      </c>
      <c r="D180" t="s">
        <v>279</v>
      </c>
      <c r="E180" t="s">
        <v>281</v>
      </c>
      <c r="F180" t="s">
        <v>101</v>
      </c>
      <c r="G180" t="s">
        <v>282</v>
      </c>
      <c r="H180" t="s">
        <v>102</v>
      </c>
      <c r="I180" t="s">
        <v>103</v>
      </c>
      <c r="J180">
        <v>4</v>
      </c>
      <c r="K180" t="s">
        <v>104</v>
      </c>
      <c r="L180">
        <v>3.6666666669999999</v>
      </c>
      <c r="M180" t="s">
        <v>105</v>
      </c>
      <c r="N180">
        <v>243</v>
      </c>
      <c r="O180">
        <v>3.1764581629999999</v>
      </c>
      <c r="P180">
        <v>11.64701327</v>
      </c>
      <c r="Q180">
        <v>0</v>
      </c>
      <c r="R180">
        <v>2830.2242230000002</v>
      </c>
      <c r="S180">
        <v>2830.2242230000002</v>
      </c>
      <c r="T180">
        <v>0.33611111100000002</v>
      </c>
      <c r="U180">
        <v>0.33958333299999999</v>
      </c>
      <c r="V180">
        <v>0</v>
      </c>
      <c r="W180">
        <v>1</v>
      </c>
      <c r="X180">
        <v>15</v>
      </c>
      <c r="Y180">
        <v>66</v>
      </c>
      <c r="Z180">
        <v>2</v>
      </c>
      <c r="AA180">
        <f t="shared" si="2"/>
        <v>1064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1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1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</row>
    <row r="181" spans="1:96" x14ac:dyDescent="0.3">
      <c r="A181" s="1">
        <v>45512</v>
      </c>
      <c r="B181" t="s">
        <v>261</v>
      </c>
      <c r="C181" t="s">
        <v>291</v>
      </c>
      <c r="D181" t="s">
        <v>279</v>
      </c>
      <c r="E181" t="s">
        <v>122</v>
      </c>
      <c r="F181" t="s">
        <v>101</v>
      </c>
      <c r="G181" t="s">
        <v>292</v>
      </c>
      <c r="H181" t="s">
        <v>118</v>
      </c>
      <c r="I181" t="s">
        <v>123</v>
      </c>
      <c r="J181">
        <v>5</v>
      </c>
      <c r="K181" t="s">
        <v>120</v>
      </c>
      <c r="L181">
        <v>8</v>
      </c>
      <c r="M181" t="s">
        <v>105</v>
      </c>
      <c r="N181">
        <v>76.900000000000006</v>
      </c>
      <c r="O181">
        <v>2.5322529999999999</v>
      </c>
      <c r="P181">
        <v>20.258023999999999</v>
      </c>
      <c r="Q181">
        <v>0</v>
      </c>
      <c r="R181">
        <v>1557.842046</v>
      </c>
      <c r="S181">
        <v>1557.842046</v>
      </c>
      <c r="T181">
        <v>0.56527777800000001</v>
      </c>
      <c r="U181">
        <v>0.48541666700000002</v>
      </c>
      <c r="V181">
        <v>0</v>
      </c>
      <c r="W181">
        <v>2</v>
      </c>
      <c r="X181">
        <v>100</v>
      </c>
      <c r="Y181">
        <v>74</v>
      </c>
      <c r="Z181">
        <v>6</v>
      </c>
      <c r="AA181">
        <f t="shared" si="2"/>
        <v>1070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1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1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1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2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 t="s">
        <v>313</v>
      </c>
    </row>
    <row r="182" spans="1:96" x14ac:dyDescent="0.3">
      <c r="A182" s="1">
        <v>45512</v>
      </c>
      <c r="B182" t="s">
        <v>261</v>
      </c>
      <c r="C182" t="s">
        <v>154</v>
      </c>
      <c r="D182" t="s">
        <v>99</v>
      </c>
      <c r="E182" t="s">
        <v>155</v>
      </c>
      <c r="F182" t="s">
        <v>101</v>
      </c>
      <c r="G182">
        <v>14022</v>
      </c>
      <c r="H182" t="s">
        <v>126</v>
      </c>
      <c r="I182" t="s">
        <v>119</v>
      </c>
      <c r="J182">
        <v>4</v>
      </c>
      <c r="K182" t="s">
        <v>120</v>
      </c>
      <c r="L182">
        <v>10</v>
      </c>
      <c r="M182" t="s">
        <v>105</v>
      </c>
      <c r="N182">
        <v>47.1</v>
      </c>
      <c r="O182">
        <v>5.5466469710000004</v>
      </c>
      <c r="P182">
        <v>55.466469709999998</v>
      </c>
      <c r="Q182">
        <v>0</v>
      </c>
      <c r="R182">
        <v>2612.4707229999999</v>
      </c>
      <c r="S182">
        <v>2612.4707229999999</v>
      </c>
      <c r="T182">
        <v>0.65347222199999999</v>
      </c>
      <c r="U182">
        <v>0.65694444399999996</v>
      </c>
      <c r="V182">
        <v>0</v>
      </c>
      <c r="W182">
        <v>2</v>
      </c>
      <c r="X182">
        <v>95</v>
      </c>
      <c r="Y182">
        <v>77</v>
      </c>
      <c r="Z182">
        <v>10</v>
      </c>
      <c r="AA182">
        <f t="shared" si="2"/>
        <v>1080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1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4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3</v>
      </c>
      <c r="BT182">
        <v>0</v>
      </c>
      <c r="BU182">
        <v>0</v>
      </c>
      <c r="BV182">
        <v>1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1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1:96" x14ac:dyDescent="0.3">
      <c r="A183" s="1">
        <v>45512</v>
      </c>
      <c r="B183" t="s">
        <v>261</v>
      </c>
      <c r="C183" t="s">
        <v>283</v>
      </c>
      <c r="D183" t="s">
        <v>279</v>
      </c>
      <c r="E183" t="s">
        <v>271</v>
      </c>
      <c r="F183" t="s">
        <v>101</v>
      </c>
      <c r="G183">
        <v>10040</v>
      </c>
      <c r="H183" t="s">
        <v>118</v>
      </c>
      <c r="I183" t="s">
        <v>123</v>
      </c>
      <c r="J183">
        <v>4</v>
      </c>
      <c r="K183" t="s">
        <v>120</v>
      </c>
      <c r="M183">
        <v>6</v>
      </c>
      <c r="N183">
        <v>29.33333</v>
      </c>
      <c r="O183">
        <v>0.58343109100000001</v>
      </c>
      <c r="P183">
        <v>0</v>
      </c>
      <c r="Q183">
        <v>175.99997999999999</v>
      </c>
      <c r="R183">
        <v>0</v>
      </c>
      <c r="S183">
        <v>175.99997999999999</v>
      </c>
      <c r="T183">
        <v>0.58055555599999997</v>
      </c>
      <c r="U183">
        <v>0.58402777800000005</v>
      </c>
      <c r="V183">
        <v>0</v>
      </c>
      <c r="W183">
        <v>2</v>
      </c>
      <c r="X183">
        <v>100</v>
      </c>
      <c r="Y183">
        <v>73</v>
      </c>
      <c r="Z183">
        <v>3</v>
      </c>
      <c r="AA183">
        <f t="shared" si="2"/>
        <v>1083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1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1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1:96" x14ac:dyDescent="0.3">
      <c r="A184" s="1">
        <v>45512</v>
      </c>
      <c r="B184" t="s">
        <v>261</v>
      </c>
      <c r="C184" t="s">
        <v>242</v>
      </c>
      <c r="D184" t="s">
        <v>279</v>
      </c>
      <c r="E184" t="s">
        <v>243</v>
      </c>
      <c r="F184" t="s">
        <v>101</v>
      </c>
      <c r="G184">
        <v>10063</v>
      </c>
      <c r="H184" t="s">
        <v>113</v>
      </c>
      <c r="I184" t="s">
        <v>119</v>
      </c>
      <c r="J184">
        <v>5</v>
      </c>
      <c r="K184" t="s">
        <v>120</v>
      </c>
      <c r="L184">
        <v>3</v>
      </c>
      <c r="M184" t="s">
        <v>105</v>
      </c>
      <c r="N184">
        <v>349.6</v>
      </c>
      <c r="O184">
        <v>18.187653950000001</v>
      </c>
      <c r="P184">
        <v>54.56296184</v>
      </c>
      <c r="Q184">
        <v>0</v>
      </c>
      <c r="R184">
        <v>19075.211459999999</v>
      </c>
      <c r="S184">
        <v>19075.211459999999</v>
      </c>
      <c r="T184">
        <v>0.35694444400000003</v>
      </c>
      <c r="U184">
        <v>0.36041666700000002</v>
      </c>
      <c r="V184">
        <v>0</v>
      </c>
      <c r="W184">
        <v>1</v>
      </c>
      <c r="X184">
        <v>85</v>
      </c>
      <c r="Y184">
        <v>67</v>
      </c>
      <c r="Z184">
        <v>7</v>
      </c>
      <c r="AA184">
        <f t="shared" si="2"/>
        <v>1090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0</v>
      </c>
      <c r="AP184">
        <v>1</v>
      </c>
      <c r="AQ184">
        <v>0</v>
      </c>
      <c r="AR184">
        <v>2</v>
      </c>
      <c r="AS184">
        <v>0</v>
      </c>
      <c r="AT184">
        <v>1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1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1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1:96" x14ac:dyDescent="0.3">
      <c r="A185" s="1">
        <v>45512</v>
      </c>
      <c r="B185" t="s">
        <v>261</v>
      </c>
      <c r="C185" t="s">
        <v>162</v>
      </c>
      <c r="D185" t="s">
        <v>99</v>
      </c>
      <c r="E185" t="s">
        <v>163</v>
      </c>
      <c r="F185" t="s">
        <v>101</v>
      </c>
      <c r="G185">
        <v>4054</v>
      </c>
      <c r="H185" t="s">
        <v>118</v>
      </c>
      <c r="I185" t="s">
        <v>103</v>
      </c>
      <c r="J185">
        <v>4</v>
      </c>
      <c r="K185" t="s">
        <v>120</v>
      </c>
      <c r="L185">
        <v>7.3333333329999997</v>
      </c>
      <c r="M185" t="s">
        <v>105</v>
      </c>
      <c r="N185">
        <v>50</v>
      </c>
      <c r="O185">
        <v>9.7279031249999992</v>
      </c>
      <c r="P185">
        <v>71.337956250000005</v>
      </c>
      <c r="Q185">
        <v>0</v>
      </c>
      <c r="R185">
        <v>3566.8978120000002</v>
      </c>
      <c r="S185">
        <v>3566.8978120000002</v>
      </c>
      <c r="T185">
        <v>0.68194444399999998</v>
      </c>
      <c r="U185">
        <v>0.68541666700000003</v>
      </c>
      <c r="V185">
        <v>0</v>
      </c>
      <c r="W185">
        <v>2</v>
      </c>
      <c r="X185">
        <v>95</v>
      </c>
      <c r="Y185">
        <v>76</v>
      </c>
      <c r="Z185">
        <v>3</v>
      </c>
      <c r="AA185">
        <f t="shared" si="2"/>
        <v>1093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1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1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1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6" spans="1:96" x14ac:dyDescent="0.3">
      <c r="A186" s="1">
        <v>45512</v>
      </c>
      <c r="B186" t="s">
        <v>261</v>
      </c>
      <c r="C186" t="s">
        <v>259</v>
      </c>
      <c r="D186" t="s">
        <v>279</v>
      </c>
      <c r="E186" t="s">
        <v>260</v>
      </c>
      <c r="F186" t="s">
        <v>101</v>
      </c>
      <c r="G186">
        <v>12020</v>
      </c>
      <c r="H186" t="s">
        <v>102</v>
      </c>
      <c r="I186" t="s">
        <v>103</v>
      </c>
      <c r="J186">
        <v>4</v>
      </c>
      <c r="K186" t="s">
        <v>104</v>
      </c>
      <c r="L186">
        <v>0.66666666699999999</v>
      </c>
      <c r="M186" t="s">
        <v>105</v>
      </c>
      <c r="N186">
        <v>167.9</v>
      </c>
      <c r="O186">
        <v>16.08081945</v>
      </c>
      <c r="P186">
        <v>10.720546300000001</v>
      </c>
      <c r="Q186">
        <v>0</v>
      </c>
      <c r="R186">
        <v>1799.979724</v>
      </c>
      <c r="S186">
        <v>1799.979724</v>
      </c>
      <c r="T186">
        <v>0.36805555600000001</v>
      </c>
      <c r="U186">
        <v>0.37152777799999998</v>
      </c>
      <c r="V186">
        <v>0</v>
      </c>
      <c r="W186">
        <v>1</v>
      </c>
      <c r="X186">
        <v>90</v>
      </c>
      <c r="Y186">
        <v>67</v>
      </c>
      <c r="Z186">
        <v>4</v>
      </c>
      <c r="AA186">
        <f t="shared" si="2"/>
        <v>1097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1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1</v>
      </c>
      <c r="BW186">
        <v>0</v>
      </c>
      <c r="BX186">
        <v>0</v>
      </c>
      <c r="BY186">
        <v>0</v>
      </c>
      <c r="BZ186">
        <v>0</v>
      </c>
      <c r="CA186">
        <v>1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1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</row>
    <row r="187" spans="1:96" x14ac:dyDescent="0.3">
      <c r="A187" s="1">
        <v>45512</v>
      </c>
      <c r="B187" t="s">
        <v>261</v>
      </c>
      <c r="C187" t="s">
        <v>301</v>
      </c>
      <c r="D187" t="s">
        <v>279</v>
      </c>
      <c r="E187" t="s">
        <v>302</v>
      </c>
      <c r="F187" t="s">
        <v>101</v>
      </c>
      <c r="G187">
        <v>96102</v>
      </c>
      <c r="H187" t="s">
        <v>102</v>
      </c>
      <c r="I187" t="s">
        <v>103</v>
      </c>
      <c r="J187">
        <v>4</v>
      </c>
      <c r="K187" t="s">
        <v>104</v>
      </c>
      <c r="L187">
        <v>8</v>
      </c>
      <c r="M187" t="s">
        <v>105</v>
      </c>
      <c r="N187">
        <v>492.1</v>
      </c>
      <c r="O187">
        <v>6.8107476690000004</v>
      </c>
      <c r="P187">
        <v>54.485981350000003</v>
      </c>
      <c r="Q187">
        <v>0</v>
      </c>
      <c r="R187">
        <v>26812.55142</v>
      </c>
      <c r="S187">
        <v>26812.55142</v>
      </c>
      <c r="T187">
        <v>0.37430555599999998</v>
      </c>
      <c r="U187">
        <v>0.37777777800000001</v>
      </c>
      <c r="V187">
        <v>0</v>
      </c>
      <c r="W187">
        <v>1</v>
      </c>
      <c r="X187">
        <v>95</v>
      </c>
      <c r="Y187">
        <v>68</v>
      </c>
      <c r="Z187">
        <v>9</v>
      </c>
      <c r="AA187">
        <f t="shared" si="2"/>
        <v>1106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1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1</v>
      </c>
      <c r="AS187">
        <v>0</v>
      </c>
      <c r="AT187">
        <v>1</v>
      </c>
      <c r="AU187">
        <v>1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3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</row>
    <row r="188" spans="1:96" x14ac:dyDescent="0.3">
      <c r="A188" s="1">
        <v>45512</v>
      </c>
      <c r="B188" t="s">
        <v>261</v>
      </c>
      <c r="C188" t="s">
        <v>188</v>
      </c>
      <c r="D188" t="s">
        <v>279</v>
      </c>
      <c r="E188" t="s">
        <v>189</v>
      </c>
      <c r="F188" t="s">
        <v>101</v>
      </c>
      <c r="G188">
        <v>15055</v>
      </c>
      <c r="H188" t="s">
        <v>113</v>
      </c>
      <c r="I188" t="s">
        <v>119</v>
      </c>
      <c r="J188">
        <v>4</v>
      </c>
      <c r="K188" t="s">
        <v>120</v>
      </c>
      <c r="L188">
        <v>6.3333333329999997</v>
      </c>
      <c r="M188" t="s">
        <v>105</v>
      </c>
      <c r="N188">
        <v>42.8</v>
      </c>
      <c r="O188">
        <v>11.8144796</v>
      </c>
      <c r="P188">
        <v>74.825037449999996</v>
      </c>
      <c r="Q188">
        <v>0</v>
      </c>
      <c r="R188">
        <v>3202.5116029999999</v>
      </c>
      <c r="S188">
        <v>3202.5116029999999</v>
      </c>
      <c r="T188">
        <v>0.37847222200000002</v>
      </c>
      <c r="U188">
        <v>0.38194444399999999</v>
      </c>
      <c r="V188">
        <v>0</v>
      </c>
      <c r="W188">
        <v>2</v>
      </c>
      <c r="X188">
        <v>85</v>
      </c>
      <c r="Y188">
        <v>70</v>
      </c>
      <c r="Z188">
        <v>7</v>
      </c>
      <c r="AA188">
        <f t="shared" si="2"/>
        <v>1113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5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1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1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 t="s">
        <v>314</v>
      </c>
    </row>
    <row r="189" spans="1:96" x14ac:dyDescent="0.3">
      <c r="A189" s="1">
        <v>45512</v>
      </c>
      <c r="B189" t="s">
        <v>261</v>
      </c>
      <c r="C189" t="s">
        <v>293</v>
      </c>
      <c r="D189" t="s">
        <v>315</v>
      </c>
      <c r="E189" t="s">
        <v>294</v>
      </c>
      <c r="F189" t="s">
        <v>101</v>
      </c>
      <c r="G189">
        <v>97033</v>
      </c>
      <c r="H189" t="s">
        <v>102</v>
      </c>
      <c r="I189" t="s">
        <v>129</v>
      </c>
      <c r="J189">
        <v>4</v>
      </c>
      <c r="K189" t="s">
        <v>104</v>
      </c>
      <c r="L189">
        <v>14.66666667</v>
      </c>
      <c r="M189" t="s">
        <v>105</v>
      </c>
      <c r="N189">
        <v>160.69999999999999</v>
      </c>
      <c r="O189">
        <v>14.58577728</v>
      </c>
      <c r="P189">
        <v>213.92473340000001</v>
      </c>
      <c r="Q189">
        <v>0</v>
      </c>
      <c r="R189">
        <v>34377.704660000003</v>
      </c>
      <c r="S189">
        <v>34377.704660000003</v>
      </c>
      <c r="T189">
        <v>0.41666666699999999</v>
      </c>
      <c r="U189">
        <v>0.42013888900000002</v>
      </c>
      <c r="V189">
        <v>0</v>
      </c>
      <c r="W189">
        <v>1</v>
      </c>
      <c r="X189">
        <v>95</v>
      </c>
      <c r="Y189">
        <v>70</v>
      </c>
      <c r="Z189">
        <v>24</v>
      </c>
      <c r="AA189">
        <f t="shared" si="2"/>
        <v>1137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1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1</v>
      </c>
      <c r="BE189">
        <v>0</v>
      </c>
      <c r="BF189">
        <v>0</v>
      </c>
      <c r="BG189">
        <v>8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7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1</v>
      </c>
      <c r="CG189">
        <v>0</v>
      </c>
      <c r="CH189">
        <v>0</v>
      </c>
      <c r="CI189">
        <v>6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 t="s">
        <v>316</v>
      </c>
    </row>
    <row r="190" spans="1:96" x14ac:dyDescent="0.3">
      <c r="A190" s="1">
        <v>45512</v>
      </c>
      <c r="B190" t="s">
        <v>261</v>
      </c>
      <c r="C190" t="s">
        <v>180</v>
      </c>
      <c r="E190" t="s">
        <v>181</v>
      </c>
      <c r="F190" t="s">
        <v>101</v>
      </c>
      <c r="G190" t="s">
        <v>182</v>
      </c>
      <c r="H190" t="s">
        <v>126</v>
      </c>
      <c r="I190" t="s">
        <v>103</v>
      </c>
      <c r="J190">
        <v>4</v>
      </c>
      <c r="K190" t="s">
        <v>120</v>
      </c>
      <c r="L190">
        <v>9</v>
      </c>
      <c r="M190" t="s">
        <v>105</v>
      </c>
      <c r="N190">
        <v>55.8</v>
      </c>
      <c r="O190">
        <v>2.3337243650000001</v>
      </c>
      <c r="P190">
        <v>21.003519279999999</v>
      </c>
      <c r="Q190">
        <v>0</v>
      </c>
      <c r="R190">
        <v>1171.9963760000001</v>
      </c>
      <c r="S190">
        <v>1171.9963760000001</v>
      </c>
      <c r="T190">
        <v>0.34930555600000002</v>
      </c>
      <c r="U190">
        <v>0.35277777799999999</v>
      </c>
      <c r="V190">
        <v>0</v>
      </c>
      <c r="W190">
        <v>1</v>
      </c>
      <c r="X190">
        <v>85</v>
      </c>
      <c r="Y190">
        <v>67</v>
      </c>
      <c r="Z190">
        <v>1</v>
      </c>
      <c r="AA190">
        <f t="shared" si="2"/>
        <v>1138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1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</row>
    <row r="191" spans="1:96" x14ac:dyDescent="0.3">
      <c r="A191" s="1">
        <v>45512</v>
      </c>
      <c r="B191" t="s">
        <v>261</v>
      </c>
      <c r="C191" t="s">
        <v>171</v>
      </c>
      <c r="D191" t="s">
        <v>99</v>
      </c>
      <c r="E191" t="s">
        <v>116</v>
      </c>
      <c r="F191" t="s">
        <v>101</v>
      </c>
      <c r="G191" t="s">
        <v>172</v>
      </c>
      <c r="H191" t="s">
        <v>118</v>
      </c>
      <c r="I191" t="s">
        <v>119</v>
      </c>
      <c r="J191">
        <v>4</v>
      </c>
      <c r="K191" t="s">
        <v>120</v>
      </c>
      <c r="L191">
        <v>3.3333333330000001</v>
      </c>
      <c r="M191" t="s">
        <v>105</v>
      </c>
      <c r="N191">
        <v>27.1</v>
      </c>
      <c r="O191">
        <v>5.2508798209999998</v>
      </c>
      <c r="P191">
        <v>17.502932739999999</v>
      </c>
      <c r="Q191">
        <v>0</v>
      </c>
      <c r="R191">
        <v>474.32947710000002</v>
      </c>
      <c r="S191">
        <v>474.32947710000002</v>
      </c>
      <c r="T191">
        <v>0.66944444400000003</v>
      </c>
      <c r="U191">
        <v>0.67291666699999997</v>
      </c>
      <c r="V191">
        <v>0</v>
      </c>
      <c r="W191">
        <v>2</v>
      </c>
      <c r="X191">
        <v>90</v>
      </c>
      <c r="Y191">
        <v>76</v>
      </c>
      <c r="Z191">
        <v>3</v>
      </c>
      <c r="AA191">
        <f t="shared" si="2"/>
        <v>1141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1</v>
      </c>
      <c r="AQ191">
        <v>0</v>
      </c>
      <c r="AR191">
        <v>1</v>
      </c>
      <c r="AS191">
        <v>0</v>
      </c>
      <c r="AT191">
        <v>1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 t="s">
        <v>317</v>
      </c>
    </row>
    <row r="192" spans="1:96" x14ac:dyDescent="0.3">
      <c r="A192" s="1">
        <v>45512</v>
      </c>
      <c r="B192" t="s">
        <v>261</v>
      </c>
      <c r="C192" t="s">
        <v>298</v>
      </c>
      <c r="D192" t="s">
        <v>279</v>
      </c>
      <c r="E192" t="s">
        <v>296</v>
      </c>
      <c r="F192" t="s">
        <v>101</v>
      </c>
      <c r="G192">
        <v>1072</v>
      </c>
      <c r="H192" t="s">
        <v>118</v>
      </c>
      <c r="I192" t="s">
        <v>123</v>
      </c>
      <c r="J192">
        <v>4</v>
      </c>
      <c r="K192" t="s">
        <v>120</v>
      </c>
      <c r="L192">
        <v>0.66666666699999999</v>
      </c>
      <c r="M192" t="s">
        <v>105</v>
      </c>
      <c r="N192">
        <v>104.4</v>
      </c>
      <c r="O192">
        <v>14.58577728</v>
      </c>
      <c r="P192">
        <v>9.7238515200000002</v>
      </c>
      <c r="Q192">
        <v>0</v>
      </c>
      <c r="R192">
        <v>1015.1700990000001</v>
      </c>
      <c r="S192">
        <v>1015.1700990000001</v>
      </c>
      <c r="T192">
        <v>0.42638888899999999</v>
      </c>
      <c r="U192">
        <v>0.42986111100000002</v>
      </c>
      <c r="V192">
        <v>0</v>
      </c>
      <c r="W192">
        <v>1</v>
      </c>
      <c r="X192">
        <v>80</v>
      </c>
      <c r="Y192">
        <v>72</v>
      </c>
      <c r="Z192">
        <v>9</v>
      </c>
      <c r="AA192">
        <f t="shared" si="2"/>
        <v>1150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1</v>
      </c>
      <c r="AS192">
        <v>0</v>
      </c>
      <c r="AT192">
        <v>2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1</v>
      </c>
      <c r="BO192">
        <v>0</v>
      </c>
      <c r="BP192">
        <v>0</v>
      </c>
      <c r="BQ192">
        <v>0</v>
      </c>
      <c r="BR192">
        <v>0</v>
      </c>
      <c r="BS192">
        <v>1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1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</row>
    <row r="193" spans="1:96" x14ac:dyDescent="0.3">
      <c r="A193" s="1">
        <v>45512</v>
      </c>
      <c r="B193" t="s">
        <v>261</v>
      </c>
      <c r="C193" t="s">
        <v>194</v>
      </c>
      <c r="E193" t="s">
        <v>195</v>
      </c>
      <c r="F193" t="s">
        <v>108</v>
      </c>
      <c r="G193">
        <v>12019</v>
      </c>
      <c r="H193" t="s">
        <v>126</v>
      </c>
      <c r="I193" t="s">
        <v>103</v>
      </c>
      <c r="J193">
        <v>4</v>
      </c>
      <c r="K193" t="s">
        <v>114</v>
      </c>
      <c r="M193">
        <v>2</v>
      </c>
      <c r="N193">
        <v>528.4</v>
      </c>
      <c r="O193">
        <v>17.097300000000001</v>
      </c>
      <c r="P193">
        <v>0</v>
      </c>
      <c r="Q193">
        <v>1056.8</v>
      </c>
      <c r="R193">
        <v>0</v>
      </c>
      <c r="S193">
        <v>1056.8</v>
      </c>
      <c r="T193">
        <v>0.69444444400000005</v>
      </c>
      <c r="U193">
        <v>0.69791666699999999</v>
      </c>
      <c r="V193">
        <v>0</v>
      </c>
      <c r="W193">
        <v>2</v>
      </c>
      <c r="X193">
        <v>85</v>
      </c>
      <c r="Y193">
        <v>75</v>
      </c>
      <c r="Z193">
        <v>0</v>
      </c>
      <c r="AA193">
        <f t="shared" si="2"/>
        <v>1150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 t="s">
        <v>250</v>
      </c>
    </row>
    <row r="194" spans="1:96" x14ac:dyDescent="0.3">
      <c r="A194" s="1">
        <v>45512</v>
      </c>
      <c r="B194" t="s">
        <v>261</v>
      </c>
      <c r="C194" t="s">
        <v>167</v>
      </c>
      <c r="E194" t="s">
        <v>168</v>
      </c>
      <c r="F194" t="s">
        <v>108</v>
      </c>
      <c r="G194">
        <v>18022</v>
      </c>
      <c r="H194" t="s">
        <v>102</v>
      </c>
      <c r="I194" t="s">
        <v>103</v>
      </c>
      <c r="J194">
        <v>3</v>
      </c>
      <c r="K194" t="s">
        <v>109</v>
      </c>
      <c r="L194">
        <v>0.66666666699999999</v>
      </c>
      <c r="M194" t="s">
        <v>105</v>
      </c>
      <c r="N194">
        <v>563.42857140000001</v>
      </c>
      <c r="O194">
        <v>9.3348974590000005</v>
      </c>
      <c r="P194">
        <v>6.223264973</v>
      </c>
      <c r="Q194">
        <v>0</v>
      </c>
      <c r="R194">
        <v>3506.3652929999998</v>
      </c>
      <c r="S194">
        <v>3506.3652929999998</v>
      </c>
      <c r="T194">
        <v>0.66180555600000002</v>
      </c>
      <c r="U194">
        <v>0.66527777799999999</v>
      </c>
      <c r="V194">
        <v>0</v>
      </c>
      <c r="W194">
        <v>2</v>
      </c>
      <c r="X194">
        <v>100</v>
      </c>
      <c r="Y194">
        <v>76</v>
      </c>
      <c r="Z194">
        <v>3</v>
      </c>
      <c r="AA194">
        <f t="shared" si="2"/>
        <v>1153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3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</row>
    <row r="195" spans="1:96" x14ac:dyDescent="0.3">
      <c r="A195" s="1">
        <v>45512</v>
      </c>
      <c r="B195" t="s">
        <v>261</v>
      </c>
      <c r="C195" t="s">
        <v>252</v>
      </c>
      <c r="E195" t="s">
        <v>253</v>
      </c>
      <c r="F195" t="s">
        <v>101</v>
      </c>
      <c r="G195">
        <v>14021</v>
      </c>
      <c r="H195" t="s">
        <v>118</v>
      </c>
      <c r="I195" t="s">
        <v>119</v>
      </c>
      <c r="J195">
        <v>4</v>
      </c>
      <c r="K195" t="s">
        <v>120</v>
      </c>
      <c r="L195">
        <v>3.3333333330000001</v>
      </c>
      <c r="M195" t="s">
        <v>105</v>
      </c>
      <c r="N195">
        <v>120.2</v>
      </c>
      <c r="O195">
        <v>6.4825676799999998</v>
      </c>
      <c r="P195">
        <v>21.608558930000001</v>
      </c>
      <c r="Q195">
        <v>0</v>
      </c>
      <c r="R195">
        <v>2597.3487839999998</v>
      </c>
      <c r="S195">
        <v>2597.3487839999998</v>
      </c>
      <c r="T195">
        <v>0.67638888900000005</v>
      </c>
      <c r="U195">
        <v>0.67986111100000002</v>
      </c>
      <c r="V195">
        <v>0</v>
      </c>
      <c r="W195">
        <v>2</v>
      </c>
      <c r="X195">
        <v>90</v>
      </c>
      <c r="Y195">
        <v>76</v>
      </c>
      <c r="Z195">
        <v>1</v>
      </c>
      <c r="AA195">
        <f t="shared" si="2"/>
        <v>1154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1</v>
      </c>
      <c r="CN195">
        <v>0</v>
      </c>
      <c r="CO195">
        <v>0</v>
      </c>
      <c r="CP195">
        <v>0</v>
      </c>
      <c r="CQ195">
        <v>0</v>
      </c>
    </row>
    <row r="196" spans="1:96" x14ac:dyDescent="0.3">
      <c r="A196" s="1">
        <v>45513</v>
      </c>
      <c r="B196" t="s">
        <v>261</v>
      </c>
      <c r="C196" t="s">
        <v>219</v>
      </c>
      <c r="D196" t="s">
        <v>99</v>
      </c>
      <c r="E196" t="s">
        <v>155</v>
      </c>
      <c r="F196" t="s">
        <v>101</v>
      </c>
      <c r="G196">
        <v>7045</v>
      </c>
      <c r="H196" t="s">
        <v>126</v>
      </c>
      <c r="I196" t="s">
        <v>119</v>
      </c>
      <c r="J196">
        <v>4</v>
      </c>
      <c r="K196" t="s">
        <v>104</v>
      </c>
      <c r="L196">
        <v>12.66666667</v>
      </c>
      <c r="M196" t="s">
        <v>105</v>
      </c>
      <c r="N196">
        <v>79</v>
      </c>
      <c r="O196">
        <v>1.446912</v>
      </c>
      <c r="P196">
        <v>18.327552000000001</v>
      </c>
      <c r="Q196">
        <v>0</v>
      </c>
      <c r="R196">
        <v>1447.876608</v>
      </c>
      <c r="S196">
        <v>1447.876608</v>
      </c>
      <c r="T196">
        <v>0.37986111099999997</v>
      </c>
      <c r="U196">
        <v>0.383333333</v>
      </c>
      <c r="V196">
        <v>0</v>
      </c>
      <c r="W196">
        <v>0</v>
      </c>
      <c r="X196">
        <v>80</v>
      </c>
      <c r="Y196">
        <v>61</v>
      </c>
      <c r="Z196">
        <v>9</v>
      </c>
      <c r="AA196">
        <f t="shared" ref="AA196:AA259" si="3">Z196+AA195</f>
        <v>1163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4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2</v>
      </c>
      <c r="CG196">
        <v>0</v>
      </c>
      <c r="CH196">
        <v>0</v>
      </c>
      <c r="CI196">
        <v>2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</row>
    <row r="197" spans="1:96" x14ac:dyDescent="0.3">
      <c r="A197" s="1">
        <v>45513</v>
      </c>
      <c r="B197" t="s">
        <v>261</v>
      </c>
      <c r="C197" t="s">
        <v>115</v>
      </c>
      <c r="D197" t="s">
        <v>99</v>
      </c>
      <c r="E197" t="s">
        <v>116</v>
      </c>
      <c r="F197" t="s">
        <v>101</v>
      </c>
      <c r="G197" t="s">
        <v>117</v>
      </c>
      <c r="H197" t="s">
        <v>118</v>
      </c>
      <c r="I197" t="s">
        <v>119</v>
      </c>
      <c r="J197">
        <v>4</v>
      </c>
      <c r="K197" t="s">
        <v>120</v>
      </c>
      <c r="M197">
        <v>21</v>
      </c>
      <c r="N197">
        <v>68.400000000000006</v>
      </c>
      <c r="O197">
        <v>4.1488433149999997</v>
      </c>
      <c r="P197">
        <v>0</v>
      </c>
      <c r="Q197">
        <v>1436.4</v>
      </c>
      <c r="R197">
        <v>0</v>
      </c>
      <c r="S197">
        <v>1436.4</v>
      </c>
      <c r="T197">
        <v>0.40555555599999998</v>
      </c>
      <c r="U197">
        <v>0.40902777800000001</v>
      </c>
      <c r="V197">
        <v>0</v>
      </c>
      <c r="W197">
        <v>2</v>
      </c>
      <c r="X197">
        <v>100</v>
      </c>
      <c r="Y197">
        <v>60</v>
      </c>
      <c r="Z197">
        <v>1</v>
      </c>
      <c r="AA197">
        <f t="shared" si="3"/>
        <v>1164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 t="s">
        <v>318</v>
      </c>
    </row>
    <row r="198" spans="1:96" x14ac:dyDescent="0.3">
      <c r="A198" s="1">
        <v>45513</v>
      </c>
      <c r="B198" t="s">
        <v>261</v>
      </c>
      <c r="C198" t="s">
        <v>226</v>
      </c>
      <c r="D198" t="s">
        <v>99</v>
      </c>
      <c r="E198" t="s">
        <v>227</v>
      </c>
      <c r="F198" t="s">
        <v>101</v>
      </c>
      <c r="G198">
        <v>21039</v>
      </c>
      <c r="H198" t="s">
        <v>126</v>
      </c>
      <c r="I198" t="s">
        <v>119</v>
      </c>
      <c r="J198">
        <v>4</v>
      </c>
      <c r="K198" t="s">
        <v>120</v>
      </c>
      <c r="L198">
        <v>4</v>
      </c>
      <c r="M198" t="s">
        <v>105</v>
      </c>
      <c r="N198">
        <v>17.7</v>
      </c>
      <c r="O198">
        <v>1.9609767229999999</v>
      </c>
      <c r="P198">
        <v>7.8439068929999998</v>
      </c>
      <c r="Q198">
        <v>0</v>
      </c>
      <c r="R198">
        <v>138.837152</v>
      </c>
      <c r="S198">
        <v>138.837152</v>
      </c>
      <c r="T198">
        <v>0.48055555599999999</v>
      </c>
      <c r="U198">
        <v>0.48402777800000002</v>
      </c>
      <c r="V198">
        <v>0</v>
      </c>
      <c r="W198">
        <v>2</v>
      </c>
      <c r="X198">
        <v>100</v>
      </c>
      <c r="Y198">
        <v>61</v>
      </c>
      <c r="Z198">
        <v>2</v>
      </c>
      <c r="AA198">
        <f t="shared" si="3"/>
        <v>1166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2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</row>
    <row r="199" spans="1:96" x14ac:dyDescent="0.3">
      <c r="A199" s="1">
        <v>45513</v>
      </c>
      <c r="B199" t="s">
        <v>261</v>
      </c>
      <c r="C199" t="s">
        <v>241</v>
      </c>
      <c r="D199" t="s">
        <v>99</v>
      </c>
      <c r="E199" t="s">
        <v>165</v>
      </c>
      <c r="F199" t="s">
        <v>101</v>
      </c>
      <c r="G199">
        <v>1004</v>
      </c>
      <c r="H199" t="s">
        <v>126</v>
      </c>
      <c r="I199" t="s">
        <v>103</v>
      </c>
      <c r="J199">
        <v>4</v>
      </c>
      <c r="K199" t="s">
        <v>120</v>
      </c>
      <c r="L199">
        <v>7</v>
      </c>
      <c r="M199" t="s">
        <v>105</v>
      </c>
      <c r="N199">
        <v>174.4</v>
      </c>
      <c r="O199">
        <v>44.668942919999999</v>
      </c>
      <c r="P199">
        <v>312.68260040000001</v>
      </c>
      <c r="Q199">
        <v>0</v>
      </c>
      <c r="R199">
        <v>54531.845520000003</v>
      </c>
      <c r="S199">
        <v>54531.845520000003</v>
      </c>
      <c r="T199">
        <v>0.470138889</v>
      </c>
      <c r="U199">
        <v>0.47361111099999997</v>
      </c>
      <c r="V199">
        <v>0</v>
      </c>
      <c r="W199">
        <v>1</v>
      </c>
      <c r="X199">
        <v>100</v>
      </c>
      <c r="Y199">
        <v>61</v>
      </c>
      <c r="Z199">
        <v>8</v>
      </c>
      <c r="AA199">
        <f t="shared" si="3"/>
        <v>1174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1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4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2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</row>
    <row r="200" spans="1:96" x14ac:dyDescent="0.3">
      <c r="A200" s="1">
        <v>45513</v>
      </c>
      <c r="B200" t="s">
        <v>261</v>
      </c>
      <c r="C200" t="s">
        <v>211</v>
      </c>
      <c r="D200" t="s">
        <v>99</v>
      </c>
      <c r="E200" t="s">
        <v>212</v>
      </c>
      <c r="F200" t="s">
        <v>101</v>
      </c>
      <c r="G200">
        <v>12022</v>
      </c>
      <c r="H200" t="s">
        <v>113</v>
      </c>
      <c r="I200" t="s">
        <v>103</v>
      </c>
      <c r="J200">
        <v>4</v>
      </c>
      <c r="K200" t="s">
        <v>120</v>
      </c>
      <c r="L200">
        <v>12.33333333</v>
      </c>
      <c r="M200" t="s">
        <v>105</v>
      </c>
      <c r="N200">
        <v>361</v>
      </c>
      <c r="O200">
        <v>8.3053000000000008</v>
      </c>
      <c r="P200">
        <v>102.4320333</v>
      </c>
      <c r="Q200">
        <v>0</v>
      </c>
      <c r="R200">
        <v>36977.964030000003</v>
      </c>
      <c r="S200">
        <v>36977.964030000003</v>
      </c>
      <c r="T200">
        <v>0.39513888899999999</v>
      </c>
      <c r="U200">
        <v>0.39861111100000002</v>
      </c>
      <c r="V200">
        <v>0</v>
      </c>
      <c r="W200">
        <v>2</v>
      </c>
      <c r="X200">
        <v>90</v>
      </c>
      <c r="Y200">
        <v>60</v>
      </c>
      <c r="Z200">
        <v>7</v>
      </c>
      <c r="AA200">
        <f t="shared" si="3"/>
        <v>1181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1</v>
      </c>
      <c r="AP200">
        <v>0</v>
      </c>
      <c r="AQ200">
        <v>0</v>
      </c>
      <c r="AR200">
        <v>1</v>
      </c>
      <c r="AS200">
        <v>0</v>
      </c>
      <c r="AT200">
        <v>1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3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1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</row>
    <row r="201" spans="1:96" x14ac:dyDescent="0.3">
      <c r="A201" s="1">
        <v>45513</v>
      </c>
      <c r="B201" t="s">
        <v>261</v>
      </c>
      <c r="C201" t="s">
        <v>270</v>
      </c>
      <c r="D201" t="s">
        <v>99</v>
      </c>
      <c r="E201" t="s">
        <v>271</v>
      </c>
      <c r="F201" t="s">
        <v>101</v>
      </c>
      <c r="G201">
        <v>10040</v>
      </c>
      <c r="H201" t="s">
        <v>118</v>
      </c>
      <c r="I201" t="s">
        <v>123</v>
      </c>
      <c r="J201">
        <v>4</v>
      </c>
      <c r="K201" t="s">
        <v>120</v>
      </c>
      <c r="M201">
        <v>41</v>
      </c>
      <c r="N201" t="s">
        <v>105</v>
      </c>
      <c r="O201" t="e">
        <v>#VALUE!</v>
      </c>
      <c r="P201" t="e">
        <v>#VALUE!</v>
      </c>
      <c r="Q201" t="e">
        <v>#VALUE!</v>
      </c>
      <c r="R201" t="e">
        <v>#VALUE!</v>
      </c>
      <c r="S201" t="s">
        <v>105</v>
      </c>
      <c r="T201">
        <v>0.46111111100000002</v>
      </c>
      <c r="U201">
        <v>0.46458333299999999</v>
      </c>
      <c r="V201">
        <v>0</v>
      </c>
      <c r="W201">
        <v>1</v>
      </c>
      <c r="X201">
        <v>100</v>
      </c>
      <c r="Y201">
        <v>61</v>
      </c>
      <c r="Z201">
        <v>3</v>
      </c>
      <c r="AA201">
        <f t="shared" si="3"/>
        <v>1184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2</v>
      </c>
      <c r="AP201">
        <v>0</v>
      </c>
      <c r="AQ201">
        <v>0</v>
      </c>
      <c r="AR201">
        <v>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 t="s">
        <v>319</v>
      </c>
    </row>
    <row r="202" spans="1:96" x14ac:dyDescent="0.3">
      <c r="A202" s="1">
        <v>45513</v>
      </c>
      <c r="B202" t="s">
        <v>261</v>
      </c>
      <c r="C202" t="s">
        <v>216</v>
      </c>
      <c r="D202" t="s">
        <v>99</v>
      </c>
      <c r="E202" t="s">
        <v>131</v>
      </c>
      <c r="F202" t="s">
        <v>101</v>
      </c>
      <c r="G202">
        <v>1128</v>
      </c>
      <c r="H202" t="s">
        <v>126</v>
      </c>
      <c r="I202" t="s">
        <v>119</v>
      </c>
      <c r="J202">
        <v>4</v>
      </c>
      <c r="K202" t="s">
        <v>104</v>
      </c>
      <c r="L202">
        <v>10.66666667</v>
      </c>
      <c r="M202" t="s">
        <v>105</v>
      </c>
      <c r="N202">
        <v>154.80000000000001</v>
      </c>
      <c r="O202">
        <v>1.1077920000000001</v>
      </c>
      <c r="P202">
        <v>11.816447999999999</v>
      </c>
      <c r="Q202">
        <v>0</v>
      </c>
      <c r="R202">
        <v>1829.18615</v>
      </c>
      <c r="S202">
        <v>1829.18615</v>
      </c>
      <c r="T202">
        <v>0.45138888900000002</v>
      </c>
      <c r="U202">
        <v>0.45486111099999998</v>
      </c>
      <c r="V202">
        <v>0</v>
      </c>
      <c r="W202">
        <v>2</v>
      </c>
      <c r="X202">
        <v>100</v>
      </c>
      <c r="Y202">
        <v>61</v>
      </c>
      <c r="Z202">
        <v>10</v>
      </c>
      <c r="AA202">
        <f t="shared" si="3"/>
        <v>1194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2</v>
      </c>
      <c r="AP202">
        <v>0</v>
      </c>
      <c r="AQ202">
        <v>0</v>
      </c>
      <c r="AR202">
        <v>1</v>
      </c>
      <c r="AS202">
        <v>0</v>
      </c>
      <c r="AT202">
        <v>0</v>
      </c>
      <c r="AU202">
        <v>2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1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3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1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</row>
    <row r="203" spans="1:96" x14ac:dyDescent="0.3">
      <c r="A203" s="1">
        <v>45513</v>
      </c>
      <c r="B203" t="s">
        <v>261</v>
      </c>
      <c r="C203" t="s">
        <v>130</v>
      </c>
      <c r="D203" t="s">
        <v>99</v>
      </c>
      <c r="E203" t="s">
        <v>131</v>
      </c>
      <c r="F203" t="s">
        <v>101</v>
      </c>
      <c r="G203">
        <v>1128</v>
      </c>
      <c r="H203" t="s">
        <v>113</v>
      </c>
      <c r="I203" t="s">
        <v>119</v>
      </c>
      <c r="J203">
        <v>4</v>
      </c>
      <c r="K203" t="s">
        <v>120</v>
      </c>
      <c r="L203">
        <v>8.3333333330000006</v>
      </c>
      <c r="M203" t="s">
        <v>105</v>
      </c>
      <c r="N203">
        <v>36.1</v>
      </c>
      <c r="O203">
        <v>8.3053000000000008</v>
      </c>
      <c r="P203">
        <v>69.21083333</v>
      </c>
      <c r="Q203">
        <v>0</v>
      </c>
      <c r="R203">
        <v>2498.5110829999999</v>
      </c>
      <c r="S203">
        <v>2498.5110829999999</v>
      </c>
      <c r="T203">
        <v>0.43333333299999999</v>
      </c>
      <c r="U203">
        <v>0.43680555599999998</v>
      </c>
      <c r="V203">
        <v>0</v>
      </c>
      <c r="W203">
        <v>2</v>
      </c>
      <c r="X203">
        <v>100</v>
      </c>
      <c r="Y203">
        <v>60</v>
      </c>
      <c r="Z203">
        <v>6</v>
      </c>
      <c r="AA203">
        <f t="shared" si="3"/>
        <v>1200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1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4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1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</row>
    <row r="204" spans="1:96" x14ac:dyDescent="0.3">
      <c r="A204" s="1">
        <v>45513</v>
      </c>
      <c r="B204" t="s">
        <v>261</v>
      </c>
      <c r="C204" t="s">
        <v>245</v>
      </c>
      <c r="D204" t="s">
        <v>99</v>
      </c>
      <c r="E204" t="s">
        <v>246</v>
      </c>
      <c r="F204" t="s">
        <v>101</v>
      </c>
      <c r="G204">
        <v>1006</v>
      </c>
      <c r="H204" t="s">
        <v>113</v>
      </c>
      <c r="I204" t="s">
        <v>103</v>
      </c>
      <c r="J204">
        <v>4</v>
      </c>
      <c r="K204" t="s">
        <v>120</v>
      </c>
      <c r="L204">
        <v>8</v>
      </c>
      <c r="M204" t="s">
        <v>105</v>
      </c>
      <c r="N204">
        <v>41.2</v>
      </c>
      <c r="O204">
        <v>1.6981120000000001</v>
      </c>
      <c r="P204">
        <v>13.584896000000001</v>
      </c>
      <c r="Q204">
        <v>0</v>
      </c>
      <c r="R204">
        <v>559.69771519999995</v>
      </c>
      <c r="S204">
        <v>559.69771519999995</v>
      </c>
      <c r="T204">
        <v>0.49583333299999999</v>
      </c>
      <c r="U204">
        <v>0.49930555599999998</v>
      </c>
      <c r="V204">
        <v>0</v>
      </c>
      <c r="W204">
        <v>3</v>
      </c>
      <c r="X204">
        <v>100</v>
      </c>
      <c r="Y204">
        <v>61</v>
      </c>
      <c r="Z204">
        <v>4</v>
      </c>
      <c r="AA204">
        <f t="shared" si="3"/>
        <v>1204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1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1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1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</row>
    <row r="205" spans="1:96" x14ac:dyDescent="0.3">
      <c r="A205" s="1">
        <v>45513</v>
      </c>
      <c r="B205" t="s">
        <v>261</v>
      </c>
      <c r="C205" t="s">
        <v>228</v>
      </c>
      <c r="E205" t="s">
        <v>229</v>
      </c>
      <c r="F205" t="s">
        <v>101</v>
      </c>
      <c r="G205" t="s">
        <v>230</v>
      </c>
      <c r="H205" t="s">
        <v>113</v>
      </c>
      <c r="I205" t="s">
        <v>129</v>
      </c>
      <c r="J205">
        <v>5</v>
      </c>
      <c r="K205" t="s">
        <v>120</v>
      </c>
      <c r="M205">
        <v>14</v>
      </c>
      <c r="N205">
        <v>60.9</v>
      </c>
      <c r="O205">
        <v>4.4121976270000003</v>
      </c>
      <c r="P205">
        <v>0</v>
      </c>
      <c r="Q205">
        <v>852.6</v>
      </c>
      <c r="R205">
        <v>0</v>
      </c>
      <c r="S205">
        <v>852.6</v>
      </c>
      <c r="T205">
        <v>0.48958333300000001</v>
      </c>
      <c r="U205">
        <v>0.49305555600000001</v>
      </c>
      <c r="V205">
        <v>0</v>
      </c>
      <c r="W205">
        <v>2</v>
      </c>
      <c r="X205">
        <v>100</v>
      </c>
      <c r="Y205">
        <v>61</v>
      </c>
      <c r="Z205">
        <v>2</v>
      </c>
      <c r="AA205">
        <f t="shared" si="3"/>
        <v>1206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1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1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</row>
    <row r="206" spans="1:96" x14ac:dyDescent="0.3">
      <c r="A206" s="1">
        <v>45513</v>
      </c>
      <c r="B206" t="s">
        <v>261</v>
      </c>
      <c r="C206" t="s">
        <v>236</v>
      </c>
      <c r="E206" t="s">
        <v>237</v>
      </c>
      <c r="F206" t="s">
        <v>101</v>
      </c>
      <c r="G206">
        <v>16012</v>
      </c>
      <c r="H206" t="s">
        <v>102</v>
      </c>
      <c r="I206" t="s">
        <v>103</v>
      </c>
      <c r="J206">
        <v>4</v>
      </c>
      <c r="K206" t="s">
        <v>104</v>
      </c>
      <c r="L206">
        <v>9</v>
      </c>
      <c r="M206" t="s">
        <v>105</v>
      </c>
      <c r="N206" t="s">
        <v>105</v>
      </c>
      <c r="O206" t="e">
        <v>#VALUE!</v>
      </c>
      <c r="P206" t="e">
        <v>#VALUE!</v>
      </c>
      <c r="Q206" t="e">
        <v>#VALUE!</v>
      </c>
      <c r="R206" t="e">
        <v>#VALUE!</v>
      </c>
      <c r="S206" t="s">
        <v>105</v>
      </c>
      <c r="T206">
        <v>0.41388888899999998</v>
      </c>
      <c r="U206">
        <v>0.41736111100000001</v>
      </c>
      <c r="V206">
        <v>0</v>
      </c>
      <c r="W206">
        <v>2</v>
      </c>
      <c r="X206">
        <v>100</v>
      </c>
      <c r="Y206">
        <v>60</v>
      </c>
      <c r="Z206">
        <v>1</v>
      </c>
      <c r="AA206">
        <f t="shared" si="3"/>
        <v>1207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1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</row>
    <row r="207" spans="1:96" x14ac:dyDescent="0.3">
      <c r="A207" s="1">
        <v>45513</v>
      </c>
      <c r="B207" t="s">
        <v>261</v>
      </c>
      <c r="C207" t="s">
        <v>124</v>
      </c>
      <c r="E207" t="s">
        <v>125</v>
      </c>
      <c r="F207" t="s">
        <v>101</v>
      </c>
      <c r="G207">
        <v>11045</v>
      </c>
      <c r="H207" t="s">
        <v>126</v>
      </c>
      <c r="I207" t="s">
        <v>103</v>
      </c>
      <c r="J207">
        <v>4</v>
      </c>
      <c r="K207" t="s">
        <v>120</v>
      </c>
      <c r="L207">
        <v>2.3333333330000001</v>
      </c>
      <c r="M207" t="s">
        <v>105</v>
      </c>
      <c r="N207">
        <v>31</v>
      </c>
      <c r="O207">
        <v>9.0432000000000006</v>
      </c>
      <c r="P207">
        <v>21.1008</v>
      </c>
      <c r="Q207">
        <v>0</v>
      </c>
      <c r="R207">
        <v>654.12480000000005</v>
      </c>
      <c r="S207">
        <v>654.12480000000005</v>
      </c>
      <c r="T207">
        <v>0.42152777800000002</v>
      </c>
      <c r="U207">
        <v>0.42499999999999999</v>
      </c>
      <c r="V207">
        <v>0</v>
      </c>
      <c r="W207">
        <v>2</v>
      </c>
      <c r="X207">
        <v>100</v>
      </c>
      <c r="Y207">
        <v>60</v>
      </c>
      <c r="Z207">
        <v>2</v>
      </c>
      <c r="AA207">
        <f t="shared" si="3"/>
        <v>1209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2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</row>
    <row r="208" spans="1:96" x14ac:dyDescent="0.3">
      <c r="A208" s="1">
        <v>45513</v>
      </c>
      <c r="B208" t="s">
        <v>261</v>
      </c>
      <c r="C208" t="s">
        <v>214</v>
      </c>
      <c r="E208" t="s">
        <v>215</v>
      </c>
      <c r="F208" t="s">
        <v>101</v>
      </c>
      <c r="G208">
        <v>11031</v>
      </c>
      <c r="H208" t="s">
        <v>102</v>
      </c>
      <c r="I208" t="s">
        <v>103</v>
      </c>
      <c r="J208">
        <v>4</v>
      </c>
      <c r="K208" t="s">
        <v>104</v>
      </c>
      <c r="L208">
        <v>8</v>
      </c>
      <c r="M208" t="s">
        <v>105</v>
      </c>
      <c r="N208">
        <v>189.5</v>
      </c>
      <c r="O208">
        <v>15.0877</v>
      </c>
      <c r="P208">
        <v>120.7016</v>
      </c>
      <c r="Q208">
        <v>0</v>
      </c>
      <c r="R208">
        <v>22872.9532</v>
      </c>
      <c r="S208">
        <v>22872.9532</v>
      </c>
      <c r="T208">
        <v>0.42708333300000001</v>
      </c>
      <c r="U208">
        <v>0.43055555600000001</v>
      </c>
      <c r="V208">
        <v>0</v>
      </c>
      <c r="W208">
        <v>2</v>
      </c>
      <c r="X208">
        <v>100</v>
      </c>
      <c r="Y208">
        <v>60</v>
      </c>
      <c r="Z208">
        <v>8</v>
      </c>
      <c r="AA208">
        <f t="shared" si="3"/>
        <v>1217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1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6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1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</row>
    <row r="209" spans="1:96" x14ac:dyDescent="0.3">
      <c r="A209" s="1">
        <v>45513</v>
      </c>
      <c r="B209" t="s">
        <v>261</v>
      </c>
      <c r="C209" t="s">
        <v>213</v>
      </c>
      <c r="E209" t="s">
        <v>176</v>
      </c>
      <c r="F209" t="s">
        <v>101</v>
      </c>
      <c r="G209">
        <v>11044</v>
      </c>
      <c r="H209" t="s">
        <v>126</v>
      </c>
      <c r="I209" t="s">
        <v>119</v>
      </c>
      <c r="J209">
        <v>4</v>
      </c>
      <c r="K209" t="s">
        <v>104</v>
      </c>
      <c r="L209">
        <v>12.66666667</v>
      </c>
      <c r="M209" t="s">
        <v>105</v>
      </c>
      <c r="N209">
        <v>174.2</v>
      </c>
      <c r="O209">
        <v>4.0191999999999997</v>
      </c>
      <c r="P209">
        <v>50.90986667</v>
      </c>
      <c r="Q209">
        <v>0</v>
      </c>
      <c r="R209">
        <v>8868.4987729999993</v>
      </c>
      <c r="S209">
        <v>8868.4987729999993</v>
      </c>
      <c r="T209">
        <v>0.38888888900000002</v>
      </c>
      <c r="U209">
        <v>0.39236111099999998</v>
      </c>
      <c r="V209">
        <v>0</v>
      </c>
      <c r="W209">
        <v>2</v>
      </c>
      <c r="X209">
        <v>80</v>
      </c>
      <c r="Y209">
        <v>61</v>
      </c>
      <c r="Z209">
        <v>5</v>
      </c>
      <c r="AA209">
        <f t="shared" si="3"/>
        <v>1222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1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4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</row>
    <row r="210" spans="1:96" x14ac:dyDescent="0.3">
      <c r="A210" s="1">
        <v>45517</v>
      </c>
      <c r="B210" t="s">
        <v>261</v>
      </c>
      <c r="C210" t="s">
        <v>180</v>
      </c>
      <c r="D210" t="s">
        <v>279</v>
      </c>
      <c r="E210" t="s">
        <v>181</v>
      </c>
      <c r="F210" t="s">
        <v>101</v>
      </c>
      <c r="G210" t="s">
        <v>182</v>
      </c>
      <c r="H210" t="s">
        <v>126</v>
      </c>
      <c r="I210" t="s">
        <v>103</v>
      </c>
      <c r="J210">
        <v>4</v>
      </c>
      <c r="K210" t="s">
        <v>120</v>
      </c>
      <c r="L210">
        <v>6</v>
      </c>
      <c r="M210" t="s">
        <v>105</v>
      </c>
      <c r="N210">
        <v>55.8</v>
      </c>
      <c r="O210">
        <v>2.3337243650000001</v>
      </c>
      <c r="P210">
        <v>14.002346190000001</v>
      </c>
      <c r="Q210">
        <v>0</v>
      </c>
      <c r="R210">
        <v>781.33091730000001</v>
      </c>
      <c r="S210">
        <v>781.33091730000001</v>
      </c>
      <c r="T210">
        <v>0.56805555600000002</v>
      </c>
      <c r="U210">
        <v>0.57152777799999999</v>
      </c>
      <c r="V210">
        <v>0</v>
      </c>
      <c r="W210">
        <v>2</v>
      </c>
      <c r="X210">
        <v>15</v>
      </c>
      <c r="Y210">
        <v>83</v>
      </c>
      <c r="Z210">
        <v>2</v>
      </c>
      <c r="AA210">
        <f t="shared" si="3"/>
        <v>1224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1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1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</row>
    <row r="211" spans="1:96" x14ac:dyDescent="0.3">
      <c r="A211" s="1">
        <v>45517</v>
      </c>
      <c r="B211" t="s">
        <v>261</v>
      </c>
      <c r="C211" t="s">
        <v>280</v>
      </c>
      <c r="D211" t="s">
        <v>279</v>
      </c>
      <c r="E211" t="s">
        <v>281</v>
      </c>
      <c r="F211" t="s">
        <v>101</v>
      </c>
      <c r="G211" t="s">
        <v>282</v>
      </c>
      <c r="H211" t="s">
        <v>102</v>
      </c>
      <c r="I211" t="s">
        <v>103</v>
      </c>
      <c r="J211">
        <v>4</v>
      </c>
      <c r="K211" t="s">
        <v>104</v>
      </c>
      <c r="L211">
        <v>1.6666666670000001</v>
      </c>
      <c r="M211" t="s">
        <v>105</v>
      </c>
      <c r="N211">
        <v>243</v>
      </c>
      <c r="O211">
        <v>3.1764581629999999</v>
      </c>
      <c r="P211">
        <v>5.2940969390000001</v>
      </c>
      <c r="Q211">
        <v>0</v>
      </c>
      <c r="R211">
        <v>1286.4655560000001</v>
      </c>
      <c r="S211">
        <v>1286.4655560000001</v>
      </c>
      <c r="T211">
        <v>0.56180555600000004</v>
      </c>
      <c r="U211">
        <v>0.56527777800000001</v>
      </c>
      <c r="V211">
        <v>0</v>
      </c>
      <c r="W211">
        <v>1</v>
      </c>
      <c r="X211">
        <v>15</v>
      </c>
      <c r="Y211">
        <v>83</v>
      </c>
      <c r="Z211">
        <v>7</v>
      </c>
      <c r="AA211">
        <f t="shared" si="3"/>
        <v>1231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5</v>
      </c>
      <c r="BH211">
        <v>0</v>
      </c>
      <c r="BI211">
        <v>1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1</v>
      </c>
      <c r="CG211">
        <v>0</v>
      </c>
      <c r="CH211">
        <v>0</v>
      </c>
      <c r="CI211">
        <v>1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</row>
    <row r="212" spans="1:96" x14ac:dyDescent="0.3">
      <c r="A212" s="1">
        <v>45517</v>
      </c>
      <c r="B212" t="s">
        <v>261</v>
      </c>
      <c r="C212" t="s">
        <v>283</v>
      </c>
      <c r="D212" t="s">
        <v>279</v>
      </c>
      <c r="E212" t="s">
        <v>271</v>
      </c>
      <c r="F212" t="s">
        <v>101</v>
      </c>
      <c r="G212">
        <v>10040</v>
      </c>
      <c r="H212" t="s">
        <v>118</v>
      </c>
      <c r="I212" t="s">
        <v>123</v>
      </c>
      <c r="J212">
        <v>4</v>
      </c>
      <c r="K212" t="s">
        <v>120</v>
      </c>
      <c r="M212">
        <v>12</v>
      </c>
      <c r="N212">
        <v>29.33333</v>
      </c>
      <c r="O212">
        <v>0.58343109100000001</v>
      </c>
      <c r="P212">
        <v>0</v>
      </c>
      <c r="Q212">
        <v>351.99995999999999</v>
      </c>
      <c r="R212">
        <v>0</v>
      </c>
      <c r="S212">
        <v>351.99995999999999</v>
      </c>
      <c r="T212">
        <v>0.57430555599999999</v>
      </c>
      <c r="U212">
        <v>0.57777777799999996</v>
      </c>
      <c r="V212">
        <v>0</v>
      </c>
      <c r="W212">
        <v>1</v>
      </c>
      <c r="X212">
        <v>15</v>
      </c>
      <c r="Y212">
        <v>83</v>
      </c>
      <c r="Z212">
        <v>2</v>
      </c>
      <c r="AA212">
        <f t="shared" si="3"/>
        <v>1233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1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1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</row>
    <row r="213" spans="1:96" x14ac:dyDescent="0.3">
      <c r="A213" s="1">
        <v>45517</v>
      </c>
      <c r="B213" t="s">
        <v>261</v>
      </c>
      <c r="C213" t="s">
        <v>242</v>
      </c>
      <c r="D213" t="s">
        <v>99</v>
      </c>
      <c r="E213" t="s">
        <v>243</v>
      </c>
      <c r="F213" t="s">
        <v>101</v>
      </c>
      <c r="G213">
        <v>10063</v>
      </c>
      <c r="H213" t="s">
        <v>113</v>
      </c>
      <c r="I213" t="s">
        <v>119</v>
      </c>
      <c r="J213">
        <v>5</v>
      </c>
      <c r="K213" t="s">
        <v>120</v>
      </c>
      <c r="L213">
        <v>12.66666667</v>
      </c>
      <c r="M213" t="s">
        <v>105</v>
      </c>
      <c r="N213">
        <v>349.6</v>
      </c>
      <c r="O213">
        <v>18.187653950000001</v>
      </c>
      <c r="P213">
        <v>230.37694999999999</v>
      </c>
      <c r="Q213">
        <v>0</v>
      </c>
      <c r="R213">
        <v>80539.781719999999</v>
      </c>
      <c r="S213">
        <v>80539.781719999999</v>
      </c>
      <c r="T213">
        <v>0.58194444400000001</v>
      </c>
      <c r="U213">
        <v>0.58541666699999995</v>
      </c>
      <c r="V213">
        <v>0</v>
      </c>
      <c r="W213">
        <v>1</v>
      </c>
      <c r="X213">
        <v>25</v>
      </c>
      <c r="Y213">
        <v>82</v>
      </c>
      <c r="Z213">
        <v>11</v>
      </c>
      <c r="AA213">
        <f t="shared" si="3"/>
        <v>1244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1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1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4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1</v>
      </c>
      <c r="BS213">
        <v>1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1</v>
      </c>
      <c r="CG213">
        <v>0</v>
      </c>
      <c r="CH213">
        <v>0</v>
      </c>
      <c r="CI213">
        <v>2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</row>
    <row r="214" spans="1:96" x14ac:dyDescent="0.3">
      <c r="A214" s="1">
        <v>45517</v>
      </c>
      <c r="B214" t="s">
        <v>261</v>
      </c>
      <c r="C214" t="s">
        <v>259</v>
      </c>
      <c r="D214" t="s">
        <v>99</v>
      </c>
      <c r="E214" t="s">
        <v>260</v>
      </c>
      <c r="F214" t="s">
        <v>101</v>
      </c>
      <c r="G214">
        <v>12020</v>
      </c>
      <c r="H214" t="s">
        <v>102</v>
      </c>
      <c r="I214" t="s">
        <v>103</v>
      </c>
      <c r="J214">
        <v>4</v>
      </c>
      <c r="K214" t="s">
        <v>104</v>
      </c>
      <c r="L214">
        <v>1.6666666670000001</v>
      </c>
      <c r="M214" t="s">
        <v>105</v>
      </c>
      <c r="N214">
        <v>167.9</v>
      </c>
      <c r="O214">
        <v>16.08081945</v>
      </c>
      <c r="P214">
        <v>26.801365749999999</v>
      </c>
      <c r="Q214">
        <v>0</v>
      </c>
      <c r="R214">
        <v>4499.94931</v>
      </c>
      <c r="S214">
        <v>4499.94931</v>
      </c>
      <c r="T214">
        <v>0.592361111</v>
      </c>
      <c r="U214">
        <v>0.59583333299999997</v>
      </c>
      <c r="V214">
        <v>0</v>
      </c>
      <c r="W214">
        <v>1</v>
      </c>
      <c r="X214">
        <v>30</v>
      </c>
      <c r="Y214">
        <v>82</v>
      </c>
      <c r="Z214">
        <v>7</v>
      </c>
      <c r="AA214">
        <f t="shared" si="3"/>
        <v>1251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1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4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1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</row>
    <row r="215" spans="1:96" x14ac:dyDescent="0.3">
      <c r="A215" s="1">
        <v>45518</v>
      </c>
      <c r="B215" t="s">
        <v>261</v>
      </c>
      <c r="C215" t="s">
        <v>178</v>
      </c>
      <c r="D215" t="s">
        <v>279</v>
      </c>
      <c r="E215" t="s">
        <v>179</v>
      </c>
      <c r="F215" t="s">
        <v>101</v>
      </c>
      <c r="G215">
        <v>93021</v>
      </c>
      <c r="H215" t="s">
        <v>102</v>
      </c>
      <c r="I215" t="s">
        <v>103</v>
      </c>
      <c r="J215" t="s">
        <v>105</v>
      </c>
      <c r="K215" t="s">
        <v>104</v>
      </c>
      <c r="L215">
        <v>13.33333333</v>
      </c>
      <c r="M215" t="s">
        <v>105</v>
      </c>
      <c r="N215">
        <v>404.7</v>
      </c>
      <c r="O215">
        <v>9.3348974590000005</v>
      </c>
      <c r="P215">
        <v>124.4652995</v>
      </c>
      <c r="Q215">
        <v>0</v>
      </c>
      <c r="R215">
        <v>50371.106690000001</v>
      </c>
      <c r="S215">
        <v>50371.106690000001</v>
      </c>
      <c r="T215">
        <v>0.42499999999999999</v>
      </c>
      <c r="U215">
        <v>0.42847222200000001</v>
      </c>
      <c r="V215">
        <v>0</v>
      </c>
      <c r="W215">
        <v>1</v>
      </c>
      <c r="X215">
        <v>20</v>
      </c>
      <c r="Y215">
        <v>76</v>
      </c>
      <c r="Z215">
        <v>22</v>
      </c>
      <c r="AA215">
        <f t="shared" si="3"/>
        <v>1273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</v>
      </c>
      <c r="AL215">
        <v>0</v>
      </c>
      <c r="AM215">
        <v>0</v>
      </c>
      <c r="AN215">
        <v>1</v>
      </c>
      <c r="AO215">
        <v>0</v>
      </c>
      <c r="AP215">
        <v>0</v>
      </c>
      <c r="AQ215">
        <v>0</v>
      </c>
      <c r="AR215">
        <v>1</v>
      </c>
      <c r="AS215">
        <v>0</v>
      </c>
      <c r="AT215">
        <v>3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8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2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1</v>
      </c>
      <c r="BT215">
        <v>0</v>
      </c>
      <c r="BU215">
        <v>0</v>
      </c>
      <c r="BV215">
        <v>2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1</v>
      </c>
      <c r="CG215">
        <v>0</v>
      </c>
      <c r="CH215">
        <v>0</v>
      </c>
      <c r="CI215">
        <v>2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 t="s">
        <v>284</v>
      </c>
    </row>
    <row r="216" spans="1:96" x14ac:dyDescent="0.3">
      <c r="A216" s="1">
        <v>45518</v>
      </c>
      <c r="B216" t="s">
        <v>261</v>
      </c>
      <c r="C216" t="s">
        <v>164</v>
      </c>
      <c r="D216" t="s">
        <v>279</v>
      </c>
      <c r="E216" t="s">
        <v>165</v>
      </c>
      <c r="F216" t="s">
        <v>101</v>
      </c>
      <c r="G216">
        <v>1004</v>
      </c>
      <c r="H216" t="s">
        <v>113</v>
      </c>
      <c r="I216" t="s">
        <v>103</v>
      </c>
      <c r="J216">
        <v>4</v>
      </c>
      <c r="K216" t="s">
        <v>120</v>
      </c>
      <c r="L216">
        <v>24</v>
      </c>
      <c r="M216" t="s">
        <v>105</v>
      </c>
      <c r="N216">
        <v>98.3</v>
      </c>
      <c r="O216">
        <v>21.003519279999999</v>
      </c>
      <c r="P216">
        <v>504.08446279999998</v>
      </c>
      <c r="Q216">
        <v>0</v>
      </c>
      <c r="R216">
        <v>49551.502690000001</v>
      </c>
      <c r="S216">
        <v>49551.502690000001</v>
      </c>
      <c r="T216">
        <v>0.43333333299999999</v>
      </c>
      <c r="U216">
        <v>0.43680555599999998</v>
      </c>
      <c r="V216">
        <v>0</v>
      </c>
      <c r="W216">
        <v>1</v>
      </c>
      <c r="X216">
        <v>25</v>
      </c>
      <c r="Y216">
        <v>76</v>
      </c>
      <c r="Z216">
        <v>14</v>
      </c>
      <c r="AA216">
        <f t="shared" si="3"/>
        <v>1287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5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3</v>
      </c>
      <c r="BT216">
        <v>0</v>
      </c>
      <c r="BU216">
        <v>0</v>
      </c>
      <c r="BV216">
        <v>4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2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</row>
    <row r="217" spans="1:96" x14ac:dyDescent="0.3">
      <c r="A217" s="1">
        <v>45518</v>
      </c>
      <c r="B217" t="s">
        <v>261</v>
      </c>
      <c r="C217" t="s">
        <v>175</v>
      </c>
      <c r="D217" t="s">
        <v>279</v>
      </c>
      <c r="E217" t="s">
        <v>176</v>
      </c>
      <c r="F217" t="s">
        <v>101</v>
      </c>
      <c r="G217">
        <v>11044</v>
      </c>
      <c r="H217" t="s">
        <v>126</v>
      </c>
      <c r="I217" t="s">
        <v>119</v>
      </c>
      <c r="J217">
        <v>4</v>
      </c>
      <c r="K217" t="s">
        <v>104</v>
      </c>
      <c r="L217">
        <v>7</v>
      </c>
      <c r="M217" t="s">
        <v>105</v>
      </c>
      <c r="N217">
        <v>88.6</v>
      </c>
      <c r="O217">
        <v>4.4121976270000003</v>
      </c>
      <c r="P217">
        <v>30.885383390000001</v>
      </c>
      <c r="Q217">
        <v>0</v>
      </c>
      <c r="R217">
        <v>2736.4449679999998</v>
      </c>
      <c r="S217">
        <v>2736.4449679999998</v>
      </c>
      <c r="T217">
        <v>0.45833333300000001</v>
      </c>
      <c r="U217">
        <v>0.46180555600000001</v>
      </c>
      <c r="V217">
        <v>0</v>
      </c>
      <c r="W217">
        <v>2</v>
      </c>
      <c r="X217">
        <v>40</v>
      </c>
      <c r="Y217">
        <v>78</v>
      </c>
      <c r="Z217">
        <v>10</v>
      </c>
      <c r="AA217">
        <f t="shared" si="3"/>
        <v>1297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1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3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1</v>
      </c>
      <c r="BT217">
        <v>0</v>
      </c>
      <c r="BU217">
        <v>0</v>
      </c>
      <c r="BV217">
        <v>2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1</v>
      </c>
      <c r="CD217">
        <v>0</v>
      </c>
      <c r="CE217">
        <v>0</v>
      </c>
      <c r="CF217">
        <v>1</v>
      </c>
      <c r="CG217">
        <v>1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</row>
    <row r="218" spans="1:96" x14ac:dyDescent="0.3">
      <c r="A218" s="1">
        <v>45518</v>
      </c>
      <c r="B218" t="s">
        <v>261</v>
      </c>
      <c r="C218" t="s">
        <v>285</v>
      </c>
      <c r="D218" t="s">
        <v>279</v>
      </c>
      <c r="E218" t="s">
        <v>286</v>
      </c>
      <c r="F218" t="s">
        <v>101</v>
      </c>
      <c r="G218">
        <v>95054</v>
      </c>
      <c r="H218" t="s">
        <v>102</v>
      </c>
      <c r="I218" t="s">
        <v>123</v>
      </c>
      <c r="J218">
        <v>4</v>
      </c>
      <c r="K218" t="s">
        <v>104</v>
      </c>
      <c r="L218">
        <v>4.1666666670000003</v>
      </c>
      <c r="M218" t="s">
        <v>105</v>
      </c>
      <c r="N218">
        <v>109.8</v>
      </c>
      <c r="O218">
        <v>16.595373259999999</v>
      </c>
      <c r="P218">
        <v>69.147388590000006</v>
      </c>
      <c r="Q218">
        <v>0</v>
      </c>
      <c r="R218">
        <v>7592.3832670000002</v>
      </c>
      <c r="S218">
        <v>7592.3832670000002</v>
      </c>
      <c r="T218">
        <v>0.46805555599999998</v>
      </c>
      <c r="U218">
        <v>0.47152777800000001</v>
      </c>
      <c r="V218">
        <v>0</v>
      </c>
      <c r="W218">
        <v>2</v>
      </c>
      <c r="X218">
        <v>55</v>
      </c>
      <c r="Y218">
        <v>78</v>
      </c>
      <c r="Z218">
        <v>20</v>
      </c>
      <c r="AA218">
        <f t="shared" si="3"/>
        <v>1317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8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1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2</v>
      </c>
      <c r="BT218">
        <v>0</v>
      </c>
      <c r="BU218">
        <v>0</v>
      </c>
      <c r="BV218">
        <v>6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1</v>
      </c>
      <c r="CG218">
        <v>0</v>
      </c>
      <c r="CH218">
        <v>0</v>
      </c>
      <c r="CI218">
        <v>2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 t="s">
        <v>287</v>
      </c>
    </row>
    <row r="219" spans="1:96" x14ac:dyDescent="0.3">
      <c r="A219" s="1">
        <v>45518</v>
      </c>
      <c r="B219" t="s">
        <v>261</v>
      </c>
      <c r="C219" t="s">
        <v>288</v>
      </c>
      <c r="D219" t="s">
        <v>279</v>
      </c>
      <c r="E219" t="s">
        <v>208</v>
      </c>
      <c r="F219" t="s">
        <v>101</v>
      </c>
      <c r="G219">
        <v>1005</v>
      </c>
      <c r="H219" t="s">
        <v>113</v>
      </c>
      <c r="I219" t="s">
        <v>119</v>
      </c>
      <c r="J219">
        <v>4</v>
      </c>
      <c r="K219" t="s">
        <v>120</v>
      </c>
      <c r="L219">
        <v>6</v>
      </c>
      <c r="M219" t="s">
        <v>105</v>
      </c>
      <c r="N219">
        <v>91.7</v>
      </c>
      <c r="O219">
        <v>8.2044997199999994</v>
      </c>
      <c r="P219">
        <v>49.22699832</v>
      </c>
      <c r="Q219">
        <v>0</v>
      </c>
      <c r="R219">
        <v>4514.1157460000004</v>
      </c>
      <c r="S219">
        <v>4514.1157460000004</v>
      </c>
      <c r="T219">
        <v>0.47638888899999998</v>
      </c>
      <c r="U219">
        <v>0.47986111100000001</v>
      </c>
      <c r="V219">
        <v>0</v>
      </c>
      <c r="W219">
        <v>1</v>
      </c>
      <c r="X219">
        <v>30</v>
      </c>
      <c r="Y219">
        <v>78</v>
      </c>
      <c r="Z219">
        <v>12</v>
      </c>
      <c r="AA219">
        <f t="shared" si="3"/>
        <v>1329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1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3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1</v>
      </c>
      <c r="BS219">
        <v>3</v>
      </c>
      <c r="BT219">
        <v>0</v>
      </c>
      <c r="BU219">
        <v>0</v>
      </c>
      <c r="BV219">
        <v>2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1</v>
      </c>
      <c r="CG219">
        <v>0</v>
      </c>
      <c r="CH219">
        <v>0</v>
      </c>
      <c r="CI219">
        <v>1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</row>
    <row r="220" spans="1:96" x14ac:dyDescent="0.3">
      <c r="A220" s="1">
        <v>45518</v>
      </c>
      <c r="B220" t="s">
        <v>261</v>
      </c>
      <c r="C220" t="s">
        <v>149</v>
      </c>
      <c r="D220" t="s">
        <v>279</v>
      </c>
      <c r="E220" t="s">
        <v>150</v>
      </c>
      <c r="F220" t="s">
        <v>101</v>
      </c>
      <c r="G220" t="s">
        <v>151</v>
      </c>
      <c r="H220" t="s">
        <v>126</v>
      </c>
      <c r="I220" t="s">
        <v>103</v>
      </c>
      <c r="J220">
        <v>4</v>
      </c>
      <c r="K220" t="s">
        <v>120</v>
      </c>
      <c r="L220">
        <v>14.33333333</v>
      </c>
      <c r="M220" t="s">
        <v>105</v>
      </c>
      <c r="N220">
        <v>72.099999999999994</v>
      </c>
      <c r="O220">
        <v>6.162490901</v>
      </c>
      <c r="P220">
        <v>88.329036239999994</v>
      </c>
      <c r="Q220">
        <v>0</v>
      </c>
      <c r="R220">
        <v>6368.5235130000001</v>
      </c>
      <c r="S220">
        <v>6368.5235130000001</v>
      </c>
      <c r="T220">
        <v>0.48541666700000002</v>
      </c>
      <c r="U220">
        <v>0.48888888899999999</v>
      </c>
      <c r="V220">
        <v>0</v>
      </c>
      <c r="W220">
        <v>2</v>
      </c>
      <c r="X220">
        <v>30</v>
      </c>
      <c r="Y220">
        <v>78</v>
      </c>
      <c r="Z220">
        <v>9</v>
      </c>
      <c r="AA220">
        <f t="shared" si="3"/>
        <v>1338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1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1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2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1</v>
      </c>
      <c r="CG220">
        <v>0</v>
      </c>
      <c r="CH220">
        <v>0</v>
      </c>
      <c r="CI220">
        <v>2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</row>
    <row r="221" spans="1:96" x14ac:dyDescent="0.3">
      <c r="A221" s="1">
        <v>45518</v>
      </c>
      <c r="B221" t="s">
        <v>261</v>
      </c>
      <c r="C221" t="s">
        <v>291</v>
      </c>
      <c r="D221" t="s">
        <v>279</v>
      </c>
      <c r="E221" t="s">
        <v>122</v>
      </c>
      <c r="F221" t="s">
        <v>101</v>
      </c>
      <c r="G221" t="s">
        <v>292</v>
      </c>
      <c r="H221" t="s">
        <v>118</v>
      </c>
      <c r="I221" t="s">
        <v>123</v>
      </c>
      <c r="J221">
        <v>5</v>
      </c>
      <c r="K221" t="s">
        <v>120</v>
      </c>
      <c r="L221">
        <v>13.66666667</v>
      </c>
      <c r="M221" t="s">
        <v>105</v>
      </c>
      <c r="N221">
        <v>76.900000000000006</v>
      </c>
      <c r="O221">
        <v>2.5322529999999999</v>
      </c>
      <c r="P221">
        <v>34.607457670000002</v>
      </c>
      <c r="Q221">
        <v>0</v>
      </c>
      <c r="R221">
        <v>2661.3134949999999</v>
      </c>
      <c r="S221">
        <v>2661.3134949999999</v>
      </c>
      <c r="T221">
        <v>0.44861111100000001</v>
      </c>
      <c r="U221">
        <v>0.45208333299999998</v>
      </c>
      <c r="V221">
        <v>0</v>
      </c>
      <c r="W221">
        <v>1</v>
      </c>
      <c r="X221">
        <v>40</v>
      </c>
      <c r="Y221">
        <v>77</v>
      </c>
      <c r="Z221">
        <v>8</v>
      </c>
      <c r="AA221">
        <f t="shared" si="3"/>
        <v>1346</v>
      </c>
      <c r="AB221">
        <v>0</v>
      </c>
      <c r="AC221">
        <v>0</v>
      </c>
      <c r="AD221">
        <v>0</v>
      </c>
      <c r="AE221">
        <v>1</v>
      </c>
      <c r="AF221">
        <v>1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1</v>
      </c>
      <c r="AP221">
        <v>0</v>
      </c>
      <c r="AQ221">
        <v>0</v>
      </c>
      <c r="AR221">
        <v>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1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1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</row>
    <row r="222" spans="1:96" x14ac:dyDescent="0.3">
      <c r="A222" s="1">
        <v>45518</v>
      </c>
      <c r="B222" t="s">
        <v>261</v>
      </c>
      <c r="C222" t="s">
        <v>167</v>
      </c>
      <c r="D222" t="s">
        <v>279</v>
      </c>
      <c r="E222" t="s">
        <v>168</v>
      </c>
      <c r="F222" t="s">
        <v>108</v>
      </c>
      <c r="G222">
        <v>18022</v>
      </c>
      <c r="H222" t="s">
        <v>102</v>
      </c>
      <c r="I222" t="s">
        <v>103</v>
      </c>
      <c r="J222">
        <v>3</v>
      </c>
      <c r="K222" t="s">
        <v>109</v>
      </c>
      <c r="L222">
        <v>5</v>
      </c>
      <c r="M222" t="s">
        <v>105</v>
      </c>
      <c r="N222">
        <v>563.42857140000001</v>
      </c>
      <c r="O222">
        <v>9.3348974590000005</v>
      </c>
      <c r="P222">
        <v>46.674487300000003</v>
      </c>
      <c r="Q222">
        <v>0</v>
      </c>
      <c r="R222">
        <v>26297.739699999998</v>
      </c>
      <c r="S222">
        <v>26297.739699999998</v>
      </c>
      <c r="T222">
        <v>0.53402777800000001</v>
      </c>
      <c r="U222">
        <v>0.53749999999999998</v>
      </c>
      <c r="V222">
        <v>0</v>
      </c>
      <c r="W222">
        <v>1</v>
      </c>
      <c r="X222">
        <v>50</v>
      </c>
      <c r="Y222">
        <v>80</v>
      </c>
      <c r="Z222">
        <v>11</v>
      </c>
      <c r="AA222">
        <f t="shared" si="3"/>
        <v>1357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1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8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1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</row>
    <row r="223" spans="1:96" x14ac:dyDescent="0.3">
      <c r="A223" s="1">
        <v>45518</v>
      </c>
      <c r="B223" t="s">
        <v>261</v>
      </c>
      <c r="C223" t="s">
        <v>198</v>
      </c>
      <c r="D223" t="s">
        <v>279</v>
      </c>
      <c r="E223" t="s">
        <v>199</v>
      </c>
      <c r="F223" t="s">
        <v>108</v>
      </c>
      <c r="G223">
        <v>16027</v>
      </c>
      <c r="H223" t="s">
        <v>113</v>
      </c>
      <c r="I223" t="s">
        <v>129</v>
      </c>
      <c r="J223">
        <v>4</v>
      </c>
      <c r="K223" t="s">
        <v>114</v>
      </c>
      <c r="M223">
        <v>3</v>
      </c>
      <c r="N223">
        <v>684</v>
      </c>
      <c r="O223">
        <v>8.2044997199999994</v>
      </c>
      <c r="P223">
        <v>0</v>
      </c>
      <c r="Q223">
        <v>2052</v>
      </c>
      <c r="R223">
        <v>0</v>
      </c>
      <c r="S223">
        <v>2052</v>
      </c>
      <c r="T223">
        <v>0.561111111</v>
      </c>
      <c r="U223">
        <v>0.56458333299999997</v>
      </c>
      <c r="V223">
        <v>0</v>
      </c>
      <c r="W223">
        <v>23</v>
      </c>
      <c r="X223">
        <v>65</v>
      </c>
      <c r="Y223">
        <v>82</v>
      </c>
      <c r="Z223">
        <v>2</v>
      </c>
      <c r="AA223">
        <f t="shared" si="3"/>
        <v>1359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1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1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</row>
    <row r="224" spans="1:96" x14ac:dyDescent="0.3">
      <c r="A224" s="1">
        <v>45518</v>
      </c>
      <c r="B224" t="s">
        <v>261</v>
      </c>
      <c r="C224" t="s">
        <v>293</v>
      </c>
      <c r="D224" t="s">
        <v>279</v>
      </c>
      <c r="E224" t="s">
        <v>294</v>
      </c>
      <c r="F224" t="s">
        <v>101</v>
      </c>
      <c r="G224">
        <v>97033</v>
      </c>
      <c r="H224" t="s">
        <v>102</v>
      </c>
      <c r="I224" t="s">
        <v>129</v>
      </c>
      <c r="J224">
        <v>4</v>
      </c>
      <c r="K224" t="s">
        <v>104</v>
      </c>
      <c r="L224">
        <v>16</v>
      </c>
      <c r="M224" t="s">
        <v>105</v>
      </c>
      <c r="N224">
        <v>160.69999999999999</v>
      </c>
      <c r="O224">
        <v>14.58577728</v>
      </c>
      <c r="P224">
        <v>233.37243649999999</v>
      </c>
      <c r="Q224">
        <v>0</v>
      </c>
      <c r="R224">
        <v>37502.950539999998</v>
      </c>
      <c r="S224">
        <v>37502.950539999998</v>
      </c>
      <c r="T224">
        <v>0.36388888899999999</v>
      </c>
      <c r="U224">
        <v>0.36736111100000002</v>
      </c>
      <c r="V224">
        <v>0</v>
      </c>
      <c r="W224">
        <v>0</v>
      </c>
      <c r="X224">
        <v>5</v>
      </c>
      <c r="Y224">
        <v>68</v>
      </c>
      <c r="Z224">
        <v>17</v>
      </c>
      <c r="AA224">
        <f t="shared" si="3"/>
        <v>1376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2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3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1</v>
      </c>
      <c r="BQ224">
        <v>0</v>
      </c>
      <c r="BR224">
        <v>0</v>
      </c>
      <c r="BS224">
        <v>3</v>
      </c>
      <c r="BT224">
        <v>0</v>
      </c>
      <c r="BU224">
        <v>0</v>
      </c>
      <c r="BV224">
        <v>4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1</v>
      </c>
      <c r="CG224">
        <v>0</v>
      </c>
      <c r="CH224">
        <v>0</v>
      </c>
      <c r="CI224">
        <v>2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</row>
    <row r="225" spans="1:96" x14ac:dyDescent="0.3">
      <c r="A225" s="1">
        <v>45518</v>
      </c>
      <c r="B225" t="s">
        <v>261</v>
      </c>
      <c r="C225" t="s">
        <v>298</v>
      </c>
      <c r="D225" t="s">
        <v>279</v>
      </c>
      <c r="E225" t="s">
        <v>296</v>
      </c>
      <c r="F225" t="s">
        <v>101</v>
      </c>
      <c r="G225">
        <v>1072</v>
      </c>
      <c r="H225" t="s">
        <v>118</v>
      </c>
      <c r="I225" t="s">
        <v>123</v>
      </c>
      <c r="J225">
        <v>4</v>
      </c>
      <c r="K225" t="s">
        <v>120</v>
      </c>
      <c r="L225">
        <v>12</v>
      </c>
      <c r="M225" t="s">
        <v>105</v>
      </c>
      <c r="N225">
        <v>104.4</v>
      </c>
      <c r="O225">
        <v>14.58577728</v>
      </c>
      <c r="P225">
        <v>175.0293274</v>
      </c>
      <c r="Q225">
        <v>0</v>
      </c>
      <c r="R225">
        <v>18273.06178</v>
      </c>
      <c r="S225">
        <v>18273.06178</v>
      </c>
      <c r="T225">
        <v>0.37430555599999998</v>
      </c>
      <c r="U225">
        <v>0.37777777800000001</v>
      </c>
      <c r="V225">
        <v>0</v>
      </c>
      <c r="W225">
        <v>1</v>
      </c>
      <c r="X225">
        <v>5</v>
      </c>
      <c r="Y225">
        <v>72</v>
      </c>
      <c r="Z225">
        <v>13</v>
      </c>
      <c r="AA225">
        <f t="shared" si="3"/>
        <v>1389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1</v>
      </c>
      <c r="AL225">
        <v>0</v>
      </c>
      <c r="AM225">
        <v>0</v>
      </c>
      <c r="AN225">
        <v>0</v>
      </c>
      <c r="AO225">
        <v>2</v>
      </c>
      <c r="AP225">
        <v>0</v>
      </c>
      <c r="AQ225">
        <v>0</v>
      </c>
      <c r="AR225">
        <v>0</v>
      </c>
      <c r="AS225">
        <v>0</v>
      </c>
      <c r="AT225">
        <v>1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3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1</v>
      </c>
      <c r="BT225">
        <v>0</v>
      </c>
      <c r="BU225">
        <v>0</v>
      </c>
      <c r="BV225">
        <v>3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2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</row>
    <row r="226" spans="1:96" x14ac:dyDescent="0.3">
      <c r="A226" s="1">
        <v>45518</v>
      </c>
      <c r="B226" t="s">
        <v>261</v>
      </c>
      <c r="C226" t="s">
        <v>139</v>
      </c>
      <c r="E226" t="s">
        <v>140</v>
      </c>
      <c r="F226" t="s">
        <v>101</v>
      </c>
      <c r="G226">
        <v>17047</v>
      </c>
      <c r="H226" t="s">
        <v>126</v>
      </c>
      <c r="I226" t="s">
        <v>119</v>
      </c>
      <c r="J226">
        <v>4</v>
      </c>
      <c r="K226" t="s">
        <v>120</v>
      </c>
      <c r="L226">
        <v>4.6666666670000003</v>
      </c>
      <c r="M226" t="s">
        <v>105</v>
      </c>
      <c r="N226">
        <v>109</v>
      </c>
      <c r="O226">
        <v>9.3348974590000005</v>
      </c>
      <c r="P226">
        <v>43.562854809999997</v>
      </c>
      <c r="Q226">
        <v>0</v>
      </c>
      <c r="R226">
        <v>4748.3511740000004</v>
      </c>
      <c r="S226">
        <v>4748.3511740000004</v>
      </c>
      <c r="T226">
        <v>0.41319444399999999</v>
      </c>
      <c r="U226">
        <v>0.41666666699999999</v>
      </c>
      <c r="V226">
        <v>0</v>
      </c>
      <c r="W226">
        <v>1</v>
      </c>
      <c r="X226">
        <v>15</v>
      </c>
      <c r="Y226">
        <v>74</v>
      </c>
      <c r="Z226">
        <v>3</v>
      </c>
      <c r="AA226">
        <f t="shared" si="3"/>
        <v>1392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1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2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</row>
    <row r="227" spans="1:96" x14ac:dyDescent="0.3">
      <c r="A227" s="1">
        <v>45518</v>
      </c>
      <c r="B227" t="s">
        <v>261</v>
      </c>
      <c r="C227" t="s">
        <v>152</v>
      </c>
      <c r="E227" t="s">
        <v>153</v>
      </c>
      <c r="F227" t="s">
        <v>108</v>
      </c>
      <c r="G227">
        <v>16025</v>
      </c>
      <c r="H227" t="s">
        <v>113</v>
      </c>
      <c r="I227" t="s">
        <v>129</v>
      </c>
      <c r="J227">
        <v>4</v>
      </c>
      <c r="K227" t="s">
        <v>114</v>
      </c>
      <c r="M227">
        <v>1</v>
      </c>
      <c r="N227">
        <v>245</v>
      </c>
      <c r="O227">
        <v>3.4073996370000001</v>
      </c>
      <c r="P227">
        <v>0</v>
      </c>
      <c r="Q227">
        <v>245</v>
      </c>
      <c r="R227">
        <v>0</v>
      </c>
      <c r="S227">
        <v>245</v>
      </c>
      <c r="T227" t="s">
        <v>105</v>
      </c>
      <c r="U227" t="s">
        <v>105</v>
      </c>
      <c r="V227">
        <v>0</v>
      </c>
      <c r="W227">
        <v>2</v>
      </c>
      <c r="X227">
        <v>50</v>
      </c>
      <c r="Y227">
        <v>82</v>
      </c>
      <c r="Z227">
        <v>0</v>
      </c>
      <c r="AA227">
        <f t="shared" si="3"/>
        <v>1392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 t="s">
        <v>320</v>
      </c>
    </row>
    <row r="228" spans="1:96" x14ac:dyDescent="0.3">
      <c r="A228" s="1">
        <v>45518</v>
      </c>
      <c r="B228" t="s">
        <v>261</v>
      </c>
      <c r="C228" t="s">
        <v>254</v>
      </c>
      <c r="E228" t="s">
        <v>255</v>
      </c>
      <c r="F228" t="s">
        <v>108</v>
      </c>
      <c r="G228">
        <v>16026</v>
      </c>
      <c r="H228" t="s">
        <v>118</v>
      </c>
      <c r="I228" t="s">
        <v>129</v>
      </c>
      <c r="J228">
        <v>4</v>
      </c>
      <c r="K228" t="s">
        <v>114</v>
      </c>
      <c r="M228">
        <v>1</v>
      </c>
      <c r="N228">
        <v>119</v>
      </c>
      <c r="O228">
        <v>2.1432989390000001</v>
      </c>
      <c r="P228">
        <v>0</v>
      </c>
      <c r="Q228">
        <v>119</v>
      </c>
      <c r="R228">
        <v>0</v>
      </c>
      <c r="S228">
        <v>119</v>
      </c>
      <c r="T228" t="s">
        <v>105</v>
      </c>
      <c r="U228" t="s">
        <v>105</v>
      </c>
      <c r="V228">
        <v>0</v>
      </c>
      <c r="W228">
        <v>2</v>
      </c>
      <c r="X228">
        <v>50</v>
      </c>
      <c r="Y228">
        <v>82</v>
      </c>
      <c r="Z228">
        <v>0</v>
      </c>
      <c r="AA228">
        <f t="shared" si="3"/>
        <v>1392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 t="s">
        <v>321</v>
      </c>
    </row>
    <row r="229" spans="1:96" x14ac:dyDescent="0.3">
      <c r="A229" s="1">
        <v>45518</v>
      </c>
      <c r="B229" t="s">
        <v>261</v>
      </c>
      <c r="C229" t="s">
        <v>106</v>
      </c>
      <c r="E229" t="s">
        <v>107</v>
      </c>
      <c r="F229" t="s">
        <v>108</v>
      </c>
      <c r="G229">
        <v>2068</v>
      </c>
      <c r="H229" t="s">
        <v>102</v>
      </c>
      <c r="I229" t="s">
        <v>103</v>
      </c>
      <c r="J229">
        <v>4</v>
      </c>
      <c r="K229" t="s">
        <v>109</v>
      </c>
      <c r="L229">
        <v>0</v>
      </c>
      <c r="M229" t="s">
        <v>105</v>
      </c>
      <c r="N229">
        <v>278.5</v>
      </c>
      <c r="O229" t="e">
        <v>#VALUE!</v>
      </c>
      <c r="P229" t="e">
        <v>#VALUE!</v>
      </c>
      <c r="Q229">
        <v>0</v>
      </c>
      <c r="R229" t="e">
        <v>#VALUE!</v>
      </c>
      <c r="S229">
        <v>0</v>
      </c>
      <c r="T229" t="s">
        <v>105</v>
      </c>
      <c r="U229" t="s">
        <v>105</v>
      </c>
      <c r="V229">
        <v>0</v>
      </c>
      <c r="W229">
        <v>2</v>
      </c>
      <c r="X229">
        <v>40</v>
      </c>
      <c r="Y229">
        <v>82</v>
      </c>
      <c r="Z229">
        <v>0</v>
      </c>
      <c r="AA229">
        <f t="shared" si="3"/>
        <v>1392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 t="s">
        <v>322</v>
      </c>
    </row>
    <row r="230" spans="1:96" x14ac:dyDescent="0.3">
      <c r="A230" s="1">
        <v>45518</v>
      </c>
      <c r="B230" t="s">
        <v>261</v>
      </c>
      <c r="C230" t="s">
        <v>308</v>
      </c>
      <c r="E230" t="s">
        <v>225</v>
      </c>
      <c r="F230" t="s">
        <v>101</v>
      </c>
      <c r="G230">
        <v>98053</v>
      </c>
      <c r="H230" t="s">
        <v>126</v>
      </c>
      <c r="I230" t="s">
        <v>129</v>
      </c>
      <c r="J230">
        <v>4</v>
      </c>
      <c r="K230" t="s">
        <v>120</v>
      </c>
      <c r="M230">
        <v>34</v>
      </c>
      <c r="N230">
        <v>232.8</v>
      </c>
      <c r="O230">
        <v>13.163664000000001</v>
      </c>
      <c r="P230">
        <v>0</v>
      </c>
      <c r="Q230">
        <v>7915.2</v>
      </c>
      <c r="R230">
        <v>0</v>
      </c>
      <c r="S230">
        <v>7915.2</v>
      </c>
      <c r="T230">
        <v>0.44097222200000002</v>
      </c>
      <c r="U230">
        <v>0.44444444399999999</v>
      </c>
      <c r="V230">
        <v>0</v>
      </c>
      <c r="W230">
        <v>1</v>
      </c>
      <c r="X230">
        <v>30</v>
      </c>
      <c r="Y230">
        <v>76</v>
      </c>
      <c r="Z230">
        <v>14</v>
      </c>
      <c r="AA230">
        <f t="shared" si="3"/>
        <v>1406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8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4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2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</row>
    <row r="231" spans="1:96" x14ac:dyDescent="0.3">
      <c r="A231" s="1">
        <v>45518</v>
      </c>
      <c r="B231" t="s">
        <v>261</v>
      </c>
      <c r="C231" t="s">
        <v>184</v>
      </c>
      <c r="E231" t="s">
        <v>185</v>
      </c>
      <c r="F231" t="s">
        <v>101</v>
      </c>
      <c r="G231" t="s">
        <v>186</v>
      </c>
      <c r="H231" t="s">
        <v>102</v>
      </c>
      <c r="I231" t="s">
        <v>103</v>
      </c>
      <c r="J231">
        <v>4</v>
      </c>
      <c r="K231" t="s">
        <v>104</v>
      </c>
      <c r="L231">
        <v>0</v>
      </c>
      <c r="M231" t="s">
        <v>105</v>
      </c>
      <c r="N231" t="s">
        <v>105</v>
      </c>
      <c r="O231">
        <v>1.0372108289999999</v>
      </c>
      <c r="P231">
        <v>0</v>
      </c>
      <c r="Q231" t="e">
        <v>#VALUE!</v>
      </c>
      <c r="R231" t="e">
        <v>#VALUE!</v>
      </c>
      <c r="S231">
        <v>0</v>
      </c>
      <c r="T231">
        <v>0.38194444399999999</v>
      </c>
      <c r="U231">
        <v>0.38541666699999999</v>
      </c>
      <c r="V231">
        <v>0</v>
      </c>
      <c r="W231">
        <v>0</v>
      </c>
      <c r="X231">
        <v>5</v>
      </c>
      <c r="Y231">
        <v>72</v>
      </c>
      <c r="Z231">
        <v>0</v>
      </c>
      <c r="AA231">
        <f t="shared" si="3"/>
        <v>1406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 t="s">
        <v>323</v>
      </c>
    </row>
    <row r="232" spans="1:96" x14ac:dyDescent="0.3">
      <c r="A232" s="1">
        <v>45518</v>
      </c>
      <c r="B232" t="s">
        <v>261</v>
      </c>
      <c r="C232" t="s">
        <v>156</v>
      </c>
      <c r="E232" t="s">
        <v>157</v>
      </c>
      <c r="F232" t="s">
        <v>108</v>
      </c>
      <c r="G232" t="s">
        <v>158</v>
      </c>
      <c r="H232" t="s">
        <v>102</v>
      </c>
      <c r="I232" t="s">
        <v>103</v>
      </c>
      <c r="J232">
        <v>4</v>
      </c>
      <c r="K232" t="s">
        <v>109</v>
      </c>
      <c r="M232">
        <v>1</v>
      </c>
      <c r="N232">
        <v>390.5</v>
      </c>
      <c r="O232">
        <v>3.6464443200000001</v>
      </c>
      <c r="P232">
        <v>0</v>
      </c>
      <c r="Q232">
        <v>390.5</v>
      </c>
      <c r="R232">
        <v>0</v>
      </c>
      <c r="S232">
        <v>390.5</v>
      </c>
      <c r="T232">
        <v>0.54583333300000003</v>
      </c>
      <c r="U232">
        <v>0.54930555599999997</v>
      </c>
      <c r="V232">
        <v>0</v>
      </c>
      <c r="W232">
        <v>2</v>
      </c>
      <c r="X232">
        <v>80</v>
      </c>
      <c r="Y232">
        <v>82</v>
      </c>
      <c r="Z232">
        <v>0</v>
      </c>
      <c r="AA232">
        <f t="shared" si="3"/>
        <v>1406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 t="s">
        <v>320</v>
      </c>
    </row>
    <row r="233" spans="1:96" x14ac:dyDescent="0.3">
      <c r="A233" s="1">
        <v>45518</v>
      </c>
      <c r="B233" t="s">
        <v>261</v>
      </c>
      <c r="C233" t="s">
        <v>190</v>
      </c>
      <c r="E233" t="s">
        <v>191</v>
      </c>
      <c r="F233" t="s">
        <v>108</v>
      </c>
      <c r="G233">
        <v>14020</v>
      </c>
      <c r="H233" t="s">
        <v>126</v>
      </c>
      <c r="I233" t="s">
        <v>103</v>
      </c>
      <c r="J233">
        <v>4</v>
      </c>
      <c r="K233" t="s">
        <v>114</v>
      </c>
      <c r="L233">
        <v>0</v>
      </c>
      <c r="M233" t="s">
        <v>105</v>
      </c>
      <c r="N233">
        <v>371.4</v>
      </c>
      <c r="O233">
        <v>21.591001980000001</v>
      </c>
      <c r="P233">
        <v>0</v>
      </c>
      <c r="Q233">
        <v>0</v>
      </c>
      <c r="R233">
        <v>0</v>
      </c>
      <c r="S233">
        <v>0</v>
      </c>
      <c r="T233" t="s">
        <v>105</v>
      </c>
      <c r="U233" t="s">
        <v>105</v>
      </c>
      <c r="V233" t="s">
        <v>105</v>
      </c>
      <c r="W233" t="s">
        <v>105</v>
      </c>
      <c r="X233" t="s">
        <v>105</v>
      </c>
      <c r="Y233" t="s">
        <v>105</v>
      </c>
      <c r="Z233">
        <v>0</v>
      </c>
      <c r="AA233">
        <f t="shared" si="3"/>
        <v>1406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 t="s">
        <v>322</v>
      </c>
    </row>
    <row r="234" spans="1:96" x14ac:dyDescent="0.3">
      <c r="A234" s="1">
        <v>45518</v>
      </c>
      <c r="B234" t="s">
        <v>261</v>
      </c>
      <c r="C234" t="s">
        <v>301</v>
      </c>
      <c r="E234" t="s">
        <v>302</v>
      </c>
      <c r="F234" t="s">
        <v>101</v>
      </c>
      <c r="G234">
        <v>96102</v>
      </c>
      <c r="H234" t="s">
        <v>102</v>
      </c>
      <c r="I234" t="s">
        <v>103</v>
      </c>
      <c r="J234">
        <v>4</v>
      </c>
      <c r="K234" t="s">
        <v>104</v>
      </c>
      <c r="L234">
        <v>25.333333329999999</v>
      </c>
      <c r="M234" t="s">
        <v>105</v>
      </c>
      <c r="N234">
        <v>492.1</v>
      </c>
      <c r="O234">
        <v>6.8107476690000004</v>
      </c>
      <c r="P234">
        <v>172.5389409</v>
      </c>
      <c r="Q234">
        <v>0</v>
      </c>
      <c r="R234">
        <v>84906.412840000005</v>
      </c>
      <c r="S234">
        <v>84906.412840000005</v>
      </c>
      <c r="T234">
        <v>0.34583333300000002</v>
      </c>
      <c r="U234">
        <v>0.34930555600000002</v>
      </c>
      <c r="V234">
        <v>0</v>
      </c>
      <c r="W234">
        <v>0</v>
      </c>
      <c r="X234">
        <v>5</v>
      </c>
      <c r="Y234">
        <v>68</v>
      </c>
      <c r="Z234">
        <v>8</v>
      </c>
      <c r="AA234">
        <f t="shared" si="3"/>
        <v>1414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3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2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1</v>
      </c>
      <c r="CG234">
        <v>0</v>
      </c>
      <c r="CH234">
        <v>0</v>
      </c>
      <c r="CI234">
        <v>2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</row>
    <row r="235" spans="1:96" x14ac:dyDescent="0.3">
      <c r="A235" s="1">
        <v>45518</v>
      </c>
      <c r="B235" t="s">
        <v>261</v>
      </c>
      <c r="C235" t="s">
        <v>169</v>
      </c>
      <c r="E235" t="s">
        <v>170</v>
      </c>
      <c r="F235" t="s">
        <v>108</v>
      </c>
      <c r="G235">
        <v>10067</v>
      </c>
      <c r="H235" t="s">
        <v>126</v>
      </c>
      <c r="I235" t="s">
        <v>129</v>
      </c>
      <c r="J235">
        <v>4</v>
      </c>
      <c r="K235" t="s">
        <v>114</v>
      </c>
      <c r="L235">
        <v>0</v>
      </c>
      <c r="M235" t="s">
        <v>105</v>
      </c>
      <c r="N235">
        <v>88</v>
      </c>
      <c r="O235">
        <v>3.4073996370000001</v>
      </c>
      <c r="P235">
        <v>0</v>
      </c>
      <c r="Q235">
        <v>0</v>
      </c>
      <c r="R235">
        <v>0</v>
      </c>
      <c r="S235">
        <v>0</v>
      </c>
      <c r="T235" t="s">
        <v>105</v>
      </c>
      <c r="U235" t="s">
        <v>105</v>
      </c>
      <c r="V235" t="s">
        <v>105</v>
      </c>
      <c r="W235" t="s">
        <v>105</v>
      </c>
      <c r="X235" t="s">
        <v>105</v>
      </c>
      <c r="Y235" t="s">
        <v>105</v>
      </c>
      <c r="Z235">
        <v>0</v>
      </c>
      <c r="AA235">
        <f t="shared" si="3"/>
        <v>1414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 t="s">
        <v>324</v>
      </c>
    </row>
    <row r="236" spans="1:96" x14ac:dyDescent="0.3">
      <c r="A236" s="1">
        <v>45518</v>
      </c>
      <c r="B236" t="s">
        <v>261</v>
      </c>
      <c r="C236" t="s">
        <v>188</v>
      </c>
      <c r="E236" t="s">
        <v>189</v>
      </c>
      <c r="F236" t="s">
        <v>101</v>
      </c>
      <c r="G236">
        <v>15055</v>
      </c>
      <c r="H236" t="s">
        <v>113</v>
      </c>
      <c r="I236" t="s">
        <v>119</v>
      </c>
      <c r="J236">
        <v>4</v>
      </c>
      <c r="K236" t="s">
        <v>120</v>
      </c>
      <c r="L236">
        <v>14</v>
      </c>
      <c r="M236" t="s">
        <v>105</v>
      </c>
      <c r="N236">
        <v>42.8</v>
      </c>
      <c r="O236">
        <v>11.8144796</v>
      </c>
      <c r="P236">
        <v>165.40271440000001</v>
      </c>
      <c r="Q236">
        <v>0</v>
      </c>
      <c r="R236">
        <v>7079.2361739999997</v>
      </c>
      <c r="S236">
        <v>7079.2361739999997</v>
      </c>
      <c r="T236">
        <v>0.35486111100000001</v>
      </c>
      <c r="U236">
        <v>0.35833333299999998</v>
      </c>
      <c r="V236">
        <v>0</v>
      </c>
      <c r="W236">
        <v>0</v>
      </c>
      <c r="X236">
        <v>5</v>
      </c>
      <c r="Y236">
        <v>68</v>
      </c>
      <c r="Z236">
        <v>1</v>
      </c>
      <c r="AA236">
        <f t="shared" si="3"/>
        <v>1415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1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</row>
    <row r="237" spans="1:96" x14ac:dyDescent="0.3">
      <c r="A237" s="1">
        <v>45518</v>
      </c>
      <c r="B237" t="s">
        <v>261</v>
      </c>
      <c r="C237" t="s">
        <v>325</v>
      </c>
      <c r="E237" t="s">
        <v>157</v>
      </c>
      <c r="F237" t="s">
        <v>108</v>
      </c>
      <c r="G237">
        <v>3094</v>
      </c>
      <c r="H237" t="s">
        <v>102</v>
      </c>
      <c r="I237" t="s">
        <v>103</v>
      </c>
      <c r="J237">
        <v>4</v>
      </c>
      <c r="K237" t="s">
        <v>109</v>
      </c>
      <c r="L237">
        <v>0</v>
      </c>
      <c r="M237" t="s">
        <v>105</v>
      </c>
      <c r="N237">
        <v>460</v>
      </c>
      <c r="O237">
        <v>7.1470308669999998</v>
      </c>
      <c r="P237">
        <v>0</v>
      </c>
      <c r="Q237">
        <v>0</v>
      </c>
      <c r="R237">
        <v>0</v>
      </c>
      <c r="S237">
        <v>0</v>
      </c>
      <c r="T237" t="s">
        <v>105</v>
      </c>
      <c r="U237" t="s">
        <v>105</v>
      </c>
      <c r="V237" t="s">
        <v>105</v>
      </c>
      <c r="W237" t="s">
        <v>105</v>
      </c>
      <c r="X237" t="s">
        <v>105</v>
      </c>
      <c r="Y237" t="s">
        <v>105</v>
      </c>
      <c r="Z237">
        <v>0</v>
      </c>
      <c r="AA237">
        <f t="shared" si="3"/>
        <v>1415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 t="s">
        <v>324</v>
      </c>
    </row>
    <row r="238" spans="1:96" x14ac:dyDescent="0.3">
      <c r="A238" s="1">
        <v>45518</v>
      </c>
      <c r="B238" t="s">
        <v>261</v>
      </c>
      <c r="C238" t="s">
        <v>204</v>
      </c>
      <c r="E238" t="s">
        <v>205</v>
      </c>
      <c r="F238" t="s">
        <v>108</v>
      </c>
      <c r="G238">
        <v>11029</v>
      </c>
      <c r="H238" t="s">
        <v>126</v>
      </c>
      <c r="I238" t="s">
        <v>129</v>
      </c>
      <c r="J238">
        <v>4</v>
      </c>
      <c r="K238" t="s">
        <v>109</v>
      </c>
      <c r="L238">
        <v>0</v>
      </c>
      <c r="M238" t="s">
        <v>105</v>
      </c>
      <c r="N238">
        <v>424.5</v>
      </c>
      <c r="O238">
        <v>3.8935922129999998</v>
      </c>
      <c r="P238">
        <v>0</v>
      </c>
      <c r="Q238">
        <v>0</v>
      </c>
      <c r="R238">
        <v>0</v>
      </c>
      <c r="S238">
        <v>0</v>
      </c>
      <c r="T238" t="s">
        <v>105</v>
      </c>
      <c r="U238" t="s">
        <v>105</v>
      </c>
      <c r="V238" t="s">
        <v>105</v>
      </c>
      <c r="W238" t="s">
        <v>105</v>
      </c>
      <c r="X238" t="s">
        <v>105</v>
      </c>
      <c r="Y238" t="s">
        <v>105</v>
      </c>
      <c r="Z238">
        <v>0</v>
      </c>
      <c r="AA238">
        <f t="shared" si="3"/>
        <v>1415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 t="s">
        <v>324</v>
      </c>
    </row>
    <row r="239" spans="1:96" x14ac:dyDescent="0.3">
      <c r="A239" s="1">
        <v>45518</v>
      </c>
      <c r="B239" t="s">
        <v>261</v>
      </c>
      <c r="C239" t="s">
        <v>174</v>
      </c>
      <c r="E239" t="s">
        <v>153</v>
      </c>
      <c r="F239" t="s">
        <v>108</v>
      </c>
      <c r="G239">
        <v>9050</v>
      </c>
      <c r="H239" t="s">
        <v>113</v>
      </c>
      <c r="I239" t="s">
        <v>103</v>
      </c>
      <c r="J239">
        <v>3</v>
      </c>
      <c r="K239" t="s">
        <v>114</v>
      </c>
      <c r="L239">
        <v>0</v>
      </c>
      <c r="M239" t="s">
        <v>105</v>
      </c>
      <c r="N239">
        <v>557.4</v>
      </c>
      <c r="O239">
        <v>13.163664000000001</v>
      </c>
      <c r="P239">
        <v>0</v>
      </c>
      <c r="Q239">
        <v>0</v>
      </c>
      <c r="R239">
        <v>0</v>
      </c>
      <c r="S239">
        <v>0</v>
      </c>
      <c r="T239" t="s">
        <v>105</v>
      </c>
      <c r="U239" t="s">
        <v>105</v>
      </c>
      <c r="V239" t="s">
        <v>105</v>
      </c>
      <c r="W239" t="s">
        <v>105</v>
      </c>
      <c r="X239" t="s">
        <v>105</v>
      </c>
      <c r="Y239" t="s">
        <v>105</v>
      </c>
      <c r="Z239">
        <v>0</v>
      </c>
      <c r="AA239">
        <f t="shared" si="3"/>
        <v>1415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 t="s">
        <v>324</v>
      </c>
    </row>
    <row r="240" spans="1:96" x14ac:dyDescent="0.3">
      <c r="A240" s="1">
        <v>45524</v>
      </c>
      <c r="B240" t="s">
        <v>261</v>
      </c>
      <c r="C240" t="s">
        <v>280</v>
      </c>
      <c r="D240" t="s">
        <v>193</v>
      </c>
      <c r="E240" t="s">
        <v>281</v>
      </c>
      <c r="F240" t="s">
        <v>101</v>
      </c>
      <c r="G240" t="s">
        <v>282</v>
      </c>
      <c r="H240" t="s">
        <v>102</v>
      </c>
      <c r="I240" t="s">
        <v>103</v>
      </c>
      <c r="J240">
        <v>4</v>
      </c>
      <c r="K240" t="s">
        <v>104</v>
      </c>
      <c r="M240">
        <v>34</v>
      </c>
      <c r="N240">
        <v>243</v>
      </c>
      <c r="O240">
        <v>3.1764581629999999</v>
      </c>
      <c r="P240">
        <v>0</v>
      </c>
      <c r="Q240">
        <v>8262</v>
      </c>
      <c r="R240">
        <v>0</v>
      </c>
      <c r="S240">
        <v>8262</v>
      </c>
      <c r="T240">
        <v>0.55972222199999999</v>
      </c>
      <c r="U240">
        <v>0.56319444399999996</v>
      </c>
      <c r="V240">
        <v>0</v>
      </c>
      <c r="W240">
        <v>1</v>
      </c>
      <c r="X240">
        <v>15</v>
      </c>
      <c r="Y240">
        <v>70</v>
      </c>
      <c r="Z240">
        <v>6</v>
      </c>
      <c r="AA240">
        <f t="shared" si="3"/>
        <v>1421</v>
      </c>
      <c r="AB240">
        <v>0</v>
      </c>
      <c r="AC240">
        <v>1</v>
      </c>
      <c r="AD240">
        <v>0</v>
      </c>
      <c r="AE240">
        <v>0</v>
      </c>
      <c r="AF240">
        <v>1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1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1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1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</row>
    <row r="241" spans="1:96" x14ac:dyDescent="0.3">
      <c r="A241" s="1">
        <v>45524</v>
      </c>
      <c r="B241" t="s">
        <v>261</v>
      </c>
      <c r="C241" t="s">
        <v>283</v>
      </c>
      <c r="D241" t="s">
        <v>193</v>
      </c>
      <c r="E241" t="s">
        <v>271</v>
      </c>
      <c r="F241" t="s">
        <v>101</v>
      </c>
      <c r="G241">
        <v>10040</v>
      </c>
      <c r="H241" t="s">
        <v>118</v>
      </c>
      <c r="I241" t="s">
        <v>123</v>
      </c>
      <c r="J241">
        <v>4</v>
      </c>
      <c r="K241" t="s">
        <v>120</v>
      </c>
      <c r="M241">
        <v>6</v>
      </c>
      <c r="N241">
        <v>29.33333</v>
      </c>
      <c r="O241">
        <v>0.58343109100000001</v>
      </c>
      <c r="P241">
        <v>0</v>
      </c>
      <c r="Q241">
        <v>175.99997999999999</v>
      </c>
      <c r="R241">
        <v>0</v>
      </c>
      <c r="S241">
        <v>175.99997999999999</v>
      </c>
      <c r="T241">
        <v>0.56944444400000005</v>
      </c>
      <c r="U241">
        <v>0.57291666699999999</v>
      </c>
      <c r="V241">
        <v>0</v>
      </c>
      <c r="W241">
        <v>1</v>
      </c>
      <c r="X241">
        <v>15</v>
      </c>
      <c r="Y241">
        <v>70</v>
      </c>
      <c r="Z241">
        <v>2</v>
      </c>
      <c r="AA241">
        <f t="shared" si="3"/>
        <v>1423</v>
      </c>
      <c r="AB241">
        <v>0</v>
      </c>
      <c r="AC241">
        <v>0</v>
      </c>
      <c r="AD241">
        <v>0</v>
      </c>
      <c r="AE241">
        <v>1</v>
      </c>
      <c r="AF241">
        <v>1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 t="s">
        <v>304</v>
      </c>
    </row>
    <row r="242" spans="1:96" x14ac:dyDescent="0.3">
      <c r="A242" s="1">
        <v>45524</v>
      </c>
      <c r="B242" t="s">
        <v>261</v>
      </c>
      <c r="C242" t="s">
        <v>242</v>
      </c>
      <c r="D242" t="s">
        <v>193</v>
      </c>
      <c r="E242" t="s">
        <v>243</v>
      </c>
      <c r="F242" t="s">
        <v>101</v>
      </c>
      <c r="G242">
        <v>10063</v>
      </c>
      <c r="H242" t="s">
        <v>113</v>
      </c>
      <c r="I242" t="s">
        <v>119</v>
      </c>
      <c r="J242">
        <v>5</v>
      </c>
      <c r="K242" t="s">
        <v>120</v>
      </c>
      <c r="L242">
        <v>12.33333333</v>
      </c>
      <c r="M242" t="s">
        <v>105</v>
      </c>
      <c r="N242">
        <v>349.6</v>
      </c>
      <c r="O242">
        <v>18.187653950000001</v>
      </c>
      <c r="P242">
        <v>224.3143987</v>
      </c>
      <c r="Q242">
        <v>0</v>
      </c>
      <c r="R242">
        <v>78420.313779999997</v>
      </c>
      <c r="S242">
        <v>78420.313779999997</v>
      </c>
      <c r="T242">
        <v>0.57777777799999996</v>
      </c>
      <c r="U242">
        <v>0.58125000000000004</v>
      </c>
      <c r="V242">
        <v>0</v>
      </c>
      <c r="W242">
        <v>1</v>
      </c>
      <c r="X242">
        <v>15</v>
      </c>
      <c r="Y242">
        <v>70</v>
      </c>
      <c r="Z242">
        <v>16</v>
      </c>
      <c r="AA242">
        <f t="shared" si="3"/>
        <v>1439</v>
      </c>
      <c r="AB242">
        <v>0</v>
      </c>
      <c r="AC242">
        <v>2</v>
      </c>
      <c r="AD242" t="s">
        <v>105</v>
      </c>
      <c r="AE242">
        <v>1</v>
      </c>
      <c r="AF242">
        <v>1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1</v>
      </c>
      <c r="BD242">
        <v>0</v>
      </c>
      <c r="BE242">
        <v>0</v>
      </c>
      <c r="BF242">
        <v>0</v>
      </c>
      <c r="BG242">
        <v>5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1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3</v>
      </c>
      <c r="CJ242">
        <v>0</v>
      </c>
      <c r="CK242">
        <v>0</v>
      </c>
      <c r="CL242">
        <v>0</v>
      </c>
      <c r="CM242">
        <v>1</v>
      </c>
      <c r="CN242">
        <v>1</v>
      </c>
      <c r="CO242">
        <v>0</v>
      </c>
      <c r="CP242">
        <v>0</v>
      </c>
      <c r="CQ242">
        <v>0</v>
      </c>
    </row>
    <row r="243" spans="1:96" x14ac:dyDescent="0.3">
      <c r="A243" s="1">
        <v>45524</v>
      </c>
      <c r="B243" t="s">
        <v>261</v>
      </c>
      <c r="C243" t="s">
        <v>259</v>
      </c>
      <c r="D243" t="s">
        <v>193</v>
      </c>
      <c r="E243" t="s">
        <v>260</v>
      </c>
      <c r="F243" t="s">
        <v>101</v>
      </c>
      <c r="G243">
        <v>12020</v>
      </c>
      <c r="H243" t="s">
        <v>102</v>
      </c>
      <c r="I243" t="s">
        <v>103</v>
      </c>
      <c r="J243">
        <v>4</v>
      </c>
      <c r="K243" t="s">
        <v>104</v>
      </c>
      <c r="L243">
        <v>3</v>
      </c>
      <c r="M243" t="s">
        <v>105</v>
      </c>
      <c r="N243">
        <v>167.9</v>
      </c>
      <c r="O243">
        <v>16.08081945</v>
      </c>
      <c r="P243">
        <v>48.24245835</v>
      </c>
      <c r="Q243">
        <v>0</v>
      </c>
      <c r="R243">
        <v>8099.9087579999996</v>
      </c>
      <c r="S243">
        <v>8099.9087579999996</v>
      </c>
      <c r="T243">
        <v>0.58750000000000002</v>
      </c>
      <c r="U243">
        <v>0.59097222199999999</v>
      </c>
      <c r="V243">
        <v>0</v>
      </c>
      <c r="W243">
        <v>1</v>
      </c>
      <c r="X243">
        <v>10</v>
      </c>
      <c r="Y243">
        <v>71</v>
      </c>
      <c r="Z243">
        <v>10</v>
      </c>
      <c r="AA243">
        <f t="shared" si="3"/>
        <v>1449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3</v>
      </c>
      <c r="BH243">
        <v>0</v>
      </c>
      <c r="BI243">
        <v>1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1</v>
      </c>
      <c r="BT243">
        <v>0</v>
      </c>
      <c r="BU243">
        <v>0</v>
      </c>
      <c r="BV243">
        <v>2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2</v>
      </c>
      <c r="CG243">
        <v>0</v>
      </c>
      <c r="CH243">
        <v>0</v>
      </c>
      <c r="CI243">
        <v>2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 t="s">
        <v>305</v>
      </c>
    </row>
    <row r="244" spans="1:96" x14ac:dyDescent="0.3">
      <c r="A244" s="1">
        <v>45524</v>
      </c>
      <c r="B244" t="s">
        <v>261</v>
      </c>
      <c r="C244" t="s">
        <v>167</v>
      </c>
      <c r="D244" t="s">
        <v>193</v>
      </c>
      <c r="E244" t="s">
        <v>168</v>
      </c>
      <c r="F244" t="s">
        <v>108</v>
      </c>
      <c r="G244">
        <v>18022</v>
      </c>
      <c r="H244" t="s">
        <v>102</v>
      </c>
      <c r="I244" t="s">
        <v>103</v>
      </c>
      <c r="J244">
        <v>3</v>
      </c>
      <c r="K244" t="s">
        <v>109</v>
      </c>
      <c r="M244" t="s">
        <v>105</v>
      </c>
      <c r="N244">
        <v>563.42857140000001</v>
      </c>
      <c r="O244">
        <v>9.3348974590000005</v>
      </c>
      <c r="T244" t="s">
        <v>105</v>
      </c>
      <c r="U244" t="s">
        <v>105</v>
      </c>
      <c r="V244" t="s">
        <v>105</v>
      </c>
      <c r="W244" t="s">
        <v>105</v>
      </c>
      <c r="X244" t="s">
        <v>105</v>
      </c>
      <c r="Y244" t="s">
        <v>105</v>
      </c>
      <c r="Z244">
        <v>3</v>
      </c>
      <c r="AA244">
        <f t="shared" si="3"/>
        <v>1452</v>
      </c>
      <c r="AB244">
        <v>0</v>
      </c>
      <c r="AC244">
        <v>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1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1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1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</row>
    <row r="245" spans="1:96" x14ac:dyDescent="0.3">
      <c r="A245" s="1">
        <v>45524</v>
      </c>
      <c r="B245" t="s">
        <v>261</v>
      </c>
      <c r="C245" t="s">
        <v>301</v>
      </c>
      <c r="D245" t="s">
        <v>193</v>
      </c>
      <c r="E245" t="s">
        <v>302</v>
      </c>
      <c r="F245" t="s">
        <v>101</v>
      </c>
      <c r="G245">
        <v>96102</v>
      </c>
      <c r="H245" t="s">
        <v>102</v>
      </c>
      <c r="I245" t="s">
        <v>103</v>
      </c>
      <c r="J245">
        <v>4</v>
      </c>
      <c r="K245" t="s">
        <v>104</v>
      </c>
      <c r="L245">
        <v>13.66666667</v>
      </c>
      <c r="M245" t="s">
        <v>105</v>
      </c>
      <c r="N245">
        <v>492.1</v>
      </c>
      <c r="O245">
        <v>6.8107476690000004</v>
      </c>
      <c r="P245">
        <v>93.080218139999999</v>
      </c>
      <c r="Q245">
        <v>0</v>
      </c>
      <c r="R245">
        <v>45804.775350000004</v>
      </c>
      <c r="S245">
        <v>45804.775350000004</v>
      </c>
      <c r="T245">
        <v>0.59652777800000001</v>
      </c>
      <c r="U245">
        <v>0.6</v>
      </c>
      <c r="V245">
        <v>0</v>
      </c>
      <c r="W245">
        <v>1</v>
      </c>
      <c r="X245">
        <v>15</v>
      </c>
      <c r="Y245">
        <v>71</v>
      </c>
      <c r="Z245">
        <v>8</v>
      </c>
      <c r="AA245">
        <f t="shared" si="3"/>
        <v>1460</v>
      </c>
      <c r="AB245">
        <v>0</v>
      </c>
      <c r="AC245">
        <v>3</v>
      </c>
      <c r="AD245">
        <v>0</v>
      </c>
      <c r="AE245">
        <v>0</v>
      </c>
      <c r="AF245">
        <v>1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</v>
      </c>
      <c r="BH245">
        <v>1</v>
      </c>
      <c r="BI245">
        <v>0</v>
      </c>
      <c r="BJ245">
        <v>0</v>
      </c>
      <c r="BK245">
        <v>0</v>
      </c>
      <c r="BL245">
        <v>0</v>
      </c>
      <c r="BM245">
        <v>1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1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2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 t="s">
        <v>306</v>
      </c>
    </row>
    <row r="246" spans="1:96" x14ac:dyDescent="0.3">
      <c r="A246" s="1">
        <v>45524</v>
      </c>
      <c r="B246" t="s">
        <v>261</v>
      </c>
      <c r="C246" t="s">
        <v>188</v>
      </c>
      <c r="D246" t="s">
        <v>193</v>
      </c>
      <c r="E246" t="s">
        <v>189</v>
      </c>
      <c r="F246" t="s">
        <v>101</v>
      </c>
      <c r="G246">
        <v>15055</v>
      </c>
      <c r="H246" t="s">
        <v>113</v>
      </c>
      <c r="I246" t="s">
        <v>119</v>
      </c>
      <c r="J246">
        <v>4</v>
      </c>
      <c r="K246" t="s">
        <v>120</v>
      </c>
      <c r="L246">
        <v>7.3333333329999997</v>
      </c>
      <c r="M246" t="s">
        <v>105</v>
      </c>
      <c r="N246">
        <v>42.8</v>
      </c>
      <c r="O246">
        <v>11.8144796</v>
      </c>
      <c r="P246">
        <v>86.639517040000001</v>
      </c>
      <c r="Q246">
        <v>0</v>
      </c>
      <c r="R246">
        <v>3708.1713289999998</v>
      </c>
      <c r="S246">
        <v>3708.1713289999998</v>
      </c>
      <c r="T246">
        <v>0.60555555599999999</v>
      </c>
      <c r="U246">
        <v>0.60902777799999996</v>
      </c>
      <c r="V246">
        <v>0</v>
      </c>
      <c r="W246">
        <v>2</v>
      </c>
      <c r="X246">
        <v>15</v>
      </c>
      <c r="Y246">
        <v>71</v>
      </c>
      <c r="Z246">
        <v>11</v>
      </c>
      <c r="AA246">
        <f t="shared" si="3"/>
        <v>1471</v>
      </c>
      <c r="AB246">
        <v>0</v>
      </c>
      <c r="AC246">
        <v>1</v>
      </c>
      <c r="AD246">
        <v>0</v>
      </c>
      <c r="AE246">
        <v>1</v>
      </c>
      <c r="AF246">
        <v>1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0</v>
      </c>
      <c r="AP246">
        <v>1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1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1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1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2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 t="s">
        <v>307</v>
      </c>
    </row>
    <row r="247" spans="1:96" x14ac:dyDescent="0.3">
      <c r="A247" s="1">
        <v>45524</v>
      </c>
      <c r="B247" t="s">
        <v>261</v>
      </c>
      <c r="C247" t="s">
        <v>293</v>
      </c>
      <c r="D247" t="s">
        <v>193</v>
      </c>
      <c r="E247" t="s">
        <v>294</v>
      </c>
      <c r="F247" t="s">
        <v>101</v>
      </c>
      <c r="G247">
        <v>97033</v>
      </c>
      <c r="H247" t="s">
        <v>102</v>
      </c>
      <c r="I247" t="s">
        <v>129</v>
      </c>
      <c r="J247">
        <v>4</v>
      </c>
      <c r="K247" t="s">
        <v>104</v>
      </c>
      <c r="L247">
        <v>7</v>
      </c>
      <c r="M247" t="s">
        <v>105</v>
      </c>
      <c r="N247">
        <v>160.69999999999999</v>
      </c>
      <c r="O247">
        <v>14.58577728</v>
      </c>
      <c r="P247">
        <v>102.100441</v>
      </c>
      <c r="Q247">
        <v>0</v>
      </c>
      <c r="R247">
        <v>16407.540860000001</v>
      </c>
      <c r="S247">
        <v>16407.540860000001</v>
      </c>
      <c r="T247">
        <v>0.61319444400000001</v>
      </c>
      <c r="U247">
        <v>0.61666666699999995</v>
      </c>
      <c r="V247">
        <v>0</v>
      </c>
      <c r="W247">
        <v>2</v>
      </c>
      <c r="X247">
        <v>15</v>
      </c>
      <c r="Y247">
        <v>71</v>
      </c>
      <c r="Z247">
        <v>17</v>
      </c>
      <c r="AA247">
        <f t="shared" si="3"/>
        <v>1488</v>
      </c>
      <c r="AB247">
        <v>1</v>
      </c>
      <c r="AC247">
        <v>2</v>
      </c>
      <c r="AD247">
        <v>0</v>
      </c>
      <c r="AE247">
        <v>0</v>
      </c>
      <c r="AF247">
        <v>1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1</v>
      </c>
      <c r="BC247">
        <v>1</v>
      </c>
      <c r="BD247">
        <v>0</v>
      </c>
      <c r="BE247">
        <v>0</v>
      </c>
      <c r="BF247">
        <v>0</v>
      </c>
      <c r="BG247">
        <v>4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1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2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1</v>
      </c>
      <c r="CG247">
        <v>0</v>
      </c>
      <c r="CH247">
        <v>0</v>
      </c>
      <c r="CI247">
        <v>5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</row>
    <row r="248" spans="1:96" x14ac:dyDescent="0.3">
      <c r="A248" s="1">
        <v>45524</v>
      </c>
      <c r="B248" t="s">
        <v>261</v>
      </c>
      <c r="C248" t="s">
        <v>115</v>
      </c>
      <c r="E248" t="s">
        <v>116</v>
      </c>
      <c r="F248" t="s">
        <v>101</v>
      </c>
      <c r="G248" t="s">
        <v>117</v>
      </c>
      <c r="H248" t="s">
        <v>118</v>
      </c>
      <c r="I248" t="s">
        <v>119</v>
      </c>
      <c r="J248">
        <v>4</v>
      </c>
      <c r="K248" t="s">
        <v>120</v>
      </c>
      <c r="L248">
        <v>2.3333333330000001</v>
      </c>
      <c r="M248" t="s">
        <v>105</v>
      </c>
      <c r="N248">
        <v>68.400000000000006</v>
      </c>
      <c r="O248">
        <v>4.1488433149999997</v>
      </c>
      <c r="P248">
        <v>9.6806344020000008</v>
      </c>
      <c r="Q248">
        <v>0</v>
      </c>
      <c r="R248">
        <v>662.15539309999997</v>
      </c>
      <c r="S248">
        <v>662.15539309999997</v>
      </c>
      <c r="T248">
        <v>0.54444444400000003</v>
      </c>
      <c r="U248">
        <v>0.54791666699999997</v>
      </c>
      <c r="V248">
        <v>0</v>
      </c>
      <c r="W248">
        <v>2</v>
      </c>
      <c r="X248">
        <v>20</v>
      </c>
      <c r="Y248">
        <v>69</v>
      </c>
      <c r="Z248">
        <v>5</v>
      </c>
      <c r="AA248">
        <f t="shared" si="3"/>
        <v>1493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5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</row>
    <row r="249" spans="1:96" x14ac:dyDescent="0.3">
      <c r="A249" s="1">
        <v>45525</v>
      </c>
      <c r="B249" t="s">
        <v>261</v>
      </c>
      <c r="C249" t="s">
        <v>178</v>
      </c>
      <c r="D249" t="s">
        <v>279</v>
      </c>
      <c r="E249" t="s">
        <v>179</v>
      </c>
      <c r="F249" t="s">
        <v>101</v>
      </c>
      <c r="G249">
        <v>93021</v>
      </c>
      <c r="H249" t="s">
        <v>102</v>
      </c>
      <c r="I249" t="s">
        <v>103</v>
      </c>
      <c r="J249" t="s">
        <v>105</v>
      </c>
      <c r="K249" t="s">
        <v>104</v>
      </c>
      <c r="L249">
        <v>29</v>
      </c>
      <c r="M249" t="s">
        <v>105</v>
      </c>
      <c r="N249">
        <v>404.7</v>
      </c>
      <c r="O249">
        <v>9.3348974590000005</v>
      </c>
      <c r="P249">
        <v>270.71202629999999</v>
      </c>
      <c r="Q249">
        <v>0</v>
      </c>
      <c r="R249">
        <v>109557.1571</v>
      </c>
      <c r="S249">
        <v>109557.1571</v>
      </c>
      <c r="T249">
        <v>0.38958333299999998</v>
      </c>
      <c r="U249">
        <v>0.39305555599999997</v>
      </c>
      <c r="V249">
        <v>0</v>
      </c>
      <c r="W249">
        <v>1</v>
      </c>
      <c r="X249">
        <v>10</v>
      </c>
      <c r="Y249">
        <v>62</v>
      </c>
      <c r="Z249">
        <v>8</v>
      </c>
      <c r="AA249">
        <f t="shared" si="3"/>
        <v>1501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1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4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1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</row>
    <row r="250" spans="1:96" x14ac:dyDescent="0.3">
      <c r="A250" s="1">
        <v>45525</v>
      </c>
      <c r="B250" t="s">
        <v>261</v>
      </c>
      <c r="C250" t="s">
        <v>143</v>
      </c>
      <c r="D250" t="s">
        <v>279</v>
      </c>
      <c r="E250" t="s">
        <v>138</v>
      </c>
      <c r="F250" t="s">
        <v>101</v>
      </c>
      <c r="G250" t="s">
        <v>144</v>
      </c>
      <c r="H250" t="s">
        <v>118</v>
      </c>
      <c r="I250" t="s">
        <v>129</v>
      </c>
      <c r="J250" t="s">
        <v>105</v>
      </c>
      <c r="K250" t="s">
        <v>120</v>
      </c>
      <c r="M250" t="s">
        <v>105</v>
      </c>
      <c r="N250">
        <v>71.400000000000006</v>
      </c>
      <c r="O250">
        <v>8.9499950029999997</v>
      </c>
      <c r="P250">
        <v>0</v>
      </c>
      <c r="Q250" t="s">
        <v>105</v>
      </c>
      <c r="R250" t="s">
        <v>105</v>
      </c>
      <c r="S250" t="s">
        <v>105</v>
      </c>
      <c r="T250">
        <v>0.470138889</v>
      </c>
      <c r="U250">
        <v>0.47361111099999997</v>
      </c>
      <c r="V250">
        <v>0</v>
      </c>
      <c r="W250">
        <v>1</v>
      </c>
      <c r="X250">
        <v>3</v>
      </c>
      <c r="Y250">
        <v>68</v>
      </c>
      <c r="Z250">
        <v>4</v>
      </c>
      <c r="AA250">
        <f t="shared" si="3"/>
        <v>1505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2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1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1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</row>
    <row r="251" spans="1:96" x14ac:dyDescent="0.3">
      <c r="A251" s="1">
        <v>45525</v>
      </c>
      <c r="B251" t="s">
        <v>261</v>
      </c>
      <c r="C251" t="s">
        <v>308</v>
      </c>
      <c r="D251" t="s">
        <v>279</v>
      </c>
      <c r="E251" t="s">
        <v>225</v>
      </c>
      <c r="F251" t="s">
        <v>101</v>
      </c>
      <c r="G251">
        <v>98053</v>
      </c>
      <c r="H251" t="s">
        <v>126</v>
      </c>
      <c r="I251" t="s">
        <v>129</v>
      </c>
      <c r="J251">
        <v>4</v>
      </c>
      <c r="K251" t="s">
        <v>120</v>
      </c>
      <c r="L251">
        <v>14.33333333</v>
      </c>
      <c r="M251" t="s">
        <v>105</v>
      </c>
      <c r="N251">
        <v>232.8</v>
      </c>
      <c r="O251">
        <v>13.163664000000001</v>
      </c>
      <c r="P251">
        <v>188.6791839</v>
      </c>
      <c r="Q251">
        <v>0</v>
      </c>
      <c r="R251">
        <v>43924.514020000002</v>
      </c>
      <c r="S251">
        <v>43924.514020000002</v>
      </c>
      <c r="T251">
        <v>0.40069444399999998</v>
      </c>
      <c r="U251">
        <v>0.40416666699999998</v>
      </c>
      <c r="V251">
        <v>0</v>
      </c>
      <c r="W251">
        <v>1</v>
      </c>
      <c r="X251">
        <v>5</v>
      </c>
      <c r="Y251">
        <v>62</v>
      </c>
      <c r="Z251">
        <v>20</v>
      </c>
      <c r="AA251">
        <f t="shared" si="3"/>
        <v>1525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3</v>
      </c>
      <c r="AS251">
        <v>0</v>
      </c>
      <c r="AT251">
        <v>3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7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4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1</v>
      </c>
      <c r="CI251">
        <v>2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</row>
    <row r="252" spans="1:96" x14ac:dyDescent="0.3">
      <c r="A252" s="1">
        <v>45525</v>
      </c>
      <c r="B252" t="s">
        <v>261</v>
      </c>
      <c r="C252" t="s">
        <v>175</v>
      </c>
      <c r="D252" t="s">
        <v>279</v>
      </c>
      <c r="E252" t="s">
        <v>176</v>
      </c>
      <c r="F252" t="s">
        <v>101</v>
      </c>
      <c r="G252">
        <v>11044</v>
      </c>
      <c r="H252" t="s">
        <v>126</v>
      </c>
      <c r="I252" t="s">
        <v>119</v>
      </c>
      <c r="J252">
        <v>4</v>
      </c>
      <c r="K252" t="s">
        <v>104</v>
      </c>
      <c r="M252">
        <v>15</v>
      </c>
      <c r="N252">
        <v>88.6</v>
      </c>
      <c r="O252">
        <v>4.4121976270000003</v>
      </c>
      <c r="P252">
        <v>0</v>
      </c>
      <c r="Q252">
        <v>1329</v>
      </c>
      <c r="R252">
        <v>0</v>
      </c>
      <c r="S252">
        <v>1329</v>
      </c>
      <c r="T252">
        <v>0.41388888899999998</v>
      </c>
      <c r="U252">
        <v>0.41736111100000001</v>
      </c>
      <c r="V252">
        <v>0</v>
      </c>
      <c r="W252">
        <v>0</v>
      </c>
      <c r="X252">
        <v>2</v>
      </c>
      <c r="Y252">
        <v>62</v>
      </c>
      <c r="Z252">
        <v>5</v>
      </c>
      <c r="AA252">
        <f t="shared" si="3"/>
        <v>1530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1</v>
      </c>
      <c r="AQ252">
        <v>0</v>
      </c>
      <c r="AR252">
        <v>0</v>
      </c>
      <c r="AS252">
        <v>0</v>
      </c>
      <c r="AT252">
        <v>0</v>
      </c>
      <c r="AU252">
        <v>1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1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2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</row>
    <row r="253" spans="1:96" x14ac:dyDescent="0.3">
      <c r="A253" s="1">
        <v>45525</v>
      </c>
      <c r="B253" t="s">
        <v>261</v>
      </c>
      <c r="C253" t="s">
        <v>288</v>
      </c>
      <c r="D253" t="s">
        <v>99</v>
      </c>
      <c r="E253" t="s">
        <v>208</v>
      </c>
      <c r="F253" t="s">
        <v>101</v>
      </c>
      <c r="G253">
        <v>1005</v>
      </c>
      <c r="H253" t="s">
        <v>113</v>
      </c>
      <c r="I253" t="s">
        <v>119</v>
      </c>
      <c r="J253">
        <v>4</v>
      </c>
      <c r="K253" t="s">
        <v>120</v>
      </c>
      <c r="L253">
        <v>8</v>
      </c>
      <c r="M253" t="s">
        <v>105</v>
      </c>
      <c r="N253">
        <v>91.7</v>
      </c>
      <c r="O253">
        <v>8.2044997199999994</v>
      </c>
      <c r="P253">
        <v>65.635997759999995</v>
      </c>
      <c r="Q253">
        <v>0</v>
      </c>
      <c r="R253">
        <v>6018.820995</v>
      </c>
      <c r="S253">
        <v>6018.820995</v>
      </c>
      <c r="T253">
        <v>0.43333333299999999</v>
      </c>
      <c r="U253">
        <v>0.43680555599999998</v>
      </c>
      <c r="V253">
        <v>0</v>
      </c>
      <c r="W253">
        <v>1</v>
      </c>
      <c r="X253">
        <v>2</v>
      </c>
      <c r="Y253">
        <v>65</v>
      </c>
      <c r="Z253">
        <v>3</v>
      </c>
      <c r="AA253">
        <f t="shared" si="3"/>
        <v>1533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1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</row>
    <row r="254" spans="1:96" x14ac:dyDescent="0.3">
      <c r="A254" s="1">
        <v>45525</v>
      </c>
      <c r="B254" t="s">
        <v>261</v>
      </c>
      <c r="C254" t="s">
        <v>149</v>
      </c>
      <c r="D254" t="s">
        <v>279</v>
      </c>
      <c r="E254" t="s">
        <v>150</v>
      </c>
      <c r="F254" t="s">
        <v>101</v>
      </c>
      <c r="G254" t="s">
        <v>151</v>
      </c>
      <c r="H254" t="s">
        <v>126</v>
      </c>
      <c r="I254" t="s">
        <v>103</v>
      </c>
      <c r="J254">
        <v>4</v>
      </c>
      <c r="K254" t="s">
        <v>120</v>
      </c>
      <c r="L254">
        <v>5</v>
      </c>
      <c r="M254" t="s">
        <v>105</v>
      </c>
      <c r="N254">
        <v>72.099999999999994</v>
      </c>
      <c r="O254">
        <v>6.162490901</v>
      </c>
      <c r="P254">
        <v>30.812454500000001</v>
      </c>
      <c r="Q254">
        <v>0</v>
      </c>
      <c r="R254">
        <v>2221.5779699999998</v>
      </c>
      <c r="S254">
        <v>2221.5779699999998</v>
      </c>
      <c r="T254">
        <v>0.438888889</v>
      </c>
      <c r="U254">
        <v>0.44236111099999997</v>
      </c>
      <c r="V254">
        <v>0</v>
      </c>
      <c r="W254">
        <v>0</v>
      </c>
      <c r="X254">
        <v>1</v>
      </c>
      <c r="Y254">
        <v>65</v>
      </c>
      <c r="Z254">
        <v>5</v>
      </c>
      <c r="AA254">
        <f t="shared" si="3"/>
        <v>1538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1</v>
      </c>
      <c r="AS254">
        <v>0</v>
      </c>
      <c r="AT254">
        <v>1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1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</row>
    <row r="255" spans="1:96" x14ac:dyDescent="0.3">
      <c r="A255" s="1">
        <v>45525</v>
      </c>
      <c r="B255" t="s">
        <v>261</v>
      </c>
      <c r="C255" t="s">
        <v>264</v>
      </c>
      <c r="D255" t="s">
        <v>279</v>
      </c>
      <c r="E255" t="s">
        <v>260</v>
      </c>
      <c r="F255" t="s">
        <v>101</v>
      </c>
      <c r="G255">
        <v>12020</v>
      </c>
      <c r="H255" t="s">
        <v>118</v>
      </c>
      <c r="I255" t="s">
        <v>103</v>
      </c>
      <c r="J255">
        <v>4</v>
      </c>
      <c r="K255" t="s">
        <v>104</v>
      </c>
      <c r="M255">
        <v>9</v>
      </c>
      <c r="N255">
        <v>150.69999999999999</v>
      </c>
      <c r="O255">
        <v>13.629598550000001</v>
      </c>
      <c r="P255">
        <v>0</v>
      </c>
      <c r="Q255">
        <v>1356.3</v>
      </c>
      <c r="R255">
        <v>0</v>
      </c>
      <c r="S255">
        <v>1356.3</v>
      </c>
      <c r="T255">
        <v>0.48958333300000001</v>
      </c>
      <c r="U255">
        <v>0.49305555600000001</v>
      </c>
      <c r="V255">
        <v>0</v>
      </c>
      <c r="W255">
        <v>2</v>
      </c>
      <c r="X255">
        <v>0</v>
      </c>
      <c r="Y255">
        <v>68</v>
      </c>
      <c r="Z255">
        <v>6</v>
      </c>
      <c r="AA255">
        <f t="shared" si="3"/>
        <v>1544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1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3</v>
      </c>
      <c r="BW255">
        <v>0</v>
      </c>
      <c r="BX255">
        <v>0</v>
      </c>
      <c r="BY255">
        <v>1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</row>
    <row r="256" spans="1:96" x14ac:dyDescent="0.3">
      <c r="A256" s="1">
        <v>45525</v>
      </c>
      <c r="B256" t="s">
        <v>261</v>
      </c>
      <c r="C256" t="s">
        <v>211</v>
      </c>
      <c r="D256" t="s">
        <v>279</v>
      </c>
      <c r="E256" t="s">
        <v>212</v>
      </c>
      <c r="F256" t="s">
        <v>101</v>
      </c>
      <c r="G256">
        <v>12022</v>
      </c>
      <c r="H256" t="s">
        <v>113</v>
      </c>
      <c r="I256" t="s">
        <v>103</v>
      </c>
      <c r="J256">
        <v>4</v>
      </c>
      <c r="K256" t="s">
        <v>120</v>
      </c>
      <c r="L256">
        <v>8.3333333330000006</v>
      </c>
      <c r="M256" t="s">
        <v>105</v>
      </c>
      <c r="N256">
        <v>361</v>
      </c>
      <c r="O256">
        <v>8.3053000000000008</v>
      </c>
      <c r="P256">
        <v>69.21083333</v>
      </c>
      <c r="Q256">
        <v>0</v>
      </c>
      <c r="R256">
        <v>24985.110830000001</v>
      </c>
      <c r="S256">
        <v>24985.110830000001</v>
      </c>
      <c r="T256">
        <v>0.67638888900000005</v>
      </c>
      <c r="U256">
        <v>0.67986111100000002</v>
      </c>
      <c r="V256">
        <v>0</v>
      </c>
      <c r="W256">
        <v>2</v>
      </c>
      <c r="X256">
        <v>1</v>
      </c>
      <c r="Y256">
        <v>74</v>
      </c>
      <c r="Z256">
        <v>10</v>
      </c>
      <c r="AA256">
        <f t="shared" si="3"/>
        <v>1554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1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1</v>
      </c>
      <c r="BQ256">
        <v>0</v>
      </c>
      <c r="BR256">
        <v>4</v>
      </c>
      <c r="BS256">
        <v>1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1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</row>
    <row r="257" spans="1:96" x14ac:dyDescent="0.3">
      <c r="A257" s="1">
        <v>45525</v>
      </c>
      <c r="B257" t="s">
        <v>261</v>
      </c>
      <c r="C257" t="s">
        <v>214</v>
      </c>
      <c r="D257" t="s">
        <v>279</v>
      </c>
      <c r="E257" t="s">
        <v>215</v>
      </c>
      <c r="F257" t="s">
        <v>101</v>
      </c>
      <c r="G257">
        <v>11031</v>
      </c>
      <c r="H257" t="s">
        <v>102</v>
      </c>
      <c r="I257" t="s">
        <v>103</v>
      </c>
      <c r="J257">
        <v>4</v>
      </c>
      <c r="K257" t="s">
        <v>104</v>
      </c>
      <c r="L257">
        <v>3.6666666669999999</v>
      </c>
      <c r="M257" t="s">
        <v>105</v>
      </c>
      <c r="N257">
        <v>189.5</v>
      </c>
      <c r="O257">
        <v>15.0877</v>
      </c>
      <c r="P257">
        <v>55.321566670000003</v>
      </c>
      <c r="Q257">
        <v>0</v>
      </c>
      <c r="R257">
        <v>10483.436879999999</v>
      </c>
      <c r="S257">
        <v>10483.436879999999</v>
      </c>
      <c r="T257">
        <v>0.65694444399999996</v>
      </c>
      <c r="U257">
        <v>0.66041666700000001</v>
      </c>
      <c r="V257">
        <v>0</v>
      </c>
      <c r="W257">
        <v>1</v>
      </c>
      <c r="X257">
        <v>0</v>
      </c>
      <c r="Y257">
        <v>74</v>
      </c>
      <c r="Z257">
        <v>31</v>
      </c>
      <c r="AA257">
        <f t="shared" si="3"/>
        <v>1585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1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11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2</v>
      </c>
      <c r="BS257">
        <v>3</v>
      </c>
      <c r="BT257">
        <v>0</v>
      </c>
      <c r="BU257">
        <v>0</v>
      </c>
      <c r="BV257">
        <v>9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1</v>
      </c>
      <c r="CC257">
        <v>0</v>
      </c>
      <c r="CD257">
        <v>0</v>
      </c>
      <c r="CE257">
        <v>0</v>
      </c>
      <c r="CF257">
        <v>2</v>
      </c>
      <c r="CG257">
        <v>0</v>
      </c>
      <c r="CH257">
        <v>0</v>
      </c>
      <c r="CI257">
        <v>2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 t="s">
        <v>263</v>
      </c>
    </row>
    <row r="258" spans="1:96" x14ac:dyDescent="0.3">
      <c r="A258" s="1">
        <v>45525</v>
      </c>
      <c r="B258" t="s">
        <v>261</v>
      </c>
      <c r="C258" t="s">
        <v>130</v>
      </c>
      <c r="D258" t="s">
        <v>279</v>
      </c>
      <c r="E258" t="s">
        <v>131</v>
      </c>
      <c r="F258" t="s">
        <v>101</v>
      </c>
      <c r="G258">
        <v>1128</v>
      </c>
      <c r="H258" t="s">
        <v>113</v>
      </c>
      <c r="I258" t="s">
        <v>119</v>
      </c>
      <c r="J258">
        <v>4</v>
      </c>
      <c r="K258" t="s">
        <v>120</v>
      </c>
      <c r="L258">
        <v>5.3333333329999997</v>
      </c>
      <c r="M258" t="s">
        <v>105</v>
      </c>
      <c r="N258">
        <v>36.1</v>
      </c>
      <c r="O258">
        <v>8.3053000000000008</v>
      </c>
      <c r="P258">
        <v>44.294933329999999</v>
      </c>
      <c r="Q258">
        <v>0</v>
      </c>
      <c r="R258">
        <v>1599.0470929999999</v>
      </c>
      <c r="S258">
        <v>1599.0470929999999</v>
      </c>
      <c r="T258">
        <v>0.66388888899999998</v>
      </c>
      <c r="U258">
        <v>0.66736111099999995</v>
      </c>
      <c r="V258">
        <v>0</v>
      </c>
      <c r="W258">
        <v>2</v>
      </c>
      <c r="X258">
        <v>0</v>
      </c>
      <c r="Y258">
        <v>74</v>
      </c>
      <c r="Z258">
        <v>12</v>
      </c>
      <c r="AA258">
        <f t="shared" si="3"/>
        <v>1597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5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1</v>
      </c>
      <c r="BT258">
        <v>0</v>
      </c>
      <c r="BU258">
        <v>0</v>
      </c>
      <c r="BV258">
        <v>4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2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</row>
    <row r="259" spans="1:96" x14ac:dyDescent="0.3">
      <c r="A259" s="1">
        <v>45525</v>
      </c>
      <c r="B259" t="s">
        <v>261</v>
      </c>
      <c r="C259" t="s">
        <v>298</v>
      </c>
      <c r="D259" t="s">
        <v>279</v>
      </c>
      <c r="E259" t="s">
        <v>296</v>
      </c>
      <c r="F259" t="s">
        <v>101</v>
      </c>
      <c r="G259">
        <v>1072</v>
      </c>
      <c r="H259" t="s">
        <v>118</v>
      </c>
      <c r="I259" t="s">
        <v>123</v>
      </c>
      <c r="J259">
        <v>4</v>
      </c>
      <c r="K259" t="s">
        <v>120</v>
      </c>
      <c r="L259">
        <v>16.333333329999999</v>
      </c>
      <c r="M259" t="s">
        <v>105</v>
      </c>
      <c r="N259">
        <v>104.4</v>
      </c>
      <c r="O259">
        <v>14.58577728</v>
      </c>
      <c r="P259">
        <v>238.23436219999999</v>
      </c>
      <c r="Q259">
        <v>0</v>
      </c>
      <c r="R259">
        <v>24871.667420000002</v>
      </c>
      <c r="S259">
        <v>24871.667420000002</v>
      </c>
      <c r="T259">
        <v>0.38402777799999999</v>
      </c>
      <c r="U259">
        <v>0.38750000000000001</v>
      </c>
      <c r="V259">
        <v>0</v>
      </c>
      <c r="W259">
        <v>1</v>
      </c>
      <c r="X259">
        <v>10</v>
      </c>
      <c r="Y259">
        <v>62</v>
      </c>
      <c r="Z259">
        <v>13</v>
      </c>
      <c r="AA259">
        <f t="shared" si="3"/>
        <v>1610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1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6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1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5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</row>
    <row r="260" spans="1:96" x14ac:dyDescent="0.3">
      <c r="A260" s="1">
        <v>45525</v>
      </c>
      <c r="B260" t="s">
        <v>261</v>
      </c>
      <c r="C260" t="s">
        <v>164</v>
      </c>
      <c r="E260" t="s">
        <v>165</v>
      </c>
      <c r="F260" t="s">
        <v>101</v>
      </c>
      <c r="G260">
        <v>1004</v>
      </c>
      <c r="H260" t="s">
        <v>113</v>
      </c>
      <c r="I260" t="s">
        <v>103</v>
      </c>
      <c r="J260">
        <v>4</v>
      </c>
      <c r="K260" t="s">
        <v>120</v>
      </c>
      <c r="L260">
        <v>2.6666666669999999</v>
      </c>
      <c r="M260" t="s">
        <v>105</v>
      </c>
      <c r="N260">
        <v>98.3</v>
      </c>
      <c r="O260">
        <v>21.003519279999999</v>
      </c>
      <c r="P260">
        <v>56.009384760000003</v>
      </c>
      <c r="Q260">
        <v>0</v>
      </c>
      <c r="R260">
        <v>5505.7225209999997</v>
      </c>
      <c r="S260">
        <v>5505.7225209999997</v>
      </c>
      <c r="T260">
        <v>0.396527778</v>
      </c>
      <c r="U260">
        <v>0.4</v>
      </c>
      <c r="V260">
        <v>0</v>
      </c>
      <c r="W260">
        <v>0</v>
      </c>
      <c r="X260">
        <v>5</v>
      </c>
      <c r="Y260">
        <v>62</v>
      </c>
      <c r="Z260">
        <v>7</v>
      </c>
      <c r="AA260">
        <f t="shared" ref="AA260:AA286" si="4">Z260+AA259</f>
        <v>1617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1</v>
      </c>
      <c r="CG260">
        <v>0</v>
      </c>
      <c r="CH260">
        <v>0</v>
      </c>
      <c r="CI260">
        <v>4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</row>
    <row r="261" spans="1:96" x14ac:dyDescent="0.3">
      <c r="A261" s="1">
        <v>45525</v>
      </c>
      <c r="B261" t="s">
        <v>261</v>
      </c>
      <c r="C261" t="s">
        <v>145</v>
      </c>
      <c r="E261" t="s">
        <v>138</v>
      </c>
      <c r="F261" t="s">
        <v>101</v>
      </c>
      <c r="G261" t="s">
        <v>146</v>
      </c>
      <c r="H261" t="s">
        <v>113</v>
      </c>
      <c r="I261" t="s">
        <v>129</v>
      </c>
      <c r="J261">
        <v>4</v>
      </c>
      <c r="K261" t="s">
        <v>120</v>
      </c>
      <c r="M261">
        <v>9</v>
      </c>
      <c r="N261">
        <v>94.3</v>
      </c>
      <c r="O261">
        <v>8.5731957570000006</v>
      </c>
      <c r="P261">
        <v>0</v>
      </c>
      <c r="Q261">
        <v>848.7</v>
      </c>
      <c r="R261">
        <v>0</v>
      </c>
      <c r="S261">
        <v>848.7</v>
      </c>
      <c r="T261">
        <v>0.477083333</v>
      </c>
      <c r="U261">
        <v>0.48055555599999999</v>
      </c>
      <c r="V261">
        <v>0</v>
      </c>
      <c r="W261">
        <v>1</v>
      </c>
      <c r="X261">
        <v>3</v>
      </c>
      <c r="Y261">
        <v>68</v>
      </c>
      <c r="Z261">
        <v>0</v>
      </c>
      <c r="AA261">
        <f t="shared" si="4"/>
        <v>1617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</row>
    <row r="262" spans="1:96" x14ac:dyDescent="0.3">
      <c r="A262" s="1">
        <v>45525</v>
      </c>
      <c r="B262" t="s">
        <v>261</v>
      </c>
      <c r="C262" t="s">
        <v>285</v>
      </c>
      <c r="E262" t="s">
        <v>286</v>
      </c>
      <c r="F262" t="s">
        <v>101</v>
      </c>
      <c r="G262">
        <v>95054</v>
      </c>
      <c r="H262" t="s">
        <v>102</v>
      </c>
      <c r="I262" t="s">
        <v>123</v>
      </c>
      <c r="J262">
        <v>4</v>
      </c>
      <c r="K262" t="s">
        <v>104</v>
      </c>
      <c r="L262">
        <v>13.33333333</v>
      </c>
      <c r="M262" t="s">
        <v>105</v>
      </c>
      <c r="N262">
        <v>109.8</v>
      </c>
      <c r="O262">
        <v>16.595373259999999</v>
      </c>
      <c r="P262">
        <v>221.27164350000001</v>
      </c>
      <c r="Q262">
        <v>0</v>
      </c>
      <c r="R262">
        <v>24295.62645</v>
      </c>
      <c r="S262">
        <v>24295.62645</v>
      </c>
      <c r="T262">
        <v>0.42291666700000002</v>
      </c>
      <c r="U262">
        <v>0.42638888899999999</v>
      </c>
      <c r="V262">
        <v>0</v>
      </c>
      <c r="W262">
        <v>1</v>
      </c>
      <c r="X262">
        <v>5</v>
      </c>
      <c r="Y262">
        <v>62</v>
      </c>
      <c r="Z262">
        <v>28</v>
      </c>
      <c r="AA262">
        <f t="shared" si="4"/>
        <v>1645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16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10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2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</row>
    <row r="263" spans="1:96" x14ac:dyDescent="0.3">
      <c r="A263" s="1">
        <v>45525</v>
      </c>
      <c r="B263" t="s">
        <v>261</v>
      </c>
      <c r="C263" t="s">
        <v>291</v>
      </c>
      <c r="E263" t="s">
        <v>122</v>
      </c>
      <c r="F263" t="s">
        <v>101</v>
      </c>
      <c r="G263" t="s">
        <v>292</v>
      </c>
      <c r="H263" t="s">
        <v>118</v>
      </c>
      <c r="I263" t="s">
        <v>123</v>
      </c>
      <c r="J263">
        <v>5</v>
      </c>
      <c r="K263" t="s">
        <v>120</v>
      </c>
      <c r="M263">
        <v>8</v>
      </c>
      <c r="N263">
        <v>76.900000000000006</v>
      </c>
      <c r="O263">
        <v>2.5322529999999999</v>
      </c>
      <c r="P263">
        <v>0</v>
      </c>
      <c r="Q263">
        <v>615.20000000000005</v>
      </c>
      <c r="R263">
        <v>0</v>
      </c>
      <c r="S263">
        <v>615.20000000000005</v>
      </c>
      <c r="T263">
        <v>0.40972222200000002</v>
      </c>
      <c r="U263">
        <v>0.41319444399999999</v>
      </c>
      <c r="V263">
        <v>0</v>
      </c>
      <c r="W263">
        <v>0</v>
      </c>
      <c r="X263">
        <v>0</v>
      </c>
      <c r="Y263">
        <v>62</v>
      </c>
      <c r="Z263">
        <v>1</v>
      </c>
      <c r="AA263">
        <f t="shared" si="4"/>
        <v>1646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1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</row>
    <row r="264" spans="1:96" x14ac:dyDescent="0.3">
      <c r="A264" s="1">
        <v>45525</v>
      </c>
      <c r="B264" t="s">
        <v>261</v>
      </c>
      <c r="C264" t="s">
        <v>236</v>
      </c>
      <c r="E264" t="s">
        <v>237</v>
      </c>
      <c r="F264" t="s">
        <v>101</v>
      </c>
      <c r="G264">
        <v>16012</v>
      </c>
      <c r="H264" t="s">
        <v>102</v>
      </c>
      <c r="I264" t="s">
        <v>103</v>
      </c>
      <c r="J264">
        <v>4</v>
      </c>
      <c r="K264" t="s">
        <v>104</v>
      </c>
      <c r="L264">
        <v>11.33333333</v>
      </c>
      <c r="M264" t="s">
        <v>105</v>
      </c>
      <c r="N264" t="s">
        <v>105</v>
      </c>
      <c r="O264" t="e">
        <v>#VALUE!</v>
      </c>
      <c r="P264" t="e">
        <v>#VALUE!</v>
      </c>
      <c r="Q264" t="e">
        <v>#VALUE!</v>
      </c>
      <c r="R264" t="e">
        <v>#VALUE!</v>
      </c>
      <c r="S264" t="s">
        <v>105</v>
      </c>
      <c r="T264">
        <v>0.64375000000000004</v>
      </c>
      <c r="U264">
        <v>0.64722222200000001</v>
      </c>
      <c r="V264">
        <v>0</v>
      </c>
      <c r="W264">
        <v>1</v>
      </c>
      <c r="X264">
        <v>0</v>
      </c>
      <c r="Y264">
        <v>74</v>
      </c>
      <c r="Z264">
        <v>10</v>
      </c>
      <c r="AA264">
        <f t="shared" si="4"/>
        <v>1656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1</v>
      </c>
      <c r="BD264">
        <v>0</v>
      </c>
      <c r="BE264">
        <v>0</v>
      </c>
      <c r="BF264">
        <v>0</v>
      </c>
      <c r="BG264">
        <v>8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1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</row>
    <row r="265" spans="1:96" x14ac:dyDescent="0.3">
      <c r="A265" s="1">
        <v>45525</v>
      </c>
      <c r="B265" t="s">
        <v>261</v>
      </c>
      <c r="C265" t="s">
        <v>124</v>
      </c>
      <c r="E265" t="s">
        <v>125</v>
      </c>
      <c r="F265" t="s">
        <v>101</v>
      </c>
      <c r="G265">
        <v>11045</v>
      </c>
      <c r="H265" t="s">
        <v>126</v>
      </c>
      <c r="I265" t="s">
        <v>103</v>
      </c>
      <c r="J265">
        <v>4</v>
      </c>
      <c r="K265" t="s">
        <v>120</v>
      </c>
      <c r="M265">
        <v>7</v>
      </c>
      <c r="N265">
        <v>31</v>
      </c>
      <c r="O265">
        <v>9.0432000000000006</v>
      </c>
      <c r="P265">
        <v>0</v>
      </c>
      <c r="Q265">
        <v>217</v>
      </c>
      <c r="R265">
        <v>0</v>
      </c>
      <c r="S265">
        <v>217</v>
      </c>
      <c r="T265">
        <v>0.64861111100000002</v>
      </c>
      <c r="U265">
        <v>0.65208333299999999</v>
      </c>
      <c r="V265">
        <v>0</v>
      </c>
      <c r="W265">
        <v>1</v>
      </c>
      <c r="X265">
        <v>0</v>
      </c>
      <c r="Y265">
        <v>74</v>
      </c>
      <c r="Z265">
        <v>6</v>
      </c>
      <c r="AA265">
        <f t="shared" si="4"/>
        <v>1662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4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1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1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</row>
    <row r="266" spans="1:96" x14ac:dyDescent="0.3">
      <c r="A266" s="1">
        <v>45531</v>
      </c>
      <c r="B266" t="s">
        <v>261</v>
      </c>
      <c r="C266" t="s">
        <v>259</v>
      </c>
      <c r="E266" t="s">
        <v>260</v>
      </c>
      <c r="F266" t="s">
        <v>101</v>
      </c>
      <c r="G266">
        <v>12020</v>
      </c>
      <c r="H266" t="s">
        <v>102</v>
      </c>
      <c r="I266" t="s">
        <v>103</v>
      </c>
      <c r="J266">
        <v>4</v>
      </c>
      <c r="K266" t="s">
        <v>104</v>
      </c>
      <c r="L266">
        <v>3</v>
      </c>
      <c r="M266" t="s">
        <v>105</v>
      </c>
      <c r="N266">
        <v>167.9</v>
      </c>
      <c r="O266">
        <v>16.08081945</v>
      </c>
      <c r="P266">
        <v>48.24245835</v>
      </c>
      <c r="Q266">
        <v>0</v>
      </c>
      <c r="R266">
        <v>8099.9087579999996</v>
      </c>
      <c r="S266">
        <v>8099.9087579999996</v>
      </c>
      <c r="T266">
        <v>0.73055555599999999</v>
      </c>
      <c r="U266">
        <v>0.73402777799999996</v>
      </c>
      <c r="V266">
        <v>0</v>
      </c>
      <c r="W266">
        <v>0</v>
      </c>
      <c r="X266">
        <v>50</v>
      </c>
      <c r="Y266">
        <v>88</v>
      </c>
      <c r="Z266">
        <v>4</v>
      </c>
      <c r="AA266">
        <f t="shared" si="4"/>
        <v>1666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2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</row>
    <row r="267" spans="1:96" x14ac:dyDescent="0.3">
      <c r="A267" s="1">
        <v>45531</v>
      </c>
      <c r="B267" t="s">
        <v>261</v>
      </c>
      <c r="C267" t="s">
        <v>298</v>
      </c>
      <c r="E267" t="s">
        <v>296</v>
      </c>
      <c r="F267" t="s">
        <v>101</v>
      </c>
      <c r="G267">
        <v>1072</v>
      </c>
      <c r="H267" t="s">
        <v>118</v>
      </c>
      <c r="I267" t="s">
        <v>123</v>
      </c>
      <c r="J267">
        <v>4</v>
      </c>
      <c r="K267" t="s">
        <v>120</v>
      </c>
      <c r="L267">
        <v>15</v>
      </c>
      <c r="M267" t="s">
        <v>105</v>
      </c>
      <c r="N267">
        <v>104.4</v>
      </c>
      <c r="O267">
        <v>14.58577728</v>
      </c>
      <c r="P267">
        <v>218.7866592</v>
      </c>
      <c r="Q267">
        <v>0</v>
      </c>
      <c r="R267">
        <v>22841.327219999999</v>
      </c>
      <c r="S267">
        <v>22841.327219999999</v>
      </c>
      <c r="T267">
        <v>0.73680555599999997</v>
      </c>
      <c r="U267">
        <v>0.74027777800000005</v>
      </c>
      <c r="V267">
        <v>0</v>
      </c>
      <c r="W267">
        <v>0</v>
      </c>
      <c r="X267">
        <v>50</v>
      </c>
      <c r="Y267">
        <v>88</v>
      </c>
      <c r="Z267">
        <v>3</v>
      </c>
      <c r="AA267">
        <f t="shared" si="4"/>
        <v>1669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2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1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</row>
    <row r="268" spans="1:96" x14ac:dyDescent="0.3">
      <c r="A268" s="1">
        <v>45531</v>
      </c>
      <c r="B268" t="s">
        <v>261</v>
      </c>
      <c r="C268" t="s">
        <v>308</v>
      </c>
      <c r="E268" t="s">
        <v>225</v>
      </c>
      <c r="F268" t="s">
        <v>101</v>
      </c>
      <c r="G268">
        <v>98053</v>
      </c>
      <c r="H268" t="s">
        <v>126</v>
      </c>
      <c r="I268" t="s">
        <v>129</v>
      </c>
      <c r="J268">
        <v>4</v>
      </c>
      <c r="K268" t="s">
        <v>120</v>
      </c>
      <c r="L268">
        <v>8</v>
      </c>
      <c r="M268" t="s">
        <v>105</v>
      </c>
      <c r="N268">
        <v>232.8</v>
      </c>
      <c r="O268">
        <v>13.163664000000001</v>
      </c>
      <c r="P268">
        <v>105.30931200000001</v>
      </c>
      <c r="Q268">
        <v>0</v>
      </c>
      <c r="R268">
        <v>24516.007819999999</v>
      </c>
      <c r="S268">
        <v>24516.007819999999</v>
      </c>
      <c r="T268">
        <v>0.74444444399999998</v>
      </c>
      <c r="U268">
        <v>0.74791666700000003</v>
      </c>
      <c r="V268">
        <v>0</v>
      </c>
      <c r="W268">
        <v>0</v>
      </c>
      <c r="X268">
        <v>25</v>
      </c>
      <c r="Y268">
        <v>88</v>
      </c>
      <c r="Z268">
        <v>4</v>
      </c>
      <c r="AA268">
        <f t="shared" si="4"/>
        <v>1673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1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2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1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</row>
    <row r="269" spans="1:96" x14ac:dyDescent="0.3">
      <c r="A269" s="1">
        <v>45531</v>
      </c>
      <c r="B269" t="s">
        <v>261</v>
      </c>
      <c r="C269" t="s">
        <v>167</v>
      </c>
      <c r="E269" t="s">
        <v>168</v>
      </c>
      <c r="F269" t="s">
        <v>108</v>
      </c>
      <c r="G269">
        <v>18022</v>
      </c>
      <c r="H269" t="s">
        <v>102</v>
      </c>
      <c r="I269" t="s">
        <v>103</v>
      </c>
      <c r="J269">
        <v>3</v>
      </c>
      <c r="K269" t="s">
        <v>109</v>
      </c>
      <c r="M269">
        <v>7</v>
      </c>
      <c r="N269">
        <v>563.42857140000001</v>
      </c>
      <c r="O269">
        <v>9.3348974590000005</v>
      </c>
      <c r="P269">
        <v>0</v>
      </c>
      <c r="Q269">
        <v>3944</v>
      </c>
      <c r="R269">
        <v>0</v>
      </c>
      <c r="S269">
        <v>3944</v>
      </c>
      <c r="T269">
        <v>0.43680555599999998</v>
      </c>
      <c r="U269">
        <v>0.44027777800000001</v>
      </c>
      <c r="V269">
        <v>0</v>
      </c>
      <c r="W269">
        <v>1</v>
      </c>
      <c r="X269">
        <v>100</v>
      </c>
      <c r="Y269">
        <v>86</v>
      </c>
      <c r="Z269">
        <v>6</v>
      </c>
      <c r="AA269">
        <f t="shared" si="4"/>
        <v>1679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6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 t="s">
        <v>329</v>
      </c>
    </row>
    <row r="270" spans="1:96" x14ac:dyDescent="0.3">
      <c r="A270" s="1">
        <v>45533</v>
      </c>
      <c r="B270" t="s">
        <v>261</v>
      </c>
      <c r="C270" t="s">
        <v>222</v>
      </c>
      <c r="E270" t="s">
        <v>189</v>
      </c>
      <c r="F270" t="s">
        <v>101</v>
      </c>
      <c r="G270">
        <v>15012</v>
      </c>
      <c r="H270" t="s">
        <v>102</v>
      </c>
      <c r="I270" t="s">
        <v>119</v>
      </c>
      <c r="J270">
        <v>4</v>
      </c>
      <c r="K270" t="s">
        <v>120</v>
      </c>
      <c r="L270">
        <v>7</v>
      </c>
      <c r="M270" t="s">
        <v>105</v>
      </c>
      <c r="N270">
        <v>269.7</v>
      </c>
      <c r="O270">
        <v>7.5987999999999998</v>
      </c>
      <c r="P270">
        <v>53.191600000000001</v>
      </c>
      <c r="Q270">
        <v>0</v>
      </c>
      <c r="R270">
        <v>14345.774520000001</v>
      </c>
      <c r="S270">
        <v>14345.774520000001</v>
      </c>
      <c r="T270">
        <v>0.63055555600000002</v>
      </c>
      <c r="U270">
        <v>0.63402777799999999</v>
      </c>
      <c r="V270">
        <v>0</v>
      </c>
      <c r="W270">
        <v>3</v>
      </c>
      <c r="X270">
        <v>80</v>
      </c>
      <c r="Y270">
        <v>78</v>
      </c>
      <c r="Z270">
        <v>4</v>
      </c>
      <c r="AA270">
        <f t="shared" si="4"/>
        <v>1683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1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1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</row>
    <row r="271" spans="1:96" x14ac:dyDescent="0.3">
      <c r="A271" s="1">
        <v>45533</v>
      </c>
      <c r="B271" t="s">
        <v>261</v>
      </c>
      <c r="C271" t="s">
        <v>289</v>
      </c>
      <c r="E271" t="s">
        <v>243</v>
      </c>
      <c r="F271" t="s">
        <v>101</v>
      </c>
      <c r="G271">
        <v>10063</v>
      </c>
      <c r="H271" t="s">
        <v>113</v>
      </c>
      <c r="I271" t="s">
        <v>119</v>
      </c>
      <c r="J271">
        <v>4</v>
      </c>
      <c r="K271" t="s">
        <v>120</v>
      </c>
      <c r="L271">
        <v>8.3333333330000006</v>
      </c>
      <c r="M271" t="s">
        <v>105</v>
      </c>
      <c r="N271" t="s">
        <v>105</v>
      </c>
      <c r="O271" t="e">
        <v>#VALUE!</v>
      </c>
      <c r="P271" t="e">
        <v>#VALUE!</v>
      </c>
      <c r="Q271" t="e">
        <v>#VALUE!</v>
      </c>
      <c r="R271" t="e">
        <v>#VALUE!</v>
      </c>
      <c r="S271" t="s">
        <v>105</v>
      </c>
      <c r="T271">
        <v>0.63888888899999996</v>
      </c>
      <c r="U271">
        <v>0.64236111100000004</v>
      </c>
      <c r="V271">
        <v>0</v>
      </c>
      <c r="W271">
        <v>3</v>
      </c>
      <c r="X271">
        <v>80</v>
      </c>
      <c r="Y271">
        <v>78</v>
      </c>
      <c r="Z271">
        <v>3</v>
      </c>
      <c r="AA271">
        <f t="shared" si="4"/>
        <v>1686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3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</row>
    <row r="272" spans="1:96" x14ac:dyDescent="0.3">
      <c r="A272" s="1">
        <v>45533</v>
      </c>
      <c r="B272" t="s">
        <v>261</v>
      </c>
      <c r="C272" t="s">
        <v>248</v>
      </c>
      <c r="E272" t="s">
        <v>249</v>
      </c>
      <c r="F272" t="s">
        <v>101</v>
      </c>
      <c r="G272">
        <v>15049</v>
      </c>
      <c r="H272" t="s">
        <v>126</v>
      </c>
      <c r="I272" t="s">
        <v>119</v>
      </c>
      <c r="J272">
        <v>4</v>
      </c>
      <c r="K272" t="s">
        <v>120</v>
      </c>
      <c r="L272">
        <v>2.6666666669999999</v>
      </c>
      <c r="M272" t="s">
        <v>105</v>
      </c>
      <c r="N272">
        <v>107.9</v>
      </c>
      <c r="O272">
        <v>1.5078279999999999</v>
      </c>
      <c r="P272">
        <v>4.0208746670000002</v>
      </c>
      <c r="Q272">
        <v>0</v>
      </c>
      <c r="R272">
        <v>433.85237649999999</v>
      </c>
      <c r="S272">
        <v>433.85237649999999</v>
      </c>
      <c r="T272">
        <v>0.61597222200000001</v>
      </c>
      <c r="U272">
        <v>0.61944444399999998</v>
      </c>
      <c r="V272">
        <v>0</v>
      </c>
      <c r="W272">
        <v>3</v>
      </c>
      <c r="X272">
        <v>100</v>
      </c>
      <c r="Y272">
        <v>78</v>
      </c>
      <c r="Z272">
        <v>0</v>
      </c>
      <c r="AA272">
        <f t="shared" si="4"/>
        <v>1686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</row>
    <row r="273" spans="1:96" x14ac:dyDescent="0.3">
      <c r="A273" s="1">
        <v>45533</v>
      </c>
      <c r="B273" t="s">
        <v>261</v>
      </c>
      <c r="C273" t="s">
        <v>220</v>
      </c>
      <c r="E273" t="s">
        <v>221</v>
      </c>
      <c r="F273" t="s">
        <v>101</v>
      </c>
      <c r="G273">
        <v>1127</v>
      </c>
      <c r="H273" t="s">
        <v>113</v>
      </c>
      <c r="I273" t="s">
        <v>103</v>
      </c>
      <c r="J273">
        <v>4</v>
      </c>
      <c r="K273" t="s">
        <v>104</v>
      </c>
      <c r="L273">
        <v>1.3333333329999999</v>
      </c>
      <c r="M273" t="s">
        <v>105</v>
      </c>
      <c r="N273">
        <v>126.2</v>
      </c>
      <c r="O273">
        <v>2.9899079999999998</v>
      </c>
      <c r="P273">
        <v>3.9865439999999999</v>
      </c>
      <c r="Q273">
        <v>0</v>
      </c>
      <c r="R273">
        <v>503.10185280000002</v>
      </c>
      <c r="S273">
        <v>503.10185280000002</v>
      </c>
      <c r="T273">
        <v>0.65208333299999999</v>
      </c>
      <c r="U273">
        <v>0.65555555600000004</v>
      </c>
      <c r="V273">
        <v>0</v>
      </c>
      <c r="W273">
        <v>3</v>
      </c>
      <c r="X273">
        <v>100</v>
      </c>
      <c r="Y273">
        <v>78</v>
      </c>
      <c r="Z273">
        <v>3</v>
      </c>
      <c r="AA273">
        <f t="shared" si="4"/>
        <v>1689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2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1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</row>
    <row r="274" spans="1:96" x14ac:dyDescent="0.3">
      <c r="A274" s="1">
        <v>45533</v>
      </c>
      <c r="B274" t="s">
        <v>261</v>
      </c>
      <c r="C274" t="s">
        <v>295</v>
      </c>
      <c r="E274" t="s">
        <v>296</v>
      </c>
      <c r="F274" t="s">
        <v>101</v>
      </c>
      <c r="G274">
        <v>1072</v>
      </c>
      <c r="H274" t="s">
        <v>118</v>
      </c>
      <c r="I274" t="s">
        <v>123</v>
      </c>
      <c r="J274">
        <v>4</v>
      </c>
      <c r="K274" t="s">
        <v>120</v>
      </c>
      <c r="L274">
        <v>16.666666670000001</v>
      </c>
      <c r="M274" t="s">
        <v>105</v>
      </c>
      <c r="N274" t="s">
        <v>105</v>
      </c>
      <c r="O274" t="e">
        <v>#VALUE!</v>
      </c>
      <c r="P274" t="e">
        <v>#VALUE!</v>
      </c>
      <c r="Q274" t="e">
        <v>#VALUE!</v>
      </c>
      <c r="R274" t="e">
        <v>#VALUE!</v>
      </c>
      <c r="S274" t="s">
        <v>105</v>
      </c>
      <c r="T274">
        <v>0.623611111</v>
      </c>
      <c r="U274">
        <v>0.62708333299999997</v>
      </c>
      <c r="V274">
        <v>0</v>
      </c>
      <c r="W274">
        <v>3</v>
      </c>
      <c r="X274">
        <v>25</v>
      </c>
      <c r="Y274">
        <v>78</v>
      </c>
      <c r="Z274">
        <v>7</v>
      </c>
      <c r="AA274">
        <f t="shared" si="4"/>
        <v>1696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1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4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2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</row>
    <row r="275" spans="1:96" x14ac:dyDescent="0.3">
      <c r="A275" s="1">
        <v>45533</v>
      </c>
      <c r="B275" t="s">
        <v>261</v>
      </c>
      <c r="C275" t="s">
        <v>326</v>
      </c>
      <c r="E275" t="s">
        <v>327</v>
      </c>
      <c r="F275" t="s">
        <v>101</v>
      </c>
      <c r="G275">
        <v>1126</v>
      </c>
      <c r="H275" t="s">
        <v>113</v>
      </c>
      <c r="I275" t="s">
        <v>103</v>
      </c>
      <c r="J275">
        <v>4</v>
      </c>
      <c r="K275" t="s">
        <v>104</v>
      </c>
      <c r="L275">
        <v>11.33333333</v>
      </c>
      <c r="M275" t="s">
        <v>105</v>
      </c>
      <c r="N275" t="s">
        <v>105</v>
      </c>
      <c r="O275" t="e">
        <v>#VALUE!</v>
      </c>
      <c r="P275" t="e">
        <v>#VALUE!</v>
      </c>
      <c r="Q275" t="e">
        <v>#VALUE!</v>
      </c>
      <c r="R275" t="e">
        <v>#VALUE!</v>
      </c>
      <c r="S275" t="s">
        <v>105</v>
      </c>
      <c r="T275">
        <v>0.65972222199999997</v>
      </c>
      <c r="U275">
        <v>0.66319444400000005</v>
      </c>
      <c r="V275">
        <v>0</v>
      </c>
      <c r="W275">
        <v>3</v>
      </c>
      <c r="X275">
        <v>100</v>
      </c>
      <c r="Y275">
        <v>78</v>
      </c>
      <c r="Z275">
        <v>15</v>
      </c>
      <c r="AA275">
        <f t="shared" si="4"/>
        <v>1711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4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9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2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</row>
    <row r="276" spans="1:96" x14ac:dyDescent="0.3">
      <c r="A276" s="1">
        <v>45533</v>
      </c>
      <c r="B276" t="s">
        <v>261</v>
      </c>
      <c r="C276" t="s">
        <v>280</v>
      </c>
      <c r="E276" t="s">
        <v>281</v>
      </c>
      <c r="F276" t="s">
        <v>101</v>
      </c>
      <c r="G276" t="s">
        <v>282</v>
      </c>
      <c r="H276" t="s">
        <v>102</v>
      </c>
      <c r="I276" t="s">
        <v>103</v>
      </c>
      <c r="J276">
        <v>4</v>
      </c>
      <c r="K276" t="s">
        <v>104</v>
      </c>
      <c r="L276">
        <v>3.3333333330000001</v>
      </c>
      <c r="M276" t="s">
        <v>105</v>
      </c>
      <c r="N276">
        <v>243</v>
      </c>
      <c r="O276">
        <v>3.1764581629999999</v>
      </c>
      <c r="P276">
        <v>10.58819388</v>
      </c>
      <c r="Q276">
        <v>0</v>
      </c>
      <c r="R276">
        <v>2572.9311120000002</v>
      </c>
      <c r="S276">
        <v>2572.9311120000002</v>
      </c>
      <c r="T276">
        <v>0.47569444399999999</v>
      </c>
      <c r="U276">
        <v>0.47916666699999999</v>
      </c>
      <c r="V276">
        <v>0</v>
      </c>
      <c r="W276">
        <v>2</v>
      </c>
      <c r="X276">
        <v>100</v>
      </c>
      <c r="Y276">
        <v>75</v>
      </c>
      <c r="Z276">
        <v>3</v>
      </c>
      <c r="AA276">
        <f t="shared" si="4"/>
        <v>1714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1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1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1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</row>
    <row r="277" spans="1:96" x14ac:dyDescent="0.3">
      <c r="A277" s="1">
        <v>45533</v>
      </c>
      <c r="B277" t="s">
        <v>261</v>
      </c>
      <c r="C277" t="s">
        <v>242</v>
      </c>
      <c r="E277" t="s">
        <v>243</v>
      </c>
      <c r="F277" t="s">
        <v>101</v>
      </c>
      <c r="G277">
        <v>10063</v>
      </c>
      <c r="H277" t="s">
        <v>113</v>
      </c>
      <c r="I277" t="s">
        <v>119</v>
      </c>
      <c r="J277">
        <v>5</v>
      </c>
      <c r="K277" t="s">
        <v>120</v>
      </c>
      <c r="L277">
        <v>5.3333333329999997</v>
      </c>
      <c r="M277" t="s">
        <v>105</v>
      </c>
      <c r="N277">
        <v>349.6</v>
      </c>
      <c r="O277">
        <v>18.187653950000001</v>
      </c>
      <c r="P277">
        <v>97.000821049999999</v>
      </c>
      <c r="Q277">
        <v>0</v>
      </c>
      <c r="R277">
        <v>33911.48704</v>
      </c>
      <c r="S277">
        <v>33911.48704</v>
      </c>
      <c r="T277">
        <v>0.48402777800000002</v>
      </c>
      <c r="U277">
        <v>0.48749999999999999</v>
      </c>
      <c r="V277">
        <v>0</v>
      </c>
      <c r="W277">
        <v>2</v>
      </c>
      <c r="X277">
        <v>100</v>
      </c>
      <c r="Y277">
        <v>75</v>
      </c>
      <c r="Z277">
        <v>7</v>
      </c>
      <c r="AA277">
        <f t="shared" si="4"/>
        <v>1721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1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4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1</v>
      </c>
      <c r="CJ277">
        <v>0</v>
      </c>
      <c r="CK277">
        <v>0</v>
      </c>
      <c r="CL277">
        <v>0</v>
      </c>
      <c r="CM277">
        <v>1</v>
      </c>
      <c r="CN277">
        <v>0</v>
      </c>
      <c r="CO277">
        <v>0</v>
      </c>
      <c r="CP277">
        <v>0</v>
      </c>
      <c r="CQ277">
        <v>0</v>
      </c>
    </row>
    <row r="278" spans="1:96" x14ac:dyDescent="0.3">
      <c r="A278" s="1">
        <v>45533</v>
      </c>
      <c r="B278" t="s">
        <v>261</v>
      </c>
      <c r="C278" t="s">
        <v>301</v>
      </c>
      <c r="E278" t="s">
        <v>302</v>
      </c>
      <c r="F278" t="s">
        <v>101</v>
      </c>
      <c r="G278">
        <v>96102</v>
      </c>
      <c r="H278" t="s">
        <v>102</v>
      </c>
      <c r="I278" t="s">
        <v>103</v>
      </c>
      <c r="J278">
        <v>4</v>
      </c>
      <c r="K278" t="s">
        <v>104</v>
      </c>
      <c r="L278">
        <v>4.3333333329999997</v>
      </c>
      <c r="M278" t="s">
        <v>105</v>
      </c>
      <c r="N278">
        <v>492.1</v>
      </c>
      <c r="O278">
        <v>6.8107476690000004</v>
      </c>
      <c r="P278">
        <v>29.513239899999999</v>
      </c>
      <c r="Q278">
        <v>0</v>
      </c>
      <c r="R278">
        <v>14523.46535</v>
      </c>
      <c r="S278">
        <v>14523.46535</v>
      </c>
      <c r="T278">
        <v>0.49236111100000002</v>
      </c>
      <c r="U278">
        <v>0.49583333299999999</v>
      </c>
      <c r="V278">
        <v>0</v>
      </c>
      <c r="W278">
        <v>1</v>
      </c>
      <c r="X278">
        <v>100</v>
      </c>
      <c r="Y278">
        <v>75</v>
      </c>
      <c r="Z278">
        <v>5</v>
      </c>
      <c r="AA278">
        <f t="shared" si="4"/>
        <v>1726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1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1</v>
      </c>
      <c r="BU278">
        <v>0</v>
      </c>
      <c r="BV278">
        <v>1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2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</row>
    <row r="279" spans="1:96" x14ac:dyDescent="0.3">
      <c r="A279" s="1">
        <v>45533</v>
      </c>
      <c r="B279" t="s">
        <v>261</v>
      </c>
      <c r="C279" t="s">
        <v>188</v>
      </c>
      <c r="E279" t="s">
        <v>189</v>
      </c>
      <c r="F279" t="s">
        <v>101</v>
      </c>
      <c r="G279">
        <v>15055</v>
      </c>
      <c r="H279" t="s">
        <v>113</v>
      </c>
      <c r="I279" t="s">
        <v>119</v>
      </c>
      <c r="J279">
        <v>4</v>
      </c>
      <c r="K279" t="s">
        <v>120</v>
      </c>
      <c r="L279">
        <v>3</v>
      </c>
      <c r="M279" t="s">
        <v>105</v>
      </c>
      <c r="N279">
        <v>42.8</v>
      </c>
      <c r="O279">
        <v>11.8144796</v>
      </c>
      <c r="P279">
        <v>35.443438790000002</v>
      </c>
      <c r="Q279">
        <v>0</v>
      </c>
      <c r="R279">
        <v>1516.97918</v>
      </c>
      <c r="S279">
        <v>1516.97918</v>
      </c>
      <c r="T279">
        <v>0.50208333299999997</v>
      </c>
      <c r="U279">
        <v>0.50555555600000002</v>
      </c>
      <c r="V279">
        <v>0</v>
      </c>
      <c r="W279">
        <v>1</v>
      </c>
      <c r="X279">
        <v>100</v>
      </c>
      <c r="Y279">
        <v>76</v>
      </c>
      <c r="Z279">
        <v>5</v>
      </c>
      <c r="AA279">
        <f t="shared" si="4"/>
        <v>1731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1</v>
      </c>
      <c r="BD279">
        <v>0</v>
      </c>
      <c r="BE279">
        <v>0</v>
      </c>
      <c r="BF279">
        <v>0</v>
      </c>
      <c r="BG279">
        <v>1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2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1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</row>
    <row r="280" spans="1:96" x14ac:dyDescent="0.3">
      <c r="A280" s="1">
        <v>45533</v>
      </c>
      <c r="B280" t="s">
        <v>261</v>
      </c>
      <c r="C280" t="s">
        <v>293</v>
      </c>
      <c r="E280" t="s">
        <v>294</v>
      </c>
      <c r="F280" t="s">
        <v>101</v>
      </c>
      <c r="G280">
        <v>97033</v>
      </c>
      <c r="H280" t="s">
        <v>102</v>
      </c>
      <c r="I280" t="s">
        <v>129</v>
      </c>
      <c r="J280">
        <v>4</v>
      </c>
      <c r="K280" t="s">
        <v>104</v>
      </c>
      <c r="L280">
        <v>3.3333333330000001</v>
      </c>
      <c r="M280" t="s">
        <v>105</v>
      </c>
      <c r="N280">
        <v>160.69999999999999</v>
      </c>
      <c r="O280">
        <v>14.58577728</v>
      </c>
      <c r="P280">
        <v>48.619257599999997</v>
      </c>
      <c r="Q280">
        <v>0</v>
      </c>
      <c r="R280">
        <v>7813.1146959999996</v>
      </c>
      <c r="S280">
        <v>7813.1146959999996</v>
      </c>
      <c r="T280">
        <v>0.50972222199999995</v>
      </c>
      <c r="U280">
        <v>0.51319444400000003</v>
      </c>
      <c r="V280">
        <v>0</v>
      </c>
      <c r="W280">
        <v>1</v>
      </c>
      <c r="X280">
        <v>100</v>
      </c>
      <c r="Y280">
        <v>76</v>
      </c>
      <c r="Z280">
        <v>6</v>
      </c>
      <c r="AA280">
        <f t="shared" si="4"/>
        <v>1737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1</v>
      </c>
      <c r="BU280">
        <v>0</v>
      </c>
      <c r="BV280">
        <v>4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1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 t="s">
        <v>328</v>
      </c>
    </row>
    <row r="281" spans="1:96" x14ac:dyDescent="0.3">
      <c r="A281" s="1">
        <v>45533</v>
      </c>
      <c r="B281" t="s">
        <v>261</v>
      </c>
      <c r="C281" t="s">
        <v>178</v>
      </c>
      <c r="E281" t="s">
        <v>179</v>
      </c>
      <c r="F281" t="s">
        <v>101</v>
      </c>
      <c r="G281">
        <v>93021</v>
      </c>
      <c r="H281" t="s">
        <v>102</v>
      </c>
      <c r="I281" t="s">
        <v>103</v>
      </c>
      <c r="J281" t="s">
        <v>105</v>
      </c>
      <c r="K281" t="s">
        <v>104</v>
      </c>
      <c r="L281">
        <v>5</v>
      </c>
      <c r="M281" t="s">
        <v>105</v>
      </c>
      <c r="N281">
        <v>404.7</v>
      </c>
      <c r="O281">
        <v>9.3348974590000005</v>
      </c>
      <c r="P281">
        <v>46.674487300000003</v>
      </c>
      <c r="Q281">
        <v>0</v>
      </c>
      <c r="R281">
        <v>18889.165010000001</v>
      </c>
      <c r="S281">
        <v>18889.165010000001</v>
      </c>
      <c r="T281">
        <v>0.51944444400000001</v>
      </c>
      <c r="U281">
        <v>0.52291666699999995</v>
      </c>
      <c r="V281">
        <v>0</v>
      </c>
      <c r="W281">
        <v>2</v>
      </c>
      <c r="X281">
        <v>100</v>
      </c>
      <c r="Y281">
        <v>76</v>
      </c>
      <c r="Z281">
        <v>3</v>
      </c>
      <c r="AA281">
        <f t="shared" si="4"/>
        <v>1740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1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</row>
    <row r="282" spans="1:96" x14ac:dyDescent="0.3">
      <c r="A282" s="1">
        <v>45533</v>
      </c>
      <c r="B282" t="s">
        <v>261</v>
      </c>
      <c r="C282" t="s">
        <v>164</v>
      </c>
      <c r="E282" t="s">
        <v>165</v>
      </c>
      <c r="F282" t="s">
        <v>101</v>
      </c>
      <c r="G282">
        <v>1004</v>
      </c>
      <c r="H282" t="s">
        <v>113</v>
      </c>
      <c r="I282" t="s">
        <v>103</v>
      </c>
      <c r="J282">
        <v>4</v>
      </c>
      <c r="K282" t="s">
        <v>120</v>
      </c>
      <c r="L282">
        <v>3.3333333330000001</v>
      </c>
      <c r="M282" t="s">
        <v>105</v>
      </c>
      <c r="N282">
        <v>98.3</v>
      </c>
      <c r="O282">
        <v>21.003519279999999</v>
      </c>
      <c r="P282">
        <v>70.011730940000007</v>
      </c>
      <c r="Q282">
        <v>0</v>
      </c>
      <c r="R282">
        <v>6882.1531519999999</v>
      </c>
      <c r="S282">
        <v>6882.1531519999999</v>
      </c>
      <c r="T282">
        <v>0.52430555599999995</v>
      </c>
      <c r="U282">
        <v>0.52777777800000003</v>
      </c>
      <c r="V282">
        <v>0</v>
      </c>
      <c r="W282">
        <v>1</v>
      </c>
      <c r="X282">
        <v>100</v>
      </c>
      <c r="Y282">
        <v>76</v>
      </c>
      <c r="Z282">
        <v>4</v>
      </c>
      <c r="AA282">
        <f t="shared" si="4"/>
        <v>1744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1</v>
      </c>
      <c r="BU282">
        <v>0</v>
      </c>
      <c r="BV282">
        <v>1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</row>
    <row r="283" spans="1:96" x14ac:dyDescent="0.3">
      <c r="A283" s="1">
        <v>45533</v>
      </c>
      <c r="B283" t="s">
        <v>261</v>
      </c>
      <c r="C283" t="s">
        <v>175</v>
      </c>
      <c r="E283" t="s">
        <v>176</v>
      </c>
      <c r="F283" t="s">
        <v>101</v>
      </c>
      <c r="G283">
        <v>11044</v>
      </c>
      <c r="H283" t="s">
        <v>126</v>
      </c>
      <c r="I283" t="s">
        <v>119</v>
      </c>
      <c r="J283">
        <v>4</v>
      </c>
      <c r="K283" t="s">
        <v>104</v>
      </c>
      <c r="M283">
        <v>8</v>
      </c>
      <c r="N283">
        <v>88.6</v>
      </c>
      <c r="O283">
        <v>4.4121976270000003</v>
      </c>
      <c r="P283">
        <v>0</v>
      </c>
      <c r="Q283">
        <v>708.8</v>
      </c>
      <c r="R283">
        <v>0</v>
      </c>
      <c r="S283">
        <v>708.8</v>
      </c>
      <c r="T283">
        <v>0.53749999999999998</v>
      </c>
      <c r="U283">
        <v>0.54097222199999995</v>
      </c>
      <c r="V283">
        <v>0</v>
      </c>
      <c r="W283">
        <v>2</v>
      </c>
      <c r="X283">
        <v>85</v>
      </c>
      <c r="Y283">
        <v>76</v>
      </c>
      <c r="Z283">
        <v>0</v>
      </c>
      <c r="AA283">
        <f t="shared" si="4"/>
        <v>1744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</row>
    <row r="284" spans="1:96" x14ac:dyDescent="0.3">
      <c r="A284" s="1">
        <v>45533</v>
      </c>
      <c r="B284" t="s">
        <v>261</v>
      </c>
      <c r="C284" t="s">
        <v>285</v>
      </c>
      <c r="E284" t="s">
        <v>286</v>
      </c>
      <c r="F284" t="s">
        <v>101</v>
      </c>
      <c r="G284">
        <v>95054</v>
      </c>
      <c r="H284" t="s">
        <v>102</v>
      </c>
      <c r="I284" t="s">
        <v>123</v>
      </c>
      <c r="J284">
        <v>4</v>
      </c>
      <c r="K284" t="s">
        <v>104</v>
      </c>
      <c r="L284">
        <v>11.66666667</v>
      </c>
      <c r="M284" t="s">
        <v>105</v>
      </c>
      <c r="N284">
        <v>109.8</v>
      </c>
      <c r="O284">
        <v>16.595373259999999</v>
      </c>
      <c r="P284">
        <v>193.61268799999999</v>
      </c>
      <c r="Q284">
        <v>0</v>
      </c>
      <c r="R284">
        <v>21258.673149999999</v>
      </c>
      <c r="S284">
        <v>21258.673149999999</v>
      </c>
      <c r="T284">
        <v>0.54722222200000004</v>
      </c>
      <c r="U284">
        <v>0.55069444400000001</v>
      </c>
      <c r="V284">
        <v>0</v>
      </c>
      <c r="W284">
        <v>2</v>
      </c>
      <c r="X284">
        <v>100</v>
      </c>
      <c r="Y284">
        <v>76</v>
      </c>
      <c r="Z284">
        <v>19</v>
      </c>
      <c r="AA284">
        <f t="shared" si="4"/>
        <v>1763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1</v>
      </c>
      <c r="BE284">
        <v>0</v>
      </c>
      <c r="BF284">
        <v>0</v>
      </c>
      <c r="BG284">
        <v>3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1</v>
      </c>
      <c r="BU284">
        <v>0</v>
      </c>
      <c r="BV284">
        <v>10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4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</row>
    <row r="285" spans="1:96" x14ac:dyDescent="0.3">
      <c r="A285" s="1">
        <v>45533</v>
      </c>
      <c r="B285" t="s">
        <v>261</v>
      </c>
      <c r="C285" t="s">
        <v>288</v>
      </c>
      <c r="E285" t="s">
        <v>208</v>
      </c>
      <c r="F285" t="s">
        <v>101</v>
      </c>
      <c r="G285">
        <v>1005</v>
      </c>
      <c r="H285" t="s">
        <v>113</v>
      </c>
      <c r="I285" t="s">
        <v>119</v>
      </c>
      <c r="J285">
        <v>4</v>
      </c>
      <c r="K285" t="s">
        <v>120</v>
      </c>
      <c r="L285">
        <v>3.6666666669999999</v>
      </c>
      <c r="M285" t="s">
        <v>105</v>
      </c>
      <c r="N285">
        <v>91.7</v>
      </c>
      <c r="O285">
        <v>8.2044997199999994</v>
      </c>
      <c r="P285">
        <v>30.083165640000001</v>
      </c>
      <c r="Q285">
        <v>0</v>
      </c>
      <c r="R285">
        <v>2758.6262889999998</v>
      </c>
      <c r="S285">
        <v>2758.6262889999998</v>
      </c>
      <c r="T285">
        <v>0.60347222199999995</v>
      </c>
      <c r="U285">
        <v>0.60694444400000003</v>
      </c>
      <c r="V285">
        <v>0</v>
      </c>
      <c r="W285">
        <v>2</v>
      </c>
      <c r="X285">
        <v>100</v>
      </c>
      <c r="Y285">
        <v>78</v>
      </c>
      <c r="Z285">
        <v>0</v>
      </c>
      <c r="AA285">
        <f t="shared" si="4"/>
        <v>1763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1:96" x14ac:dyDescent="0.3">
      <c r="A286" s="1">
        <v>45533</v>
      </c>
      <c r="B286" t="s">
        <v>261</v>
      </c>
      <c r="C286" t="s">
        <v>291</v>
      </c>
      <c r="E286" t="s">
        <v>122</v>
      </c>
      <c r="F286" t="s">
        <v>101</v>
      </c>
      <c r="G286" t="s">
        <v>292</v>
      </c>
      <c r="H286" t="s">
        <v>118</v>
      </c>
      <c r="I286" t="s">
        <v>123</v>
      </c>
      <c r="J286">
        <v>5</v>
      </c>
      <c r="K286" t="s">
        <v>120</v>
      </c>
      <c r="M286">
        <v>5</v>
      </c>
      <c r="N286">
        <v>76.900000000000006</v>
      </c>
      <c r="O286">
        <v>2.5322529999999999</v>
      </c>
      <c r="P286">
        <v>0</v>
      </c>
      <c r="Q286">
        <v>384.5</v>
      </c>
      <c r="R286">
        <v>0</v>
      </c>
      <c r="S286">
        <v>384.5</v>
      </c>
      <c r="T286">
        <v>0.53125</v>
      </c>
      <c r="U286">
        <v>0.53472222199999997</v>
      </c>
      <c r="V286">
        <v>0</v>
      </c>
      <c r="W286">
        <v>0</v>
      </c>
      <c r="X286">
        <v>100</v>
      </c>
      <c r="Y286">
        <v>76</v>
      </c>
      <c r="Z286">
        <v>1</v>
      </c>
      <c r="AA286">
        <f t="shared" si="4"/>
        <v>1764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1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1:96" x14ac:dyDescent="0.3">
      <c r="Z287">
        <f>SUM(Z1:Z286)</f>
        <v>1764</v>
      </c>
    </row>
  </sheetData>
  <sortState xmlns:xlrd2="http://schemas.microsoft.com/office/spreadsheetml/2017/richdata2" ref="A2:CS286">
    <sortCondition ref="A2:A28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spec_accum_vials</vt:lpstr>
      <vt:lpstr>OriginalData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</dc:creator>
  <cp:lastModifiedBy>Elizabeth Braatz</cp:lastModifiedBy>
  <dcterms:created xsi:type="dcterms:W3CDTF">2025-03-31T18:37:38Z</dcterms:created>
  <dcterms:modified xsi:type="dcterms:W3CDTF">2025-03-31T20:09:03Z</dcterms:modified>
</cp:coreProperties>
</file>