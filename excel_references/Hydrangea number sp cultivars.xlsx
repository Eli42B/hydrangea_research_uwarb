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UW Arboretum Hydrangea research\UW Arboretum Hydrangea research\Hydrangea_R_code\Excel Files\"/>
    </mc:Choice>
  </mc:AlternateContent>
  <xr:revisionPtr revIDLastSave="0" documentId="13_ncr:1_{6EDC5E05-A555-48DE-A995-635F375089D2}" xr6:coauthVersionLast="47" xr6:coauthVersionMax="47" xr10:uidLastSave="{00000000-0000-0000-0000-000000000000}"/>
  <bookViews>
    <workbookView xWindow="-108" yWindow="-108" windowWidth="23256" windowHeight="13896" xr2:uid="{DA833E42-927B-4D3C-9230-B9A762DF11BC}"/>
  </bookViews>
  <sheets>
    <sheet name="H. paniculata" sheetId="1" r:id="rId1"/>
    <sheet name="H. arboresce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3" i="1"/>
  <c r="I4" i="1"/>
  <c r="I5" i="1"/>
  <c r="I6" i="1"/>
  <c r="I2" i="1"/>
  <c r="E18" i="2"/>
  <c r="J5" i="2"/>
  <c r="J10" i="2"/>
  <c r="J7" i="2"/>
  <c r="J6" i="2"/>
  <c r="V28" i="1"/>
  <c r="W28" i="1" s="1"/>
  <c r="V30" i="1"/>
  <c r="W30" i="1" s="1"/>
  <c r="V29" i="1"/>
  <c r="W29" i="1" s="1"/>
  <c r="J8" i="2" l="1"/>
  <c r="K6" i="2" s="1"/>
  <c r="K5" i="2"/>
  <c r="W31" i="1"/>
  <c r="V31" i="1"/>
  <c r="K7" i="2" l="1"/>
  <c r="K8" i="2" s="1"/>
</calcChain>
</file>

<file path=xl/sharedStrings.xml><?xml version="1.0" encoding="utf-8"?>
<sst xmlns="http://schemas.openxmlformats.org/spreadsheetml/2006/main" count="267" uniqueCount="196">
  <si>
    <t># Bed</t>
  </si>
  <si>
    <t># Tag</t>
  </si>
  <si>
    <t>Trademark/Cultivar</t>
  </si>
  <si>
    <t>Replicates</t>
  </si>
  <si>
    <t>1A</t>
  </si>
  <si>
    <t>Strawberry Shake</t>
  </si>
  <si>
    <t>2A</t>
  </si>
  <si>
    <t>Baby Lace</t>
  </si>
  <si>
    <t>3A</t>
  </si>
  <si>
    <t>Sweet Summer</t>
  </si>
  <si>
    <t>4A</t>
  </si>
  <si>
    <t>White Diamonds®</t>
  </si>
  <si>
    <t>5A</t>
  </si>
  <si>
    <t>Quick Fire</t>
  </si>
  <si>
    <t>6A</t>
  </si>
  <si>
    <r>
      <t>Honey Comb</t>
    </r>
    <r>
      <rPr>
        <vertAlign val="superscript"/>
        <sz val="11"/>
        <color rgb="FF000000"/>
        <rFont val="Times New Roman"/>
        <family val="1"/>
      </rPr>
      <t>TM</t>
    </r>
  </si>
  <si>
    <t>7A</t>
  </si>
  <si>
    <t>Tickled Pink</t>
  </si>
  <si>
    <t>8A</t>
  </si>
  <si>
    <t>Mega Pearl</t>
  </si>
  <si>
    <t>9A</t>
  </si>
  <si>
    <t>Fire &amp; Ice</t>
  </si>
  <si>
    <t>10A</t>
  </si>
  <si>
    <t>Pinky Winky®</t>
  </si>
  <si>
    <t>11A</t>
  </si>
  <si>
    <t>Dharuma</t>
  </si>
  <si>
    <t>12A</t>
  </si>
  <si>
    <t>Candy Apple</t>
  </si>
  <si>
    <t>1B</t>
  </si>
  <si>
    <t>Little Lamb</t>
  </si>
  <si>
    <t>2B</t>
  </si>
  <si>
    <t>Phantom</t>
  </si>
  <si>
    <t>3B</t>
  </si>
  <si>
    <t>Little Lime</t>
  </si>
  <si>
    <t>4B</t>
  </si>
  <si>
    <t>5B</t>
  </si>
  <si>
    <t>6B</t>
  </si>
  <si>
    <t>7B</t>
  </si>
  <si>
    <t>Unique</t>
  </si>
  <si>
    <t>8B</t>
  </si>
  <si>
    <t>9B</t>
  </si>
  <si>
    <t>Silver Dollar</t>
  </si>
  <si>
    <t>10B</t>
  </si>
  <si>
    <t>Pink Lady</t>
  </si>
  <si>
    <t>11B</t>
  </si>
  <si>
    <t>Strawberry Sundae</t>
  </si>
  <si>
    <t>12B</t>
  </si>
  <si>
    <t>Vanilla Strawberry</t>
  </si>
  <si>
    <t>13B</t>
  </si>
  <si>
    <t>14B</t>
  </si>
  <si>
    <t>Mega Mindy</t>
  </si>
  <si>
    <t>15B</t>
  </si>
  <si>
    <t>Zinfin Doll</t>
  </si>
  <si>
    <t>16B</t>
  </si>
  <si>
    <t>Dolly</t>
  </si>
  <si>
    <t>17B</t>
  </si>
  <si>
    <t>Limelight</t>
  </si>
  <si>
    <t>18B</t>
  </si>
  <si>
    <t>Big Ben</t>
  </si>
  <si>
    <t>19B</t>
  </si>
  <si>
    <t>Little Quick Fire</t>
  </si>
  <si>
    <t>20B</t>
  </si>
  <si>
    <t>Bobo</t>
  </si>
  <si>
    <t>21B</t>
  </si>
  <si>
    <r>
      <t>Great Star</t>
    </r>
    <r>
      <rPr>
        <vertAlign val="superscript"/>
        <sz val="11"/>
        <color rgb="FF000000"/>
        <rFont val="Times New Roman"/>
        <family val="1"/>
      </rPr>
      <t>TM</t>
    </r>
  </si>
  <si>
    <t>22B</t>
  </si>
  <si>
    <t>Limelight Prime</t>
  </si>
  <si>
    <t>23B</t>
  </si>
  <si>
    <t>Quick Fire Fabulous</t>
  </si>
  <si>
    <t>24B</t>
  </si>
  <si>
    <t>Little Lime Punch</t>
  </si>
  <si>
    <t>25B</t>
  </si>
  <si>
    <t>Early Evolution</t>
  </si>
  <si>
    <t>26B</t>
  </si>
  <si>
    <t>Berry White</t>
  </si>
  <si>
    <t>1C</t>
  </si>
  <si>
    <t>Angel's Blush</t>
  </si>
  <si>
    <t>2C</t>
  </si>
  <si>
    <t>3C</t>
  </si>
  <si>
    <t>4C</t>
  </si>
  <si>
    <t>5C</t>
  </si>
  <si>
    <t>6C</t>
  </si>
  <si>
    <t>7C</t>
  </si>
  <si>
    <t>8C</t>
  </si>
  <si>
    <t>9C</t>
  </si>
  <si>
    <t>Pillow Talk</t>
  </si>
  <si>
    <t>10C</t>
  </si>
  <si>
    <t>Fire Light</t>
  </si>
  <si>
    <t>11C</t>
  </si>
  <si>
    <t>12C</t>
  </si>
  <si>
    <t>Polar Ball</t>
  </si>
  <si>
    <t>Missed</t>
  </si>
  <si>
    <t>Floribunda</t>
  </si>
  <si>
    <t>13C</t>
  </si>
  <si>
    <t>14C</t>
  </si>
  <si>
    <t>15C</t>
  </si>
  <si>
    <t>Pink Diamond</t>
  </si>
  <si>
    <t>16C</t>
  </si>
  <si>
    <t>ST</t>
  </si>
  <si>
    <t>1D</t>
  </si>
  <si>
    <t>2D</t>
  </si>
  <si>
    <t>3D</t>
  </si>
  <si>
    <t>4D</t>
  </si>
  <si>
    <t>5D</t>
  </si>
  <si>
    <t>Brussels Lace</t>
  </si>
  <si>
    <t>6D</t>
  </si>
  <si>
    <t>7D</t>
  </si>
  <si>
    <t>8D</t>
  </si>
  <si>
    <t>Lime Light</t>
  </si>
  <si>
    <t>9D</t>
  </si>
  <si>
    <t>White Moth</t>
  </si>
  <si>
    <t>ST2</t>
  </si>
  <si>
    <t>10D</t>
  </si>
  <si>
    <t>Daimond Rogue</t>
  </si>
  <si>
    <t>11D</t>
  </si>
  <si>
    <t>Kyushu</t>
  </si>
  <si>
    <t>12D</t>
  </si>
  <si>
    <t>13D</t>
  </si>
  <si>
    <t>Ruby</t>
  </si>
  <si>
    <t>14D</t>
  </si>
  <si>
    <t>Late</t>
  </si>
  <si>
    <t>15D</t>
  </si>
  <si>
    <t>16D</t>
  </si>
  <si>
    <t>Green Spire</t>
  </si>
  <si>
    <t>17D</t>
  </si>
  <si>
    <t>18D</t>
  </si>
  <si>
    <t>19D</t>
  </si>
  <si>
    <t>Puffer Fish</t>
  </si>
  <si>
    <t>20D</t>
  </si>
  <si>
    <t>21D</t>
  </si>
  <si>
    <t>1E and 2E</t>
  </si>
  <si>
    <t>Invincibelle® Spirit II</t>
  </si>
  <si>
    <t>3E</t>
  </si>
  <si>
    <t>Bounty</t>
  </si>
  <si>
    <t>4E</t>
  </si>
  <si>
    <t>Hayes Starburst</t>
  </si>
  <si>
    <t>5E</t>
  </si>
  <si>
    <t>Annabelle</t>
  </si>
  <si>
    <t>6E</t>
  </si>
  <si>
    <t>Riven Lace</t>
  </si>
  <si>
    <t>7E</t>
  </si>
  <si>
    <t>Invincibelle Wee White®</t>
  </si>
  <si>
    <t>8E</t>
  </si>
  <si>
    <t>Ryan Gainey</t>
  </si>
  <si>
    <t>9E</t>
  </si>
  <si>
    <t>INCREDIBALL™</t>
  </si>
  <si>
    <t>10E</t>
  </si>
  <si>
    <t>11E</t>
  </si>
  <si>
    <t>Seaside Serenade® Bar Harbor</t>
  </si>
  <si>
    <t>12E</t>
  </si>
  <si>
    <t>Invincibelle Mini Mauvette™</t>
  </si>
  <si>
    <t>3F</t>
  </si>
  <si>
    <t>LIME RICKEY™</t>
  </si>
  <si>
    <t>4F</t>
  </si>
  <si>
    <t>Haas Halo</t>
  </si>
  <si>
    <t>5F</t>
  </si>
  <si>
    <t>BELLA ANNA™</t>
  </si>
  <si>
    <t>6F</t>
  </si>
  <si>
    <t>8F</t>
  </si>
  <si>
    <t>Pink Pincushion</t>
  </si>
  <si>
    <t>9F</t>
  </si>
  <si>
    <t>10F</t>
  </si>
  <si>
    <t>Incrediball® Blush</t>
  </si>
  <si>
    <t>11F</t>
  </si>
  <si>
    <t>Invincibelle® Ruby</t>
  </si>
  <si>
    <t>12F</t>
  </si>
  <si>
    <t>WHITE DOME™</t>
  </si>
  <si>
    <t>Died</t>
  </si>
  <si>
    <t>Number</t>
  </si>
  <si>
    <t>Single rep</t>
  </si>
  <si>
    <t>%</t>
  </si>
  <si>
    <t>Two reps</t>
  </si>
  <si>
    <t>three + reps</t>
  </si>
  <si>
    <t>Ones</t>
  </si>
  <si>
    <t># Total plants</t>
  </si>
  <si>
    <t># Cultivars</t>
  </si>
  <si>
    <t xml:space="preserve">Note </t>
  </si>
  <si>
    <t>GONE</t>
  </si>
  <si>
    <t xml:space="preserve">Avg Size (radius, cm) per plant </t>
  </si>
  <si>
    <t>Avg # insects per plant</t>
  </si>
  <si>
    <t>Avg # insects / cm of plant</t>
  </si>
  <si>
    <t>one plant had died</t>
  </si>
  <si>
    <t>all plants died</t>
  </si>
  <si>
    <t>plants died</t>
  </si>
  <si>
    <t xml:space="preserve">one died </t>
  </si>
  <si>
    <t>died</t>
  </si>
  <si>
    <r>
      <t>Great Star</t>
    </r>
    <r>
      <rPr>
        <strike/>
        <vertAlign val="superscript"/>
        <sz val="11"/>
        <color theme="2" tint="-0.249977111117893"/>
        <rFont val="Times New Roman"/>
        <family val="1"/>
      </rPr>
      <t>TM</t>
    </r>
  </si>
  <si>
    <t>140+114</t>
  </si>
  <si>
    <t>180+210+145</t>
  </si>
  <si>
    <t>Notes</t>
  </si>
  <si>
    <t xml:space="preserve">Radius 1 </t>
  </si>
  <si>
    <t xml:space="preserve">Radius 2 </t>
  </si>
  <si>
    <t>Radius 3</t>
  </si>
  <si>
    <t>Radius 4</t>
  </si>
  <si>
    <t>Avg. Radius</t>
  </si>
  <si>
    <t>Avg surface area cm^2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</si>
</sst>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rgb="FF000000"/>
      <name val="Times New Roman"/>
      <family val="1"/>
    </font>
    <font>
      <sz val="11"/>
      <color theme="2" tint="-0.249977111117893"/>
      <name val="Calibri"/>
      <family val="2"/>
      <scheme val="minor"/>
    </font>
    <font>
      <strike/>
      <vertAlign val="superscript"/>
      <sz val="11"/>
      <color theme="2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0252-8AEE-4153-A037-0E900577BB1E}">
  <dimension ref="A1:W77"/>
  <sheetViews>
    <sheetView tabSelected="1" workbookViewId="0">
      <selection activeCell="K12" sqref="K12"/>
    </sheetView>
  </sheetViews>
  <sheetFormatPr defaultRowHeight="14.4" x14ac:dyDescent="0.3"/>
  <cols>
    <col min="3" max="3" width="25.88671875" bestFit="1" customWidth="1"/>
    <col min="4" max="4" width="8" customWidth="1"/>
    <col min="5" max="5" width="7.88671875" customWidth="1"/>
    <col min="6" max="6" width="7.6640625" customWidth="1"/>
    <col min="7" max="7" width="7.77734375" customWidth="1"/>
    <col min="9" max="9" width="11.109375" customWidth="1"/>
    <col min="10" max="12" width="25.88671875" customWidth="1"/>
    <col min="16" max="16" width="10.5546875" bestFit="1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3</v>
      </c>
      <c r="I1" s="1" t="s">
        <v>194</v>
      </c>
      <c r="J1" s="1" t="s">
        <v>195</v>
      </c>
      <c r="K1" s="1" t="s">
        <v>179</v>
      </c>
      <c r="L1" s="1" t="s">
        <v>180</v>
      </c>
      <c r="M1" s="1" t="s">
        <v>173</v>
      </c>
      <c r="N1" s="1" t="s">
        <v>176</v>
      </c>
    </row>
    <row r="2" spans="1:14" x14ac:dyDescent="0.3">
      <c r="A2">
        <v>10</v>
      </c>
      <c r="B2" t="s">
        <v>12</v>
      </c>
      <c r="C2" t="s">
        <v>13</v>
      </c>
      <c r="D2">
        <v>150</v>
      </c>
      <c r="E2">
        <v>60</v>
      </c>
      <c r="F2">
        <v>309</v>
      </c>
      <c r="G2">
        <v>212</v>
      </c>
      <c r="H2">
        <v>4</v>
      </c>
      <c r="I2">
        <f>AVERAGE(D2:G2)</f>
        <v>182.75</v>
      </c>
      <c r="J2">
        <f>((4*3.141592)*(I2^2))/2</f>
        <v>209843.03033900002</v>
      </c>
      <c r="M2">
        <v>1</v>
      </c>
    </row>
    <row r="3" spans="1:14" x14ac:dyDescent="0.3">
      <c r="A3">
        <v>10</v>
      </c>
      <c r="B3" t="s">
        <v>22</v>
      </c>
      <c r="C3" t="s">
        <v>23</v>
      </c>
      <c r="D3">
        <v>48</v>
      </c>
      <c r="E3">
        <v>52</v>
      </c>
      <c r="F3">
        <v>239</v>
      </c>
      <c r="H3">
        <v>3</v>
      </c>
      <c r="I3">
        <f>AVERAGE(D3:G3)</f>
        <v>113</v>
      </c>
      <c r="J3">
        <f t="shared" ref="J3:J49" si="0">((4*3.141592)*(I3^2))/2</f>
        <v>80229.976496000003</v>
      </c>
      <c r="M3">
        <v>1</v>
      </c>
    </row>
    <row r="4" spans="1:14" x14ac:dyDescent="0.3">
      <c r="A4">
        <v>10</v>
      </c>
      <c r="B4" t="s">
        <v>26</v>
      </c>
      <c r="C4" t="s">
        <v>27</v>
      </c>
      <c r="D4" t="s">
        <v>177</v>
      </c>
      <c r="H4">
        <v>3</v>
      </c>
      <c r="I4" t="e">
        <f t="shared" ref="I4:I49" si="1">AVERAGE(D4:G4)</f>
        <v>#DIV/0!</v>
      </c>
      <c r="J4" t="e">
        <f t="shared" si="0"/>
        <v>#DIV/0!</v>
      </c>
      <c r="M4">
        <v>1</v>
      </c>
      <c r="N4" t="s">
        <v>182</v>
      </c>
    </row>
    <row r="5" spans="1:14" x14ac:dyDescent="0.3">
      <c r="A5">
        <v>14</v>
      </c>
      <c r="B5" t="s">
        <v>32</v>
      </c>
      <c r="C5" t="s">
        <v>33</v>
      </c>
      <c r="D5">
        <v>78</v>
      </c>
      <c r="H5">
        <v>3</v>
      </c>
      <c r="I5">
        <f t="shared" si="1"/>
        <v>78</v>
      </c>
      <c r="J5">
        <f t="shared" si="0"/>
        <v>38226.891456000005</v>
      </c>
      <c r="M5">
        <v>1</v>
      </c>
      <c r="N5" t="s">
        <v>181</v>
      </c>
    </row>
    <row r="6" spans="1:14" x14ac:dyDescent="0.3">
      <c r="A6">
        <v>38</v>
      </c>
      <c r="B6" t="s">
        <v>86</v>
      </c>
      <c r="C6" t="s">
        <v>87</v>
      </c>
      <c r="D6">
        <v>117</v>
      </c>
      <c r="E6">
        <v>119</v>
      </c>
      <c r="F6">
        <v>117</v>
      </c>
      <c r="H6">
        <v>3</v>
      </c>
      <c r="I6">
        <f t="shared" si="1"/>
        <v>117.66666666666667</v>
      </c>
      <c r="J6">
        <f t="shared" si="0"/>
        <v>86993.47500622223</v>
      </c>
      <c r="M6">
        <v>1</v>
      </c>
    </row>
    <row r="7" spans="1:14" x14ac:dyDescent="0.3">
      <c r="A7">
        <v>10</v>
      </c>
      <c r="B7" t="s">
        <v>4</v>
      </c>
      <c r="C7" t="s">
        <v>5</v>
      </c>
      <c r="D7">
        <v>81</v>
      </c>
      <c r="E7">
        <v>232</v>
      </c>
      <c r="H7">
        <v>2</v>
      </c>
      <c r="I7">
        <f t="shared" si="1"/>
        <v>156.5</v>
      </c>
      <c r="J7">
        <f t="shared" si="0"/>
        <v>153889.31332400002</v>
      </c>
      <c r="M7">
        <v>1</v>
      </c>
    </row>
    <row r="8" spans="1:14" x14ac:dyDescent="0.3">
      <c r="A8">
        <v>10</v>
      </c>
      <c r="B8" t="s">
        <v>16</v>
      </c>
      <c r="C8" t="s">
        <v>17</v>
      </c>
      <c r="D8">
        <v>80</v>
      </c>
      <c r="E8">
        <v>213</v>
      </c>
      <c r="H8">
        <v>2</v>
      </c>
      <c r="I8">
        <f t="shared" si="1"/>
        <v>146.5</v>
      </c>
      <c r="J8">
        <f t="shared" si="0"/>
        <v>134851.265804</v>
      </c>
      <c r="M8">
        <v>1</v>
      </c>
    </row>
    <row r="9" spans="1:14" x14ac:dyDescent="0.3">
      <c r="A9">
        <v>10</v>
      </c>
      <c r="B9" t="s">
        <v>18</v>
      </c>
      <c r="C9" t="s">
        <v>19</v>
      </c>
      <c r="D9">
        <v>42</v>
      </c>
      <c r="E9">
        <v>115</v>
      </c>
      <c r="H9">
        <v>2</v>
      </c>
      <c r="I9">
        <f t="shared" si="1"/>
        <v>78.5</v>
      </c>
      <c r="J9">
        <f t="shared" si="0"/>
        <v>38718.550604000004</v>
      </c>
      <c r="M9">
        <v>1</v>
      </c>
    </row>
    <row r="10" spans="1:14" x14ac:dyDescent="0.3">
      <c r="A10">
        <v>10</v>
      </c>
      <c r="B10" t="s">
        <v>24</v>
      </c>
      <c r="C10" s="3" t="s">
        <v>25</v>
      </c>
      <c r="D10">
        <v>38</v>
      </c>
      <c r="H10">
        <v>2</v>
      </c>
      <c r="I10">
        <f t="shared" si="1"/>
        <v>38</v>
      </c>
      <c r="J10">
        <f t="shared" si="0"/>
        <v>9072.9176960000004</v>
      </c>
      <c r="M10">
        <v>1</v>
      </c>
    </row>
    <row r="11" spans="1:14" x14ac:dyDescent="0.3">
      <c r="A11">
        <v>14</v>
      </c>
      <c r="B11" t="s">
        <v>28</v>
      </c>
      <c r="C11" t="s">
        <v>29</v>
      </c>
      <c r="D11">
        <v>316</v>
      </c>
      <c r="H11">
        <v>2</v>
      </c>
      <c r="I11">
        <f t="shared" si="1"/>
        <v>316</v>
      </c>
      <c r="J11">
        <f t="shared" si="0"/>
        <v>627413.62150400004</v>
      </c>
      <c r="M11">
        <v>1</v>
      </c>
    </row>
    <row r="12" spans="1:14" x14ac:dyDescent="0.3">
      <c r="A12">
        <v>14</v>
      </c>
      <c r="B12" t="s">
        <v>30</v>
      </c>
      <c r="C12" t="s">
        <v>31</v>
      </c>
      <c r="D12">
        <v>267</v>
      </c>
      <c r="E12">
        <v>465</v>
      </c>
      <c r="H12">
        <v>2</v>
      </c>
      <c r="I12">
        <f t="shared" si="1"/>
        <v>366</v>
      </c>
      <c r="J12">
        <f t="shared" si="0"/>
        <v>841670.19590400008</v>
      </c>
      <c r="M12">
        <v>1</v>
      </c>
    </row>
    <row r="13" spans="1:14" x14ac:dyDescent="0.3">
      <c r="A13">
        <v>14</v>
      </c>
      <c r="B13" t="s">
        <v>42</v>
      </c>
      <c r="C13" t="s">
        <v>43</v>
      </c>
      <c r="D13">
        <v>78</v>
      </c>
      <c r="E13">
        <v>290</v>
      </c>
      <c r="H13">
        <v>2</v>
      </c>
      <c r="I13">
        <f t="shared" si="1"/>
        <v>184</v>
      </c>
      <c r="J13">
        <f t="shared" si="0"/>
        <v>212723.47750400001</v>
      </c>
      <c r="M13">
        <v>1</v>
      </c>
    </row>
    <row r="14" spans="1:14" x14ac:dyDescent="0.3">
      <c r="A14">
        <v>14</v>
      </c>
      <c r="B14" t="s">
        <v>44</v>
      </c>
      <c r="C14" t="s">
        <v>45</v>
      </c>
      <c r="D14">
        <v>110</v>
      </c>
      <c r="E14">
        <v>348</v>
      </c>
      <c r="H14">
        <v>2</v>
      </c>
      <c r="I14">
        <f t="shared" si="1"/>
        <v>229</v>
      </c>
      <c r="J14">
        <f t="shared" si="0"/>
        <v>329496.45214400004</v>
      </c>
      <c r="M14">
        <v>1</v>
      </c>
    </row>
    <row r="15" spans="1:14" x14ac:dyDescent="0.3">
      <c r="A15">
        <v>14</v>
      </c>
      <c r="B15" t="s">
        <v>46</v>
      </c>
      <c r="C15" t="s">
        <v>47</v>
      </c>
      <c r="D15">
        <v>432</v>
      </c>
      <c r="H15">
        <v>2</v>
      </c>
      <c r="I15">
        <f t="shared" si="1"/>
        <v>432</v>
      </c>
      <c r="J15">
        <f t="shared" si="0"/>
        <v>1172592.9308160001</v>
      </c>
      <c r="M15">
        <v>1</v>
      </c>
    </row>
    <row r="16" spans="1:14" x14ac:dyDescent="0.3">
      <c r="A16">
        <v>14</v>
      </c>
      <c r="B16" t="s">
        <v>49</v>
      </c>
      <c r="C16" t="s">
        <v>50</v>
      </c>
      <c r="D16" t="s">
        <v>177</v>
      </c>
      <c r="H16">
        <v>2</v>
      </c>
      <c r="I16" t="e">
        <f t="shared" si="1"/>
        <v>#DIV/0!</v>
      </c>
      <c r="J16" t="e">
        <f t="shared" si="0"/>
        <v>#DIV/0!</v>
      </c>
      <c r="M16">
        <v>1</v>
      </c>
      <c r="N16" t="s">
        <v>183</v>
      </c>
    </row>
    <row r="17" spans="1:23" x14ac:dyDescent="0.3">
      <c r="A17">
        <v>14</v>
      </c>
      <c r="B17" t="s">
        <v>55</v>
      </c>
      <c r="C17" t="s">
        <v>56</v>
      </c>
      <c r="D17" t="s">
        <v>177</v>
      </c>
      <c r="H17">
        <v>2</v>
      </c>
      <c r="I17" t="e">
        <f t="shared" si="1"/>
        <v>#DIV/0!</v>
      </c>
      <c r="J17" t="e">
        <f t="shared" si="0"/>
        <v>#DIV/0!</v>
      </c>
      <c r="M17">
        <v>1</v>
      </c>
      <c r="N17" t="s">
        <v>183</v>
      </c>
    </row>
    <row r="18" spans="1:23" x14ac:dyDescent="0.3">
      <c r="A18">
        <v>14</v>
      </c>
      <c r="B18" t="s">
        <v>59</v>
      </c>
      <c r="C18" t="s">
        <v>60</v>
      </c>
      <c r="D18">
        <v>80</v>
      </c>
      <c r="E18">
        <v>238</v>
      </c>
      <c r="H18">
        <v>2</v>
      </c>
      <c r="I18">
        <f t="shared" si="1"/>
        <v>159</v>
      </c>
      <c r="J18">
        <f t="shared" si="0"/>
        <v>158845.174704</v>
      </c>
      <c r="M18">
        <v>1</v>
      </c>
    </row>
    <row r="19" spans="1:23" ht="17.399999999999999" x14ac:dyDescent="0.3">
      <c r="A19">
        <v>14</v>
      </c>
      <c r="B19" t="s">
        <v>63</v>
      </c>
      <c r="C19" t="s">
        <v>64</v>
      </c>
      <c r="D19">
        <v>406</v>
      </c>
      <c r="E19">
        <v>374</v>
      </c>
      <c r="H19">
        <v>2</v>
      </c>
      <c r="I19">
        <f t="shared" si="1"/>
        <v>390</v>
      </c>
      <c r="J19">
        <f t="shared" si="0"/>
        <v>955672.2864000001</v>
      </c>
      <c r="M19">
        <v>1</v>
      </c>
    </row>
    <row r="20" spans="1:23" x14ac:dyDescent="0.3">
      <c r="A20">
        <v>14</v>
      </c>
      <c r="B20" t="s">
        <v>71</v>
      </c>
      <c r="C20" t="s">
        <v>72</v>
      </c>
      <c r="D20" t="s">
        <v>177</v>
      </c>
      <c r="H20">
        <v>2</v>
      </c>
      <c r="I20" t="e">
        <f t="shared" si="1"/>
        <v>#DIV/0!</v>
      </c>
      <c r="J20" t="e">
        <f t="shared" si="0"/>
        <v>#DIV/0!</v>
      </c>
      <c r="M20">
        <v>1</v>
      </c>
    </row>
    <row r="21" spans="1:23" x14ac:dyDescent="0.3">
      <c r="A21">
        <v>38</v>
      </c>
      <c r="B21" t="s">
        <v>91</v>
      </c>
      <c r="C21" t="s">
        <v>92</v>
      </c>
      <c r="D21">
        <v>181</v>
      </c>
      <c r="H21">
        <v>2</v>
      </c>
      <c r="I21">
        <f t="shared" si="1"/>
        <v>181</v>
      </c>
      <c r="J21">
        <f t="shared" si="0"/>
        <v>205843.39102400001</v>
      </c>
      <c r="M21">
        <v>1</v>
      </c>
    </row>
    <row r="22" spans="1:23" x14ac:dyDescent="0.3">
      <c r="A22">
        <v>49</v>
      </c>
      <c r="B22" t="s">
        <v>95</v>
      </c>
      <c r="C22" s="3" t="s">
        <v>96</v>
      </c>
      <c r="D22">
        <v>387</v>
      </c>
      <c r="H22">
        <v>2</v>
      </c>
      <c r="I22">
        <f t="shared" si="1"/>
        <v>387</v>
      </c>
      <c r="J22">
        <f t="shared" si="0"/>
        <v>941026.18449600006</v>
      </c>
      <c r="M22">
        <v>1</v>
      </c>
      <c r="N22" t="s">
        <v>184</v>
      </c>
    </row>
    <row r="23" spans="1:23" x14ac:dyDescent="0.3">
      <c r="A23">
        <v>14</v>
      </c>
      <c r="B23" t="s">
        <v>61</v>
      </c>
      <c r="C23" t="s">
        <v>62</v>
      </c>
      <c r="D23">
        <v>252</v>
      </c>
      <c r="E23">
        <v>30</v>
      </c>
      <c r="H23">
        <v>2</v>
      </c>
      <c r="I23">
        <f t="shared" si="1"/>
        <v>141</v>
      </c>
      <c r="J23">
        <f t="shared" si="0"/>
        <v>124915.98110400001</v>
      </c>
      <c r="M23">
        <v>1</v>
      </c>
    </row>
    <row r="24" spans="1:23" x14ac:dyDescent="0.3">
      <c r="A24">
        <v>10</v>
      </c>
      <c r="B24" t="s">
        <v>6</v>
      </c>
      <c r="C24" t="s">
        <v>7</v>
      </c>
      <c r="D24" t="s">
        <v>177</v>
      </c>
      <c r="H24">
        <v>1</v>
      </c>
      <c r="I24" t="e">
        <f t="shared" si="1"/>
        <v>#DIV/0!</v>
      </c>
      <c r="J24" t="e">
        <f t="shared" si="0"/>
        <v>#DIV/0!</v>
      </c>
      <c r="N24" t="s">
        <v>185</v>
      </c>
    </row>
    <row r="25" spans="1:23" x14ac:dyDescent="0.3">
      <c r="A25">
        <v>10</v>
      </c>
      <c r="B25" t="s">
        <v>8</v>
      </c>
      <c r="C25" t="s">
        <v>9</v>
      </c>
      <c r="D25">
        <v>115</v>
      </c>
      <c r="H25">
        <v>1</v>
      </c>
      <c r="I25">
        <f t="shared" si="1"/>
        <v>115</v>
      </c>
      <c r="J25">
        <f t="shared" si="0"/>
        <v>83095.108399999997</v>
      </c>
    </row>
    <row r="26" spans="1:23" x14ac:dyDescent="0.3">
      <c r="A26">
        <v>10</v>
      </c>
      <c r="B26" t="s">
        <v>10</v>
      </c>
      <c r="C26" s="3" t="s">
        <v>11</v>
      </c>
      <c r="D26">
        <v>120</v>
      </c>
      <c r="H26">
        <v>1</v>
      </c>
      <c r="I26">
        <f t="shared" si="1"/>
        <v>120</v>
      </c>
      <c r="J26">
        <f t="shared" si="0"/>
        <v>90477.849600000001</v>
      </c>
    </row>
    <row r="27" spans="1:23" ht="17.399999999999999" x14ac:dyDescent="0.3">
      <c r="A27">
        <v>10</v>
      </c>
      <c r="B27" t="s">
        <v>14</v>
      </c>
      <c r="C27" s="3" t="s">
        <v>15</v>
      </c>
      <c r="D27">
        <v>155</v>
      </c>
      <c r="H27">
        <v>1</v>
      </c>
      <c r="I27">
        <f t="shared" si="1"/>
        <v>155</v>
      </c>
      <c r="J27">
        <f t="shared" si="0"/>
        <v>150953.49559999999</v>
      </c>
      <c r="V27" t="s">
        <v>168</v>
      </c>
      <c r="W27" t="s">
        <v>170</v>
      </c>
    </row>
    <row r="28" spans="1:23" x14ac:dyDescent="0.3">
      <c r="A28">
        <v>10</v>
      </c>
      <c r="B28" t="s">
        <v>20</v>
      </c>
      <c r="C28" t="s">
        <v>21</v>
      </c>
      <c r="D28">
        <v>100</v>
      </c>
      <c r="H28">
        <v>1</v>
      </c>
      <c r="I28">
        <f t="shared" si="1"/>
        <v>100</v>
      </c>
      <c r="J28">
        <f t="shared" si="0"/>
        <v>62831.840000000004</v>
      </c>
      <c r="U28" t="s">
        <v>169</v>
      </c>
      <c r="V28" t="e">
        <f>SUM(#REF!)</f>
        <v>#REF!</v>
      </c>
      <c r="W28" s="2" t="e">
        <f>(V28/48)*100</f>
        <v>#REF!</v>
      </c>
    </row>
    <row r="29" spans="1:23" x14ac:dyDescent="0.3">
      <c r="A29">
        <v>14</v>
      </c>
      <c r="B29" t="s">
        <v>37</v>
      </c>
      <c r="C29" t="s">
        <v>38</v>
      </c>
      <c r="D29" t="s">
        <v>177</v>
      </c>
      <c r="H29">
        <v>1</v>
      </c>
      <c r="I29" t="e">
        <f t="shared" si="1"/>
        <v>#DIV/0!</v>
      </c>
      <c r="J29" t="e">
        <f t="shared" si="0"/>
        <v>#DIV/0!</v>
      </c>
      <c r="U29" t="s">
        <v>171</v>
      </c>
      <c r="V29">
        <f>SUM(M7:M23)</f>
        <v>17</v>
      </c>
      <c r="W29" s="2">
        <f>(V29/48)*100</f>
        <v>35.416666666666671</v>
      </c>
    </row>
    <row r="30" spans="1:23" x14ac:dyDescent="0.3">
      <c r="A30">
        <v>14</v>
      </c>
      <c r="B30" t="s">
        <v>40</v>
      </c>
      <c r="C30" t="s">
        <v>41</v>
      </c>
      <c r="D30">
        <v>52</v>
      </c>
      <c r="H30">
        <v>1</v>
      </c>
      <c r="I30">
        <f t="shared" si="1"/>
        <v>52</v>
      </c>
      <c r="J30">
        <f t="shared" si="0"/>
        <v>16989.729536000003</v>
      </c>
      <c r="U30" t="s">
        <v>172</v>
      </c>
      <c r="V30">
        <f>SUM(M2:M6)</f>
        <v>5</v>
      </c>
      <c r="W30" s="2">
        <f>(V30/48)*100</f>
        <v>10.416666666666668</v>
      </c>
    </row>
    <row r="31" spans="1:23" x14ac:dyDescent="0.3">
      <c r="A31">
        <v>14</v>
      </c>
      <c r="B31" t="s">
        <v>51</v>
      </c>
      <c r="C31" t="s">
        <v>52</v>
      </c>
      <c r="D31">
        <v>49</v>
      </c>
      <c r="H31">
        <v>1</v>
      </c>
      <c r="I31">
        <f t="shared" si="1"/>
        <v>49</v>
      </c>
      <c r="J31">
        <f t="shared" si="0"/>
        <v>15085.924784000001</v>
      </c>
      <c r="V31" t="e">
        <f>SUM(V28:V30)</f>
        <v>#REF!</v>
      </c>
      <c r="W31" s="2" t="e">
        <f>SUM(W28:W30)</f>
        <v>#REF!</v>
      </c>
    </row>
    <row r="32" spans="1:23" x14ac:dyDescent="0.3">
      <c r="A32">
        <v>14</v>
      </c>
      <c r="B32" t="s">
        <v>53</v>
      </c>
      <c r="C32" t="s">
        <v>54</v>
      </c>
      <c r="D32">
        <v>69</v>
      </c>
      <c r="H32">
        <v>1</v>
      </c>
      <c r="I32">
        <f t="shared" si="1"/>
        <v>69</v>
      </c>
      <c r="J32">
        <f t="shared" si="0"/>
        <v>29914.239024000002</v>
      </c>
    </row>
    <row r="33" spans="1:13" x14ac:dyDescent="0.3">
      <c r="A33">
        <v>14</v>
      </c>
      <c r="B33" t="s">
        <v>57</v>
      </c>
      <c r="C33" t="s">
        <v>58</v>
      </c>
      <c r="D33" t="s">
        <v>177</v>
      </c>
      <c r="H33">
        <v>1</v>
      </c>
      <c r="I33" t="e">
        <f t="shared" si="1"/>
        <v>#DIV/0!</v>
      </c>
      <c r="J33" t="e">
        <f t="shared" si="0"/>
        <v>#DIV/0!</v>
      </c>
    </row>
    <row r="34" spans="1:13" x14ac:dyDescent="0.3">
      <c r="A34">
        <v>14</v>
      </c>
      <c r="B34" t="s">
        <v>65</v>
      </c>
      <c r="C34" t="s">
        <v>66</v>
      </c>
      <c r="D34">
        <v>142</v>
      </c>
      <c r="H34">
        <v>1</v>
      </c>
      <c r="I34">
        <f t="shared" si="1"/>
        <v>142</v>
      </c>
      <c r="J34">
        <f t="shared" si="0"/>
        <v>126694.122176</v>
      </c>
    </row>
    <row r="35" spans="1:13" x14ac:dyDescent="0.3">
      <c r="A35">
        <v>14</v>
      </c>
      <c r="B35" t="s">
        <v>67</v>
      </c>
      <c r="C35" t="s">
        <v>68</v>
      </c>
      <c r="D35">
        <v>213</v>
      </c>
      <c r="H35">
        <v>1</v>
      </c>
      <c r="I35">
        <f t="shared" si="1"/>
        <v>213</v>
      </c>
      <c r="J35">
        <f t="shared" si="0"/>
        <v>285061.77489599999</v>
      </c>
    </row>
    <row r="36" spans="1:13" x14ac:dyDescent="0.3">
      <c r="A36">
        <v>14</v>
      </c>
      <c r="B36" t="s">
        <v>69</v>
      </c>
      <c r="C36" t="s">
        <v>70</v>
      </c>
      <c r="D36">
        <v>194</v>
      </c>
      <c r="H36">
        <v>1</v>
      </c>
      <c r="I36">
        <f t="shared" si="1"/>
        <v>194</v>
      </c>
      <c r="J36">
        <f t="shared" si="0"/>
        <v>236473.91302400001</v>
      </c>
    </row>
    <row r="37" spans="1:13" x14ac:dyDescent="0.3">
      <c r="A37">
        <v>14</v>
      </c>
      <c r="B37" t="s">
        <v>73</v>
      </c>
      <c r="C37" t="s">
        <v>74</v>
      </c>
      <c r="D37">
        <v>245</v>
      </c>
      <c r="H37">
        <v>1</v>
      </c>
      <c r="I37">
        <f t="shared" si="1"/>
        <v>245</v>
      </c>
      <c r="J37">
        <f t="shared" si="0"/>
        <v>377148.11960000003</v>
      </c>
    </row>
    <row r="38" spans="1:13" x14ac:dyDescent="0.3">
      <c r="A38">
        <v>12</v>
      </c>
      <c r="B38" t="s">
        <v>75</v>
      </c>
      <c r="C38" t="s">
        <v>76</v>
      </c>
      <c r="D38">
        <v>142</v>
      </c>
      <c r="H38">
        <v>1</v>
      </c>
      <c r="I38">
        <f t="shared" si="1"/>
        <v>142</v>
      </c>
      <c r="J38">
        <f t="shared" si="0"/>
        <v>126694.122176</v>
      </c>
    </row>
    <row r="39" spans="1:13" x14ac:dyDescent="0.3">
      <c r="A39">
        <v>38</v>
      </c>
      <c r="B39" t="s">
        <v>84</v>
      </c>
      <c r="C39" t="s">
        <v>85</v>
      </c>
      <c r="D39">
        <v>258</v>
      </c>
      <c r="H39">
        <v>1</v>
      </c>
      <c r="I39">
        <f t="shared" si="1"/>
        <v>258</v>
      </c>
      <c r="J39">
        <f t="shared" si="0"/>
        <v>418233.85977600003</v>
      </c>
    </row>
    <row r="40" spans="1:13" x14ac:dyDescent="0.3">
      <c r="A40">
        <v>38</v>
      </c>
      <c r="B40" t="s">
        <v>89</v>
      </c>
      <c r="C40" t="s">
        <v>90</v>
      </c>
      <c r="D40">
        <v>245</v>
      </c>
      <c r="H40">
        <v>1</v>
      </c>
      <c r="I40">
        <f t="shared" si="1"/>
        <v>245</v>
      </c>
      <c r="J40">
        <f t="shared" si="0"/>
        <v>377148.11960000003</v>
      </c>
    </row>
    <row r="41" spans="1:13" x14ac:dyDescent="0.3">
      <c r="A41" t="s">
        <v>98</v>
      </c>
      <c r="B41" t="s">
        <v>103</v>
      </c>
      <c r="C41" s="3" t="s">
        <v>104</v>
      </c>
      <c r="D41">
        <v>265</v>
      </c>
      <c r="H41">
        <v>1</v>
      </c>
      <c r="I41">
        <f t="shared" si="1"/>
        <v>265</v>
      </c>
      <c r="J41">
        <f t="shared" si="0"/>
        <v>441236.59640000004</v>
      </c>
    </row>
    <row r="42" spans="1:13" x14ac:dyDescent="0.3">
      <c r="A42" t="s">
        <v>98</v>
      </c>
      <c r="B42" t="s">
        <v>107</v>
      </c>
      <c r="C42" t="s">
        <v>108</v>
      </c>
      <c r="D42">
        <v>387</v>
      </c>
      <c r="H42">
        <v>1</v>
      </c>
      <c r="I42">
        <f t="shared" si="1"/>
        <v>387</v>
      </c>
      <c r="J42">
        <f t="shared" si="0"/>
        <v>941026.18449600006</v>
      </c>
    </row>
    <row r="43" spans="1:13" x14ac:dyDescent="0.3">
      <c r="A43" t="s">
        <v>98</v>
      </c>
      <c r="B43" t="s">
        <v>109</v>
      </c>
      <c r="C43" t="s">
        <v>110</v>
      </c>
      <c r="D43" t="s">
        <v>177</v>
      </c>
      <c r="H43">
        <v>1</v>
      </c>
      <c r="I43" t="e">
        <f t="shared" si="1"/>
        <v>#DIV/0!</v>
      </c>
      <c r="J43" t="e">
        <f t="shared" si="0"/>
        <v>#DIV/0!</v>
      </c>
      <c r="M43" t="s">
        <v>167</v>
      </c>
    </row>
    <row r="44" spans="1:13" x14ac:dyDescent="0.3">
      <c r="A44" t="s">
        <v>111</v>
      </c>
      <c r="B44" t="s">
        <v>112</v>
      </c>
      <c r="C44" t="s">
        <v>113</v>
      </c>
      <c r="D44">
        <v>310</v>
      </c>
      <c r="H44">
        <v>1</v>
      </c>
      <c r="I44">
        <f t="shared" si="1"/>
        <v>310</v>
      </c>
      <c r="J44">
        <f t="shared" si="0"/>
        <v>603813.98239999998</v>
      </c>
    </row>
    <row r="45" spans="1:13" x14ac:dyDescent="0.3">
      <c r="A45" t="s">
        <v>98</v>
      </c>
      <c r="B45" t="s">
        <v>114</v>
      </c>
      <c r="C45" s="3" t="s">
        <v>115</v>
      </c>
      <c r="D45">
        <v>310</v>
      </c>
      <c r="H45">
        <v>1</v>
      </c>
      <c r="I45">
        <f t="shared" si="1"/>
        <v>310</v>
      </c>
      <c r="J45">
        <f t="shared" si="0"/>
        <v>603813.98239999998</v>
      </c>
    </row>
    <row r="46" spans="1:13" x14ac:dyDescent="0.3">
      <c r="A46" t="s">
        <v>98</v>
      </c>
      <c r="B46" t="s">
        <v>117</v>
      </c>
      <c r="C46" t="s">
        <v>118</v>
      </c>
      <c r="D46">
        <v>368</v>
      </c>
      <c r="H46">
        <v>1</v>
      </c>
      <c r="I46">
        <f t="shared" si="1"/>
        <v>368</v>
      </c>
      <c r="J46">
        <f t="shared" si="0"/>
        <v>850893.91001600004</v>
      </c>
    </row>
    <row r="47" spans="1:13" x14ac:dyDescent="0.3">
      <c r="A47" t="s">
        <v>98</v>
      </c>
      <c r="B47" t="s">
        <v>119</v>
      </c>
      <c r="C47" t="s">
        <v>120</v>
      </c>
      <c r="D47">
        <v>71</v>
      </c>
      <c r="H47">
        <v>1</v>
      </c>
      <c r="I47">
        <f t="shared" si="1"/>
        <v>71</v>
      </c>
      <c r="J47">
        <f t="shared" si="0"/>
        <v>31673.530544000001</v>
      </c>
    </row>
    <row r="48" spans="1:13" x14ac:dyDescent="0.3">
      <c r="A48" t="s">
        <v>98</v>
      </c>
      <c r="B48" t="s">
        <v>122</v>
      </c>
      <c r="C48" s="3" t="s">
        <v>123</v>
      </c>
      <c r="D48">
        <v>413</v>
      </c>
      <c r="H48">
        <v>1</v>
      </c>
      <c r="I48">
        <f t="shared" si="1"/>
        <v>413</v>
      </c>
      <c r="J48">
        <f t="shared" si="0"/>
        <v>1071716.411696</v>
      </c>
    </row>
    <row r="49" spans="1:10" x14ac:dyDescent="0.3">
      <c r="A49" t="s">
        <v>98</v>
      </c>
      <c r="B49" t="s">
        <v>126</v>
      </c>
      <c r="C49" t="s">
        <v>127</v>
      </c>
      <c r="D49" t="s">
        <v>177</v>
      </c>
      <c r="H49">
        <v>1</v>
      </c>
      <c r="I49" t="e">
        <f t="shared" si="1"/>
        <v>#DIV/0!</v>
      </c>
      <c r="J49" t="e">
        <f t="shared" si="0"/>
        <v>#DIV/0!</v>
      </c>
    </row>
    <row r="50" spans="1:10" s="4" customFormat="1" x14ac:dyDescent="0.3">
      <c r="A50" s="4">
        <v>14</v>
      </c>
      <c r="B50" s="4" t="s">
        <v>34</v>
      </c>
      <c r="C50" s="4" t="s">
        <v>27</v>
      </c>
    </row>
    <row r="51" spans="1:10" s="4" customFormat="1" x14ac:dyDescent="0.3">
      <c r="A51" s="4">
        <v>14</v>
      </c>
      <c r="B51" s="4" t="s">
        <v>35</v>
      </c>
      <c r="C51" s="4" t="s">
        <v>25</v>
      </c>
    </row>
    <row r="52" spans="1:10" s="4" customFormat="1" x14ac:dyDescent="0.3">
      <c r="A52" s="4">
        <v>14</v>
      </c>
      <c r="B52" s="4" t="s">
        <v>36</v>
      </c>
      <c r="C52" s="4" t="s">
        <v>19</v>
      </c>
    </row>
    <row r="53" spans="1:10" s="4" customFormat="1" x14ac:dyDescent="0.3">
      <c r="A53" s="4">
        <v>14</v>
      </c>
      <c r="B53" s="4" t="s">
        <v>39</v>
      </c>
      <c r="C53" s="4" t="s">
        <v>13</v>
      </c>
    </row>
    <row r="54" spans="1:10" s="4" customFormat="1" x14ac:dyDescent="0.3">
      <c r="A54" s="4">
        <v>14</v>
      </c>
      <c r="B54" s="4" t="s">
        <v>48</v>
      </c>
      <c r="C54" s="4" t="s">
        <v>23</v>
      </c>
    </row>
    <row r="55" spans="1:10" s="4" customFormat="1" x14ac:dyDescent="0.3">
      <c r="A55" s="4">
        <v>38</v>
      </c>
      <c r="B55" s="4" t="s">
        <v>77</v>
      </c>
      <c r="C55" s="4" t="s">
        <v>23</v>
      </c>
    </row>
    <row r="56" spans="1:10" s="4" customFormat="1" x14ac:dyDescent="0.3">
      <c r="A56" s="4">
        <v>38</v>
      </c>
      <c r="B56" s="4" t="s">
        <v>78</v>
      </c>
      <c r="C56" s="4" t="s">
        <v>13</v>
      </c>
    </row>
    <row r="57" spans="1:10" s="4" customFormat="1" x14ac:dyDescent="0.3">
      <c r="A57" s="4">
        <v>38</v>
      </c>
      <c r="B57" s="4" t="s">
        <v>79</v>
      </c>
      <c r="C57" s="4" t="s">
        <v>29</v>
      </c>
    </row>
    <row r="58" spans="1:10" s="4" customFormat="1" x14ac:dyDescent="0.3">
      <c r="A58" s="4">
        <v>38</v>
      </c>
      <c r="B58" s="4" t="s">
        <v>80</v>
      </c>
      <c r="C58" s="4" t="s">
        <v>33</v>
      </c>
    </row>
    <row r="59" spans="1:10" s="4" customFormat="1" x14ac:dyDescent="0.3">
      <c r="A59" s="4">
        <v>38</v>
      </c>
      <c r="B59" s="4" t="s">
        <v>81</v>
      </c>
      <c r="C59" s="4" t="s">
        <v>56</v>
      </c>
    </row>
    <row r="60" spans="1:10" s="4" customFormat="1" x14ac:dyDescent="0.3">
      <c r="A60" s="4">
        <v>38</v>
      </c>
      <c r="B60" s="4" t="s">
        <v>82</v>
      </c>
      <c r="C60" s="4" t="s">
        <v>50</v>
      </c>
    </row>
    <row r="61" spans="1:10" s="4" customFormat="1" x14ac:dyDescent="0.3">
      <c r="A61" s="4">
        <v>38</v>
      </c>
      <c r="B61" s="4" t="s">
        <v>83</v>
      </c>
      <c r="C61" s="4" t="s">
        <v>5</v>
      </c>
    </row>
    <row r="62" spans="1:10" s="4" customFormat="1" x14ac:dyDescent="0.3">
      <c r="A62" s="4">
        <v>38</v>
      </c>
      <c r="B62" s="4" t="s">
        <v>88</v>
      </c>
      <c r="C62" s="4" t="s">
        <v>60</v>
      </c>
    </row>
    <row r="63" spans="1:10" s="4" customFormat="1" x14ac:dyDescent="0.3">
      <c r="A63" s="4">
        <v>43</v>
      </c>
      <c r="B63" s="4" t="s">
        <v>93</v>
      </c>
      <c r="C63" s="4" t="s">
        <v>87</v>
      </c>
    </row>
    <row r="64" spans="1:10" s="4" customFormat="1" x14ac:dyDescent="0.3">
      <c r="A64" s="4">
        <v>46</v>
      </c>
      <c r="B64" s="4" t="s">
        <v>94</v>
      </c>
      <c r="C64" s="4" t="s">
        <v>87</v>
      </c>
    </row>
    <row r="65" spans="1:3" s="4" customFormat="1" x14ac:dyDescent="0.3">
      <c r="A65" s="4">
        <v>51</v>
      </c>
      <c r="B65" s="4" t="s">
        <v>97</v>
      </c>
      <c r="C65" s="4" t="s">
        <v>13</v>
      </c>
    </row>
    <row r="66" spans="1:3" s="4" customFormat="1" x14ac:dyDescent="0.3">
      <c r="A66" s="4" t="s">
        <v>98</v>
      </c>
      <c r="B66" s="4" t="s">
        <v>99</v>
      </c>
      <c r="C66" s="4" t="s">
        <v>92</v>
      </c>
    </row>
    <row r="67" spans="1:3" s="4" customFormat="1" x14ac:dyDescent="0.3">
      <c r="A67" s="4" t="s">
        <v>98</v>
      </c>
      <c r="B67" s="4" t="s">
        <v>100</v>
      </c>
      <c r="C67" s="4" t="s">
        <v>33</v>
      </c>
    </row>
    <row r="68" spans="1:3" s="4" customFormat="1" x14ac:dyDescent="0.3">
      <c r="A68" s="4" t="s">
        <v>98</v>
      </c>
      <c r="B68" s="4" t="s">
        <v>101</v>
      </c>
      <c r="C68" s="4" t="s">
        <v>47</v>
      </c>
    </row>
    <row r="69" spans="1:3" s="4" customFormat="1" ht="17.399999999999999" x14ac:dyDescent="0.3">
      <c r="A69" s="4" t="s">
        <v>98</v>
      </c>
      <c r="B69" s="4" t="s">
        <v>102</v>
      </c>
      <c r="C69" s="4" t="s">
        <v>186</v>
      </c>
    </row>
    <row r="70" spans="1:3" s="4" customFormat="1" x14ac:dyDescent="0.3">
      <c r="A70" s="4" t="s">
        <v>98</v>
      </c>
      <c r="B70" s="4" t="s">
        <v>105</v>
      </c>
      <c r="C70" s="4" t="s">
        <v>45</v>
      </c>
    </row>
    <row r="71" spans="1:3" s="4" customFormat="1" x14ac:dyDescent="0.3">
      <c r="A71" s="4" t="s">
        <v>98</v>
      </c>
      <c r="B71" s="4" t="s">
        <v>106</v>
      </c>
      <c r="C71" s="4" t="s">
        <v>96</v>
      </c>
    </row>
    <row r="72" spans="1:3" s="4" customFormat="1" x14ac:dyDescent="0.3">
      <c r="A72" s="4" t="s">
        <v>98</v>
      </c>
      <c r="B72" s="4" t="s">
        <v>116</v>
      </c>
      <c r="C72" s="4" t="s">
        <v>31</v>
      </c>
    </row>
    <row r="73" spans="1:3" s="4" customFormat="1" x14ac:dyDescent="0.3">
      <c r="A73" s="4" t="s">
        <v>98</v>
      </c>
      <c r="B73" s="4" t="s">
        <v>121</v>
      </c>
      <c r="C73" s="4" t="s">
        <v>17</v>
      </c>
    </row>
    <row r="74" spans="1:3" s="4" customFormat="1" x14ac:dyDescent="0.3">
      <c r="A74" s="4" t="s">
        <v>98</v>
      </c>
      <c r="B74" s="4" t="s">
        <v>124</v>
      </c>
      <c r="C74" s="4" t="s">
        <v>43</v>
      </c>
    </row>
    <row r="75" spans="1:3" s="4" customFormat="1" x14ac:dyDescent="0.3">
      <c r="A75" s="4" t="s">
        <v>98</v>
      </c>
      <c r="B75" s="4" t="s">
        <v>125</v>
      </c>
      <c r="C75" s="4" t="s">
        <v>62</v>
      </c>
    </row>
    <row r="76" spans="1:3" s="4" customFormat="1" x14ac:dyDescent="0.3">
      <c r="A76" s="4" t="s">
        <v>98</v>
      </c>
      <c r="B76" s="4" t="s">
        <v>128</v>
      </c>
      <c r="C76" s="4" t="s">
        <v>72</v>
      </c>
    </row>
    <row r="77" spans="1:3" s="4" customFormat="1" x14ac:dyDescent="0.3">
      <c r="A77" s="4" t="s">
        <v>98</v>
      </c>
      <c r="B77" s="4" t="s">
        <v>129</v>
      </c>
      <c r="C77" s="4" t="s">
        <v>27</v>
      </c>
    </row>
  </sheetData>
  <conditionalFormatting sqref="K37:L1048576 K1:L35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C4AF-C9B8-4C5E-9228-F6391116E137}">
  <dimension ref="A1:K21"/>
  <sheetViews>
    <sheetView workbookViewId="0">
      <selection activeCell="E4" sqref="E4"/>
    </sheetView>
  </sheetViews>
  <sheetFormatPr defaultRowHeight="14.4" x14ac:dyDescent="0.3"/>
  <cols>
    <col min="3" max="3" width="24.21875" customWidth="1"/>
    <col min="5" max="5" width="16.88671875" customWidth="1"/>
    <col min="9" max="9" width="15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189</v>
      </c>
    </row>
    <row r="2" spans="1:11" x14ac:dyDescent="0.3">
      <c r="A2">
        <v>10</v>
      </c>
      <c r="B2" t="s">
        <v>130</v>
      </c>
      <c r="C2" t="s">
        <v>131</v>
      </c>
      <c r="D2">
        <v>3</v>
      </c>
      <c r="E2" t="s">
        <v>187</v>
      </c>
    </row>
    <row r="3" spans="1:11" x14ac:dyDescent="0.3">
      <c r="A3">
        <v>10</v>
      </c>
      <c r="B3" t="s">
        <v>144</v>
      </c>
      <c r="C3" t="s">
        <v>145</v>
      </c>
      <c r="D3">
        <v>3</v>
      </c>
      <c r="E3" t="s">
        <v>188</v>
      </c>
    </row>
    <row r="4" spans="1:11" x14ac:dyDescent="0.3">
      <c r="A4">
        <v>10</v>
      </c>
      <c r="B4" t="s">
        <v>132</v>
      </c>
      <c r="C4" t="s">
        <v>133</v>
      </c>
      <c r="D4">
        <v>1</v>
      </c>
      <c r="E4">
        <v>140</v>
      </c>
      <c r="J4" t="s">
        <v>168</v>
      </c>
      <c r="K4" t="s">
        <v>170</v>
      </c>
    </row>
    <row r="5" spans="1:11" x14ac:dyDescent="0.3">
      <c r="A5">
        <v>10</v>
      </c>
      <c r="B5" t="s">
        <v>134</v>
      </c>
      <c r="C5" t="s">
        <v>135</v>
      </c>
      <c r="D5">
        <v>1</v>
      </c>
      <c r="E5">
        <v>100</v>
      </c>
      <c r="I5" t="s">
        <v>169</v>
      </c>
      <c r="J5">
        <f>SUM(D4:D18)</f>
        <v>15</v>
      </c>
      <c r="K5" s="2">
        <f>(J5/17)*100</f>
        <v>88.235294117647058</v>
      </c>
    </row>
    <row r="6" spans="1:11" x14ac:dyDescent="0.3">
      <c r="A6">
        <v>10</v>
      </c>
      <c r="B6" t="s">
        <v>136</v>
      </c>
      <c r="C6" t="s">
        <v>137</v>
      </c>
      <c r="D6">
        <v>1</v>
      </c>
      <c r="E6">
        <v>240</v>
      </c>
      <c r="I6" t="s">
        <v>171</v>
      </c>
      <c r="J6">
        <f>0</f>
        <v>0</v>
      </c>
      <c r="K6" s="2">
        <f>(J6/J8)*100</f>
        <v>0</v>
      </c>
    </row>
    <row r="7" spans="1:11" x14ac:dyDescent="0.3">
      <c r="A7">
        <v>10</v>
      </c>
      <c r="B7" t="s">
        <v>138</v>
      </c>
      <c r="C7" t="s">
        <v>139</v>
      </c>
      <c r="D7">
        <v>1</v>
      </c>
      <c r="E7">
        <v>140</v>
      </c>
      <c r="I7" t="s">
        <v>172</v>
      </c>
      <c r="J7">
        <f>2</f>
        <v>2</v>
      </c>
      <c r="K7" s="2">
        <f>(J7/J8)*100</f>
        <v>11.76470588235294</v>
      </c>
    </row>
    <row r="8" spans="1:11" x14ac:dyDescent="0.3">
      <c r="A8">
        <v>10</v>
      </c>
      <c r="B8" t="s">
        <v>140</v>
      </c>
      <c r="C8" t="s">
        <v>141</v>
      </c>
      <c r="D8">
        <v>1</v>
      </c>
      <c r="E8">
        <v>250</v>
      </c>
      <c r="I8" t="s">
        <v>175</v>
      </c>
      <c r="J8">
        <f>SUM(J5:J7)</f>
        <v>17</v>
      </c>
      <c r="K8" s="2">
        <f>SUM(K5:K7)</f>
        <v>100</v>
      </c>
    </row>
    <row r="9" spans="1:11" x14ac:dyDescent="0.3">
      <c r="A9">
        <v>10</v>
      </c>
      <c r="B9" t="s">
        <v>142</v>
      </c>
      <c r="C9" t="s">
        <v>143</v>
      </c>
      <c r="D9">
        <v>1</v>
      </c>
      <c r="E9">
        <v>130</v>
      </c>
    </row>
    <row r="10" spans="1:11" x14ac:dyDescent="0.3">
      <c r="A10">
        <v>10</v>
      </c>
      <c r="B10" t="s">
        <v>147</v>
      </c>
      <c r="C10" t="s">
        <v>148</v>
      </c>
      <c r="D10">
        <v>1</v>
      </c>
      <c r="E10">
        <v>115</v>
      </c>
      <c r="I10" t="s">
        <v>174</v>
      </c>
      <c r="J10">
        <f>SUM(D2:D18)</f>
        <v>21</v>
      </c>
    </row>
    <row r="11" spans="1:11" x14ac:dyDescent="0.3">
      <c r="A11">
        <v>10</v>
      </c>
      <c r="B11" t="s">
        <v>149</v>
      </c>
      <c r="C11" t="s">
        <v>150</v>
      </c>
      <c r="D11">
        <v>1</v>
      </c>
      <c r="E11" t="s">
        <v>177</v>
      </c>
      <c r="H11" t="s">
        <v>167</v>
      </c>
    </row>
    <row r="12" spans="1:11" x14ac:dyDescent="0.3">
      <c r="A12">
        <v>37</v>
      </c>
      <c r="B12" t="s">
        <v>151</v>
      </c>
      <c r="C12" t="s">
        <v>152</v>
      </c>
      <c r="D12">
        <v>1</v>
      </c>
      <c r="E12">
        <v>185</v>
      </c>
    </row>
    <row r="13" spans="1:11" x14ac:dyDescent="0.3">
      <c r="A13">
        <v>37</v>
      </c>
      <c r="B13" t="s">
        <v>153</v>
      </c>
      <c r="C13" t="s">
        <v>154</v>
      </c>
      <c r="D13">
        <v>1</v>
      </c>
      <c r="E13">
        <v>122</v>
      </c>
    </row>
    <row r="14" spans="1:11" x14ac:dyDescent="0.3">
      <c r="A14">
        <v>37</v>
      </c>
      <c r="B14" t="s">
        <v>155</v>
      </c>
      <c r="C14" t="s">
        <v>156</v>
      </c>
      <c r="D14">
        <v>1</v>
      </c>
      <c r="E14">
        <v>74</v>
      </c>
    </row>
    <row r="15" spans="1:11" x14ac:dyDescent="0.3">
      <c r="A15">
        <v>37</v>
      </c>
      <c r="B15" t="s">
        <v>158</v>
      </c>
      <c r="C15" t="s">
        <v>159</v>
      </c>
      <c r="D15">
        <v>1</v>
      </c>
      <c r="E15">
        <v>79</v>
      </c>
    </row>
    <row r="16" spans="1:11" x14ac:dyDescent="0.3">
      <c r="A16">
        <v>37</v>
      </c>
      <c r="B16" t="s">
        <v>161</v>
      </c>
      <c r="C16" t="s">
        <v>162</v>
      </c>
      <c r="D16">
        <v>1</v>
      </c>
      <c r="E16">
        <v>74</v>
      </c>
    </row>
    <row r="17" spans="1:5" x14ac:dyDescent="0.3">
      <c r="A17">
        <v>37</v>
      </c>
      <c r="B17" t="s">
        <v>163</v>
      </c>
      <c r="C17" t="s">
        <v>164</v>
      </c>
      <c r="D17">
        <v>1</v>
      </c>
      <c r="E17">
        <v>58</v>
      </c>
    </row>
    <row r="18" spans="1:5" x14ac:dyDescent="0.3">
      <c r="A18">
        <v>38</v>
      </c>
      <c r="B18" t="s">
        <v>165</v>
      </c>
      <c r="C18" t="s">
        <v>166</v>
      </c>
      <c r="D18">
        <v>1</v>
      </c>
      <c r="E18">
        <f>4.5*12*2.54</f>
        <v>137.16</v>
      </c>
    </row>
    <row r="19" spans="1:5" s="4" customFormat="1" x14ac:dyDescent="0.3">
      <c r="A19" s="4">
        <v>11</v>
      </c>
      <c r="B19" s="4" t="s">
        <v>146</v>
      </c>
      <c r="C19" s="4" t="s">
        <v>145</v>
      </c>
    </row>
    <row r="20" spans="1:5" s="4" customFormat="1" x14ac:dyDescent="0.3">
      <c r="A20" s="4">
        <v>37</v>
      </c>
      <c r="B20" s="4" t="s">
        <v>157</v>
      </c>
      <c r="C20" s="4" t="s">
        <v>131</v>
      </c>
    </row>
    <row r="21" spans="1:5" s="4" customFormat="1" x14ac:dyDescent="0.3">
      <c r="A21" s="4">
        <v>38</v>
      </c>
      <c r="B21" s="4" t="s">
        <v>160</v>
      </c>
      <c r="C21" s="4" t="s">
        <v>145</v>
      </c>
    </row>
  </sheetData>
  <sortState xmlns:xlrd2="http://schemas.microsoft.com/office/spreadsheetml/2017/richdata2" ref="A2:D21">
    <sortCondition descending="1" ref="D2:D21"/>
  </sortState>
  <conditionalFormatting sqref="F1:H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H. paniculata</vt:lpstr>
      <vt:lpstr>H. arborescens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Braatz</dc:creator>
  <cp:lastModifiedBy>Elizabeth Braatz</cp:lastModifiedBy>
  <dcterms:created xsi:type="dcterms:W3CDTF">2025-07-14T15:06:15Z</dcterms:created>
  <dcterms:modified xsi:type="dcterms:W3CDTF">2025-08-06T14:54:59Z</dcterms:modified>
</cp:coreProperties>
</file>